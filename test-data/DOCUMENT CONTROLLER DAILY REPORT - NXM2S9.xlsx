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470"/>
  </bookViews>
  <sheets>
    <sheet name="16-10" sheetId="309" r:id="rId1"/>
    <sheet name="15-10" sheetId="308" r:id="rId2"/>
    <sheet name="14-10" sheetId="307" r:id="rId3"/>
    <sheet name="13-10" sheetId="306" r:id="rId4"/>
    <sheet name="12-10" sheetId="305" r:id="rId5"/>
    <sheet name="09-10" sheetId="304" r:id="rId6"/>
    <sheet name="08-10" sheetId="303" r:id="rId7"/>
    <sheet name="07-10" sheetId="302" r:id="rId8"/>
    <sheet name="06-10" sheetId="301" r:id="rId9"/>
    <sheet name="05-10" sheetId="299" r:id="rId10"/>
    <sheet name="02-10" sheetId="298" r:id="rId11"/>
    <sheet name="01-10" sheetId="297" r:id="rId12"/>
    <sheet name="30-09" sheetId="296" state="hidden" r:id="rId13"/>
    <sheet name="29-09" sheetId="295" r:id="rId14"/>
    <sheet name="28-09" sheetId="294" state="hidden" r:id="rId15"/>
    <sheet name="Sheet6" sheetId="300" state="hidden" r:id="rId16"/>
    <sheet name="24-09" sheetId="293" state="hidden" r:id="rId17"/>
    <sheet name="Sheet5" sheetId="279" state="hidden" r:id="rId18"/>
    <sheet name="31-08" sheetId="274" state="hidden" r:id="rId19"/>
    <sheet name="Sheet4" sheetId="259" state="hidden" r:id="rId20"/>
    <sheet name="Sheet3" sheetId="202" state="hidden" r:id="rId21"/>
    <sheet name="Sheet1" sheetId="194" state="hidden" r:id="rId22"/>
    <sheet name="Sheet2" sheetId="197" state="hidden" r:id="rId23"/>
    <sheet name="27-02" sheetId="146" state="hidden" r:id="rId24"/>
  </sheets>
  <definedNames>
    <definedName name="_xlnm._FilterDatabase" localSheetId="22" hidden="1">Sheet2!$C$3:$D$22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<sst xmlns="http://schemas.openxmlformats.org/spreadsheetml/2006/main" count="3109" uniqueCount="2079">
  <si>
    <t>KPG | RDS | DOCUMENT CONTROLLER DAILY REPORT</t>
  </si>
  <si>
    <t>Date:</t>
  </si>
  <si>
    <t>Project:</t>
  </si>
  <si>
    <t>NXM2S9</t>
  </si>
  <si>
    <t>Incoming  Transmittals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</si>
  <si>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</si>
  <si>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</si>
  <si>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</si>
  <si>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</si>
  <si>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</si>
  <si>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</si>
  <si>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</si>
  <si>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>ASV-TRANSMIT-000092</t>
  </si>
  <si>
    <t>WF-002035</t>
  </si>
  <si>
    <t>ELLISAIR-TRANSMIT-000318</t>
  </si>
  <si>
    <t>KPTG-TRANSMIT-009452</t>
  </si>
  <si>
    <t>CTA Joinery (Outlook mail)</t>
  </si>
  <si>
    <t>ACC # 2412</t>
  </si>
  <si>
    <t>ELLISAIR-TRANSMIT-000322</t>
  </si>
  <si>
    <t>KPTG-TRANSMIT-009457</t>
  </si>
  <si>
    <t>PFP PL-TRANSMIT-000054</t>
  </si>
  <si>
    <t>ACC #2410</t>
  </si>
  <si>
    <t>ELLISAIR-TRANSMIT-000331</t>
  </si>
  <si>
    <t>KPTG-TRANSMIT-009462</t>
  </si>
  <si>
    <t>ELLISAIR-TRANSMIT-000341</t>
  </si>
  <si>
    <t>KPTG-TRANSMIT-009469</t>
  </si>
  <si>
    <t>CLADC-TRANSMIT-000018</t>
  </si>
  <si>
    <t>WF-002040</t>
  </si>
  <si>
    <t>Nilsen3-TRANSMIT-000129</t>
  </si>
  <si>
    <t>KPTG-TRANSMIT-009472</t>
  </si>
  <si>
    <t>Nilsen3-TRANSMIT-000098</t>
  </si>
  <si>
    <t>KPTG-TRANSMIT-009476</t>
  </si>
  <si>
    <t>PFP PL-TRANSMIT-000056</t>
  </si>
  <si>
    <t>WF-002038</t>
  </si>
  <si>
    <t>Nilsen3-TRANSMIT-000131</t>
  </si>
  <si>
    <t>KPTG-TRANSMIT-009480</t>
  </si>
  <si>
    <t>ELLISAIR-TRANSMIT-000340</t>
  </si>
  <si>
    <t>KPTG-TRANSMIT-009506</t>
  </si>
  <si>
    <t>KPTG-IntCorr-002849</t>
  </si>
  <si>
    <t>KPTG-TRANSMIT-009485</t>
  </si>
  <si>
    <t>VIA Arch-TRANSMIT-000292</t>
  </si>
  <si>
    <t>KPTG-TRANSMIT-009509</t>
  </si>
  <si>
    <t>Nilsen3-TRANSMIT-000126</t>
  </si>
  <si>
    <t>KPTG-TRANSMIT-009486</t>
  </si>
  <si>
    <t>PFP PL-TRANSMIT-000055</t>
  </si>
  <si>
    <t>NA</t>
  </si>
  <si>
    <t>Nilsen3-TRANSMIT-000127</t>
  </si>
  <si>
    <t>KPTG-TRANSMIT-009490</t>
  </si>
  <si>
    <t>Tradetec-TRANSMIT-000195</t>
  </si>
  <si>
    <t>KPTG-IntCorr-003147</t>
  </si>
  <si>
    <t>SMEPS-TRANSMIT-000142</t>
  </si>
  <si>
    <t>KPTG-TRANSMIT-009494</t>
  </si>
  <si>
    <t>GunAus-TRANSMIT-000004</t>
  </si>
  <si>
    <t>KPTG-TRANSMIT-009498</t>
  </si>
  <si>
    <t>KPTG-TRANSMIT-009502</t>
  </si>
  <si>
    <t>Total</t>
  </si>
  <si>
    <t>Pending  Transmittals</t>
  </si>
  <si>
    <t>Date</t>
  </si>
  <si>
    <t>Diadem-TRANSMIT-000018</t>
  </si>
  <si>
    <t>KPTG-IntCorr-003130</t>
  </si>
  <si>
    <t>JFCG-TRANSMIT-000001</t>
  </si>
  <si>
    <t>WF-002027</t>
  </si>
  <si>
    <t>Tradetec-TRANSMIT-000189</t>
  </si>
  <si>
    <t>KPTG-TRANSMIT-009423</t>
  </si>
  <si>
    <t>Tradetec-TRANSMIT-000194</t>
  </si>
  <si>
    <t>ACC #2395</t>
  </si>
  <si>
    <t>Tradetec-TRANSMIT-000187</t>
  </si>
  <si>
    <t>KPTG-TRANSMIT-009391</t>
  </si>
  <si>
    <t>Arc Plas-TRANSMIT-000024</t>
  </si>
  <si>
    <t>WF-002026</t>
  </si>
  <si>
    <t>ELLISAIR-TRANSMIT-000237</t>
  </si>
  <si>
    <t>KPTG-TRANSMIT-009396</t>
  </si>
  <si>
    <t>ELLISAIR-TRANSMIT-000338</t>
  </si>
  <si>
    <t>KPTG-TRANSMIT-009404</t>
  </si>
  <si>
    <t>CRSol-TRANSMIT-000032</t>
  </si>
  <si>
    <t>KPTG-TRANSMIT-009400</t>
  </si>
  <si>
    <t>KPTG-TRANSMIT-009409</t>
  </si>
  <si>
    <t>CRSol-TRANSMIT-000033</t>
  </si>
  <si>
    <t>WGAVIC-TRANSMIT-000185</t>
  </si>
  <si>
    <t>KPTG-TRANSMIT-009412</t>
  </si>
  <si>
    <t>WSP ANZ-TRANSMIT-000110</t>
  </si>
  <si>
    <t>ACC #2399</t>
  </si>
  <si>
    <t>VIA Arch-TRANSMIT-000290</t>
  </si>
  <si>
    <t>ACC #2401</t>
  </si>
  <si>
    <t>ELLISAIR-TRANSMIT-000339</t>
  </si>
  <si>
    <t>ACC #2403</t>
  </si>
  <si>
    <t>ASV-TRANSMIT-000087</t>
  </si>
  <si>
    <t>KPTG-TRANSMIT-009418</t>
  </si>
  <si>
    <t>VIA Arch-TRANSMIT-000291</t>
  </si>
  <si>
    <t>ACC #2405</t>
  </si>
  <si>
    <t>ELLISAIR-TRANSMIT-000212</t>
  </si>
  <si>
    <t>KPTG-TRANSMIT-009425</t>
  </si>
  <si>
    <t>WGAVIC-TRANSMIT-000183</t>
  </si>
  <si>
    <t>ACC #2407</t>
  </si>
  <si>
    <t>ELLISAIR-TRANSMIT-000255</t>
  </si>
  <si>
    <t>KPTG-TRANSMIT-009432</t>
  </si>
  <si>
    <t>WGAVIC-TRANSMIT-000184</t>
  </si>
  <si>
    <t>ACC #2409</t>
  </si>
  <si>
    <t>KPTG-TRANSMIT-009436</t>
  </si>
  <si>
    <t>DLTS-TRANSMIT-000144</t>
  </si>
  <si>
    <t>KPTG-TRANSMIT-009440</t>
  </si>
  <si>
    <t>CLADC-SUBRFI-000005</t>
  </si>
  <si>
    <t>WF-002033</t>
  </si>
  <si>
    <t>ELLISAIR-TRANSMIT-000302</t>
  </si>
  <si>
    <t>KPTG-TRANSMIT-009443</t>
  </si>
  <si>
    <t>CLADC-TRANSMIT-000017</t>
  </si>
  <si>
    <t>KPTG-TRANSMIT-009449</t>
  </si>
  <si>
    <t>ELLISAIR-SUBRFI-000162</t>
  </si>
  <si>
    <t>KPTG-TRANSMIT-009450</t>
  </si>
  <si>
    <t>SMEPS-TRANSMIT-000161</t>
  </si>
  <si>
    <t>ACC # 2382</t>
  </si>
  <si>
    <t>Nilsen3-TRANSMIT-000149</t>
  </si>
  <si>
    <t>KPTG-IntCorr-003109</t>
  </si>
  <si>
    <t>Nilsen3-TRANSMIT-000150</t>
  </si>
  <si>
    <t>ACC #2377</t>
  </si>
  <si>
    <t>SMEPS-TRANSMIT-000160</t>
  </si>
  <si>
    <t>KPTG-TRANSMIT-009339</t>
  </si>
  <si>
    <t>Nilsen3-TRANSMIT-000151</t>
  </si>
  <si>
    <t>ACC #2376</t>
  </si>
  <si>
    <t>ELLISAIR-TRANSMIT-000334</t>
  </si>
  <si>
    <t>KPTG-TRANSMIT-009371</t>
  </si>
  <si>
    <t>ELLISAIR-TRANSMIT-000335</t>
  </si>
  <si>
    <t>ACC #2379</t>
  </si>
  <si>
    <t>CLADC-TRANSMIT-000016</t>
  </si>
  <si>
    <t>KPTG-TRANSMIT-009345</t>
  </si>
  <si>
    <t>ELLISAIR-TRANSMIT-000333</t>
  </si>
  <si>
    <t>ACC #2383</t>
  </si>
  <si>
    <t>DLTS-TRANSMIT-000138</t>
  </si>
  <si>
    <t>KPTG-TRANSMIT-009351</t>
  </si>
  <si>
    <t>Eneraque-TRANSMIT-000104</t>
  </si>
  <si>
    <t>KPTG-TRANSMIT-009356</t>
  </si>
  <si>
    <t>ZIA-TRANSMIT-000040</t>
  </si>
  <si>
    <t>KPTG-TRANSMIT-009360</t>
  </si>
  <si>
    <t>Ardon-TRANSMIT-000058</t>
  </si>
  <si>
    <t>WF-002015</t>
  </si>
  <si>
    <t>ZIA-TRANSMIT-000041</t>
  </si>
  <si>
    <t>Nilsen3-TRANSMIT-000152</t>
  </si>
  <si>
    <t>WF-002016</t>
  </si>
  <si>
    <t>Eneraque-TRANSMIT-000103</t>
  </si>
  <si>
    <t>KPTG-TRANSMIT-009361</t>
  </si>
  <si>
    <t>ELLISAIR-TRANSMIT-000336</t>
  </si>
  <si>
    <t>ACC #2385</t>
  </si>
  <si>
    <t>ZIA-TRANSMIT-000031</t>
  </si>
  <si>
    <t>KPTG-TRANSMIT-009366</t>
  </si>
  <si>
    <t>RDSBIM-TRANSMIT-000035</t>
  </si>
  <si>
    <t>ACC #2387</t>
  </si>
  <si>
    <t>Eneraque-TRANSMIT-000084</t>
  </si>
  <si>
    <t>KPTG-TRANSMIT-009372</t>
  </si>
  <si>
    <t>ELLISAIR-TRANSMIT-000337</t>
  </si>
  <si>
    <t>ACC #2389</t>
  </si>
  <si>
    <t>Eneraque-TRANSMIT-000085</t>
  </si>
  <si>
    <t>KPTG-TRANSMIT-009376</t>
  </si>
  <si>
    <t>Nilsen3-TRANSMIT-000153</t>
  </si>
  <si>
    <t>WF-002020</t>
  </si>
  <si>
    <t>VIA Arch-TRANSMIT-000276</t>
  </si>
  <si>
    <t>KPTG-DA-005074</t>
  </si>
  <si>
    <t>Nilsen3-TRANSMIT-000154</t>
  </si>
  <si>
    <t>ACC #2391</t>
  </si>
  <si>
    <t>KPTG-TRANSMIT-009381</t>
  </si>
  <si>
    <t>Tradetec-TRANSMIT-000182</t>
  </si>
  <si>
    <t>KPTG-TRANSMIT-009385</t>
  </si>
  <si>
    <t>Nilsen3-TRANSMIT-000155</t>
  </si>
  <si>
    <t>ACC #2393</t>
  </si>
  <si>
    <t>KPTG-TRANSMIT-009386</t>
  </si>
  <si>
    <t>SMEPS-TRANSMIT-000158</t>
  </si>
  <si>
    <t>KPTG-IntCorr-003108</t>
  </si>
  <si>
    <t>VIA Arch-TRANSMIT-000279</t>
  </si>
  <si>
    <t>KPTG-DA-005075</t>
  </si>
  <si>
    <t>SMEPS-TRANSMIT-000159</t>
  </si>
  <si>
    <t>KPTG-SADV-009975</t>
  </si>
  <si>
    <t>VIA Arch-TRANSMIT-000280</t>
  </si>
  <si>
    <t>KPTG-DA-005076</t>
  </si>
  <si>
    <t>VIA Arch-TRANSMIT-000278</t>
  </si>
  <si>
    <t>KPTG-TRANSMIT-009390</t>
  </si>
  <si>
    <t>KPTG-SADV-009895</t>
  </si>
  <si>
    <t>WF-002003</t>
  </si>
  <si>
    <t>WSP ANZ-TRANSMIT-000108</t>
  </si>
  <si>
    <t>KPTG-TRANSMIT-009322</t>
  </si>
  <si>
    <t>SMEPS-TRANSMIT-000157</t>
  </si>
  <si>
    <t>KPTG-SADV-009944</t>
  </si>
  <si>
    <t>WSP ANZ-TRANSMIT-000109</t>
  </si>
  <si>
    <t>KPTG-DA-005045</t>
  </si>
  <si>
    <t>ELLISAIR-TRANSMIT-000330</t>
  </si>
  <si>
    <t>KPTG-TRANSMIT-009281</t>
  </si>
  <si>
    <t>ACC #2368</t>
  </si>
  <si>
    <t>DLTS-TRANSMIT-000143</t>
  </si>
  <si>
    <t>KPTG-TRANSMIT-009285</t>
  </si>
  <si>
    <t>ZIA-TRANSMIT-000050</t>
  </si>
  <si>
    <t>KPTG-SADV-009935</t>
  </si>
  <si>
    <t>Eneraque-TRANSMIT-000108</t>
  </si>
  <si>
    <t>KPTG-SADV-009937</t>
  </si>
  <si>
    <t>ELLISAIR-TRANSMIT-000332</t>
  </si>
  <si>
    <t>KPTG-TRANSMIT-009301</t>
  </si>
  <si>
    <t>Eneraque-TRANSMIT-000109</t>
  </si>
  <si>
    <t>ACC #2370</t>
  </si>
  <si>
    <t>KPTG-DA-004921</t>
  </si>
  <si>
    <t>KPTG-TRANSMIT-009308</t>
  </si>
  <si>
    <t>WF-002006</t>
  </si>
  <si>
    <t>Arc Plas-TRANSMIT-000023</t>
  </si>
  <si>
    <t>KPTG-TRANSMIT-009312</t>
  </si>
  <si>
    <t>ELLISAIR-TRANSMIT-000232</t>
  </si>
  <si>
    <t>KPTG-TRANSMIT-009315</t>
  </si>
  <si>
    <t>Eneraque-TRANSMIT-000110</t>
  </si>
  <si>
    <t>ACC #2373</t>
  </si>
  <si>
    <t>KPTG-TRANSMIT-009319</t>
  </si>
  <si>
    <t>Eneraque-TRANSMIT-000111</t>
  </si>
  <si>
    <t>KPTG-SADV-009951</t>
  </si>
  <si>
    <t>Nilsen3-TRANSMIT-000148</t>
  </si>
  <si>
    <t>KPTG-TRANSMIT-009331</t>
  </si>
  <si>
    <t>ZIA-TRANSMIT-000051</t>
  </si>
  <si>
    <t>KPTG-SADV-009938</t>
  </si>
  <si>
    <t>Diadem-TRANSMIT-000017</t>
  </si>
  <si>
    <t>KPTG-TRANSMIT-009334</t>
  </si>
  <si>
    <t>VIA Arch-TRANSMIT-000288</t>
  </si>
  <si>
    <t>ACC #2360</t>
  </si>
  <si>
    <t>Ardon-TRANSMIT-000054</t>
  </si>
  <si>
    <t>KPTG-TRANSMIT-009234</t>
  </si>
  <si>
    <t>WF-001992</t>
  </si>
  <si>
    <t>DLTS-TRANSMIT-000136</t>
  </si>
  <si>
    <t>KPTG-TRANSMIT-009235</t>
  </si>
  <si>
    <t>WF-001997</t>
  </si>
  <si>
    <t>DLTS-TRANSMIT-000134</t>
  </si>
  <si>
    <t>KPTG-TRANSMIT-009239</t>
  </si>
  <si>
    <t>Nilsen3-TRANSMIT-000147</t>
  </si>
  <si>
    <t>ACC #2341</t>
  </si>
  <si>
    <t>CLADC-TRANSMIT-000013</t>
  </si>
  <si>
    <t>KPTG-TRANSMIT-009243</t>
  </si>
  <si>
    <t>Ardon-TRANSMIT-000055</t>
  </si>
  <si>
    <t>WF-001991</t>
  </si>
  <si>
    <t>KPTG-RFI-001991</t>
  </si>
  <si>
    <t>KPTG-TRANSMIT-009249</t>
  </si>
  <si>
    <t>WilsonPD-TRANSMIT-000246</t>
  </si>
  <si>
    <t>ACC #2343</t>
  </si>
  <si>
    <t>KPTG-TRANSMIT-009256</t>
  </si>
  <si>
    <t>CRSol-TRANSMIT-000034</t>
  </si>
  <si>
    <t>ACC #2345</t>
  </si>
  <si>
    <t>ELLISAIR-TRANSMIT-000328</t>
  </si>
  <si>
    <t>KPTG-TRANSMIT-009259</t>
  </si>
  <si>
    <t>CRSol-TRANSMIT-000035</t>
  </si>
  <si>
    <t>ELLISAIR-TRANSMIT-000329</t>
  </si>
  <si>
    <t>KPTG-TRANSMIT-009262</t>
  </si>
  <si>
    <t>Ardon-TRANSMIT-000056</t>
  </si>
  <si>
    <t>WF-001996</t>
  </si>
  <si>
    <t>ELLISAIR-TRANSMIT-000314</t>
  </si>
  <si>
    <t>KPTG-TRANSMIT-009265</t>
  </si>
  <si>
    <t>KPTG-TRANSMIT-009269</t>
  </si>
  <si>
    <t>KPTG-TRANSMIT-009273</t>
  </si>
  <si>
    <t>ELLISAIR-TRANSMIT-000323</t>
  </si>
  <si>
    <t>KPTG-SADV-009913</t>
  </si>
  <si>
    <t>Tradetec-TRANSMIT-000193</t>
  </si>
  <si>
    <t>KPTG-IntCorr-003067</t>
  </si>
  <si>
    <t>ACC #2348</t>
  </si>
  <si>
    <t>ELLISAIR-TRANSMIT-000324</t>
  </si>
  <si>
    <t>KPTG-TRANSMIT-009280</t>
  </si>
  <si>
    <t>Ardon-TRANSMIT-000057</t>
  </si>
  <si>
    <t>WF-001999</t>
  </si>
  <si>
    <t>ELLISAIR-TRANSMIT-000327</t>
  </si>
  <si>
    <t>KPTG-SADV-009916</t>
  </si>
  <si>
    <t>Tradetec-TRANSMIT-000180</t>
  </si>
  <si>
    <t>VIA Arch-TRANSMIT-000282</t>
  </si>
  <si>
    <t>ACC #2350</t>
  </si>
  <si>
    <t>Tradetec-TRANSMIT-000181</t>
  </si>
  <si>
    <t>VIA Arch-TRANSMIT-000283</t>
  </si>
  <si>
    <t>ACC #2352</t>
  </si>
  <si>
    <t>Tradetec-TRANSMIT-000184</t>
  </si>
  <si>
    <t>VIA Arch-TRANSMIT-000285</t>
  </si>
  <si>
    <t>ACC #2354</t>
  </si>
  <si>
    <t>Tradetec-TRANSMIT-000185</t>
  </si>
  <si>
    <t>VIA Arch-TRANSMIT-000286</t>
  </si>
  <si>
    <t>ACC #2356</t>
  </si>
  <si>
    <t>ELLISAIR-TRANSMIT-000325</t>
  </si>
  <si>
    <t>KPTG-SADV-009905</t>
  </si>
  <si>
    <t>VIA Arch-TRANSMIT-000287</t>
  </si>
  <si>
    <t>ACC #2358</t>
  </si>
  <si>
    <t>ZIA-TRANSMIT-000049</t>
  </si>
  <si>
    <t>ACC #2362</t>
  </si>
  <si>
    <t>Eneraque-TRANSMIT-000107</t>
  </si>
  <si>
    <t>ACC #2364</t>
  </si>
  <si>
    <t>ELLISAIR-TRANSMIT-000326</t>
  </si>
  <si>
    <t>WF-002002</t>
  </si>
  <si>
    <t>ELLISAIR-TRANSMIT-000315</t>
  </si>
  <si>
    <t>KPTG-SADV-009826</t>
  </si>
  <si>
    <t>ZIA-TRANSMIT-000046</t>
  </si>
  <si>
    <t>KPTG-SADV-009838</t>
  </si>
  <si>
    <t>ELLISAIR-TRANSMIT-000316</t>
  </si>
  <si>
    <t>KPTG-TRANSMIT-009148</t>
  </si>
  <si>
    <t>Nilsen3-TRANSMIT-000146</t>
  </si>
  <si>
    <t>KPTG-TRANSMIT-009144</t>
  </si>
  <si>
    <t>ELLISAIR-TRANSMIT-000313</t>
  </si>
  <si>
    <t>ACC #2327</t>
  </si>
  <si>
    <t>KPTG-TRANSMIT-009150</t>
  </si>
  <si>
    <t>Nilsen3-TRANSMIT-000145</t>
  </si>
  <si>
    <t>ACC #2328</t>
  </si>
  <si>
    <t>ASV-TRANSMIT-000090</t>
  </si>
  <si>
    <t>KPTG-TRANSMIT-009154</t>
  </si>
  <si>
    <t>WilsonPD-TRANSMIT-000243</t>
  </si>
  <si>
    <t>KPTG-TRANSMIT-009159</t>
  </si>
  <si>
    <t>ACC #2330</t>
  </si>
  <si>
    <t>ELLISAIR-TRANSMIT-000235</t>
  </si>
  <si>
    <t>KPTG-TRANSMIT-009162</t>
  </si>
  <si>
    <t>ELLISAIR-TRANSMIT-000262</t>
  </si>
  <si>
    <t>KPTG-TRANSMIT-009166</t>
  </si>
  <si>
    <t>ACC #2332</t>
  </si>
  <si>
    <t>ELLISAIR-TRANSMIT-000267</t>
  </si>
  <si>
    <t>KPTG-TRANSMIT-009170</t>
  </si>
  <si>
    <t>ELLISAIR-TRANSMIT-000268</t>
  </si>
  <si>
    <t>KPTG-TRANSMIT-009174</t>
  </si>
  <si>
    <t>ELLISAIR-TRANSMIT-000319</t>
  </si>
  <si>
    <t>KPTG-TRANSMIT-009178</t>
  </si>
  <si>
    <t>ELLISAIR-TRANSMIT-000320</t>
  </si>
  <si>
    <t>KPTG-TRANSMIT-009181</t>
  </si>
  <si>
    <t>ELLISAIR-TRANSMIT-000317</t>
  </si>
  <si>
    <t>KPTG-SADV-009842</t>
  </si>
  <si>
    <t>ELLISAIR-TRANSMIT-000321</t>
  </si>
  <si>
    <t>KPTG-TRANSMIT-009184</t>
  </si>
  <si>
    <t>KPTG-TRANSMIT-009191</t>
  </si>
  <si>
    <t>WilsonPD-TRANSMIT-000227</t>
  </si>
  <si>
    <t>KPTG-TRANSMIT-009187</t>
  </si>
  <si>
    <t>Eneraque-TRANSMIT-000106</t>
  </si>
  <si>
    <t>KPTG-TRANSMIT-009194</t>
  </si>
  <si>
    <t>WilsonPD-TRANSMIT-000244</t>
  </si>
  <si>
    <t>KPTG-TRANSMIT-009197</t>
  </si>
  <si>
    <t>ZIA-TRANSMIT-000048</t>
  </si>
  <si>
    <t>ACC #2339</t>
  </si>
  <si>
    <t>WF-001989</t>
  </si>
  <si>
    <t>NCFGroup-RTRFI-000028</t>
  </si>
  <si>
    <t>KPTG-TRANSMIT-009200</t>
  </si>
  <si>
    <t>Nilsen3-TRANSMIT-000117</t>
  </si>
  <si>
    <t>KPTG-TRANSMIT-009204</t>
  </si>
  <si>
    <t>SMEPS-TRANSMIT-000150</t>
  </si>
  <si>
    <t>KPTG-TRANSMIT-009208</t>
  </si>
  <si>
    <t>SMEPS-TRANSMIT-000154</t>
  </si>
  <si>
    <t>KPTG-TRANSMIT-009212</t>
  </si>
  <si>
    <t>Nilsen3-TRANSMIT-000144</t>
  </si>
  <si>
    <t>KPTG-TRANSMIT-009216</t>
  </si>
  <si>
    <t>KPTG-TRANSMIT-009220</t>
  </si>
  <si>
    <t>KPTG-IntCorr-002609</t>
  </si>
  <si>
    <t>KPTG-IntCorr-002608</t>
  </si>
  <si>
    <t>KPTG-TRANSMIT-008332</t>
  </si>
  <si>
    <t>KPTG-IntCorr-002773</t>
  </si>
  <si>
    <t>KPTG-TRANSMIT-009116</t>
  </si>
  <si>
    <t>WilsonPD-TRANSMIT-000237</t>
  </si>
  <si>
    <t>ACC #2302</t>
  </si>
  <si>
    <t>SMEPS-TRANSMIT-000152</t>
  </si>
  <si>
    <t>KPTG-TRANSMIT-009089</t>
  </si>
  <si>
    <t>WilsonPD-TRANSMIT-000238</t>
  </si>
  <si>
    <t>ACC #2304</t>
  </si>
  <si>
    <t>WilsonPD-TRANSMIT-000240</t>
  </si>
  <si>
    <t>KPTG-SADV-009790</t>
  </si>
  <si>
    <t>WilsonPD-TRANSMIT-000239</t>
  </si>
  <si>
    <t>ACC #2306</t>
  </si>
  <si>
    <t>ELLISAIR-TRANSMIT-000311</t>
  </si>
  <si>
    <t>KPTG-TRANSMIT-009094</t>
  </si>
  <si>
    <t>PFP PL-TRANSMIT-000053</t>
  </si>
  <si>
    <t>KPTG-TRANSMIT-009098</t>
  </si>
  <si>
    <t>SMEPS-TRANSMIT-000153</t>
  </si>
  <si>
    <t>ACC #2309</t>
  </si>
  <si>
    <t>PROLMC-TRANSMIT-000019</t>
  </si>
  <si>
    <t>KPTG-TRANSMIT-009101</t>
  </si>
  <si>
    <t>Nilsen3-TRANSMIT-000142</t>
  </si>
  <si>
    <t>KPTG-TRANSMIT-009105</t>
  </si>
  <si>
    <t>Nilsen3-TRANSMIT-000143</t>
  </si>
  <si>
    <t>KPTG-TRANSMIT-009108</t>
  </si>
  <si>
    <t>WilsonPD-TRANSMIT-000241</t>
  </si>
  <si>
    <t>ACC #2312</t>
  </si>
  <si>
    <t>ELLISAIR-TRANSMIT-000312</t>
  </si>
  <si>
    <t>KPTG-TRANSMIT-009111</t>
  </si>
  <si>
    <t>ZIA-TRANSMIT-000047</t>
  </si>
  <si>
    <t>KPTG-TRANSMIT-009121</t>
  </si>
  <si>
    <t>KPTG-TRANSMIT-009124</t>
  </si>
  <si>
    <t>ELLISAIR-TRANSMIT-000287</t>
  </si>
  <si>
    <t>KPTG-TRANSMIT-009129</t>
  </si>
  <si>
    <t>ELLISAIR-TRANSMIT-000285</t>
  </si>
  <si>
    <t>KPTG-TRANSMIT-009133</t>
  </si>
  <si>
    <t>ACC #2316</t>
  </si>
  <si>
    <t>Diadem-TRANSMIT-000016</t>
  </si>
  <si>
    <t>KPTG-DA-004990</t>
  </si>
  <si>
    <t>ACC #2320</t>
  </si>
  <si>
    <t>Ardon-TRANSMIT-000050</t>
  </si>
  <si>
    <t>KPTG-TRANSMIT-009092</t>
  </si>
  <si>
    <t>ACC #2323</t>
  </si>
  <si>
    <t>ACC #2324</t>
  </si>
  <si>
    <t>PFP PL-TRANSMIT-000052</t>
  </si>
  <si>
    <t>WF-001964</t>
  </si>
  <si>
    <t>ELLISAIR-TRANSMIT-000304</t>
  </si>
  <si>
    <t>KPTG-TRANSMIT-009033</t>
  </si>
  <si>
    <t>ELLISAIR-TRANSMIT-000297</t>
  </si>
  <si>
    <t>KPTG-TRANSMIT-009067</t>
  </si>
  <si>
    <t>KPTG-TRANSMIT-009037</t>
  </si>
  <si>
    <t>ELLISAIR-TRANSMIT-000291</t>
  </si>
  <si>
    <t>WF-001971</t>
  </si>
  <si>
    <t>ZIA-TRANSMIT-000033</t>
  </si>
  <si>
    <t>KPTG-TRANSMIT-009040</t>
  </si>
  <si>
    <t>ZIA-TRANSMIT-000032</t>
  </si>
  <si>
    <t>KPTG-TRANSMIT-009041</t>
  </si>
  <si>
    <t>SMEPS-TRANSMIT-000149</t>
  </si>
  <si>
    <t>ACC #2292</t>
  </si>
  <si>
    <t>ELLISAIR-TRANSMIT-000225</t>
  </si>
  <si>
    <t>KPTG-TRANSMIT-009045</t>
  </si>
  <si>
    <t>ELLISAIR-TRANSMIT-000226</t>
  </si>
  <si>
    <t>KPTG-TRANSMIT-009049</t>
  </si>
  <si>
    <t>KPTG-TRANSMIT-009057</t>
  </si>
  <si>
    <t>ELLISAIR-TRANSMIT-000286</t>
  </si>
  <si>
    <t>KPTG-TRANSMIT-009053</t>
  </si>
  <si>
    <t>Nilsen3-TRANSMIT-000138</t>
  </si>
  <si>
    <t>KPTG-SADV-009733</t>
  </si>
  <si>
    <t>ACC #2295</t>
  </si>
  <si>
    <t>Nilsen3-TRANSMIT-000139</t>
  </si>
  <si>
    <t>Nilsen3-TRANSMIT-000130</t>
  </si>
  <si>
    <t>KPTG-TRANSMIT-009060</t>
  </si>
  <si>
    <t>Nilsen3-TRANSMIT-000137</t>
  </si>
  <si>
    <t>ACC #2297</t>
  </si>
  <si>
    <t>Nilsen3-TRANSMIT-000140</t>
  </si>
  <si>
    <t>KPTG-TRANSMIT-009071</t>
  </si>
  <si>
    <t>ACC #2299</t>
  </si>
  <si>
    <t>Eneraque-TRANSMIT-000105</t>
  </si>
  <si>
    <t>KPTG-TRANSMIT-009075</t>
  </si>
  <si>
    <t>ELLISAIR-TRANSMIT-000307</t>
  </si>
  <si>
    <t>KPTG-TRANSMIT-009084</t>
  </si>
  <si>
    <t>Nilsen3-TRANSMIT-000141</t>
  </si>
  <si>
    <t>WF-001968</t>
  </si>
  <si>
    <t>ELLISAIR-TRANSMIT-000309</t>
  </si>
  <si>
    <t>KPTG-TRANSMIT-009085</t>
  </si>
  <si>
    <t>CLADC-TRANSMIT-000015</t>
  </si>
  <si>
    <t>KPTG-SADV-009769</t>
  </si>
  <si>
    <t>WF-001969</t>
  </si>
  <si>
    <t>Altaire-TRANSMIT-000036</t>
  </si>
  <si>
    <t>KPTG-IntCorr-002838</t>
  </si>
  <si>
    <t>SMEPS-TRANSMIT-000151</t>
  </si>
  <si>
    <t>WF-001970</t>
  </si>
  <si>
    <t>WilsonPD-TRANSMIT-000233</t>
  </si>
  <si>
    <t>KPTG-IntCorr-002981</t>
  </si>
  <si>
    <t>Ardon-TRANSMIT-000049</t>
  </si>
  <si>
    <t>WF-001954</t>
  </si>
  <si>
    <t>KPTG-TRANSMIT-009000</t>
  </si>
  <si>
    <t>Tradetec-TRANSMIT-000191</t>
  </si>
  <si>
    <t>KPTG-IntCorr-002938</t>
  </si>
  <si>
    <t>Nilsen3-TRANSMIT-000136</t>
  </si>
  <si>
    <t>KPTG-TRANSMIT-008976</t>
  </si>
  <si>
    <t>Ardon-TRANSMIT-000051</t>
  </si>
  <si>
    <t>WF-001957</t>
  </si>
  <si>
    <t>ELLISAIR-TRANSMIT-000298</t>
  </si>
  <si>
    <t>KPTG-TRANSMIT-008980</t>
  </si>
  <si>
    <t>Ardon-TRANSMIT-000052</t>
  </si>
  <si>
    <t>WF-001958</t>
  </si>
  <si>
    <t>SMEPS-TRANSMIT-000138</t>
  </si>
  <si>
    <t>KPTG-TRANSMIT-008983</t>
  </si>
  <si>
    <t>Ardon-TRANSMIT-000053</t>
  </si>
  <si>
    <t>WF-001959</t>
  </si>
  <si>
    <t>Tradetec-TRANSMIT-000190</t>
  </si>
  <si>
    <t>KPTG-TRANSMIT-008989</t>
  </si>
  <si>
    <t>WF-001961</t>
  </si>
  <si>
    <t>PROLMC-TRANSMIT-000024</t>
  </si>
  <si>
    <t>KPTG-TRANSMIT-008993</t>
  </si>
  <si>
    <t>PFP PL-TRANSMIT-000051</t>
  </si>
  <si>
    <t>KPTG-SADV-009712</t>
  </si>
  <si>
    <t>ELLISAIR-TRANSMIT-000299</t>
  </si>
  <si>
    <t>KPTG-TRANSMIT-008997</t>
  </si>
  <si>
    <t>VIA Arch-TRANSMIT-000270</t>
  </si>
  <si>
    <t>KPTG-DA-004954</t>
  </si>
  <si>
    <t>ELLISAIR-TRANSMIT-000296</t>
  </si>
  <si>
    <t>ACC #2279</t>
  </si>
  <si>
    <t>ELLISAIR-TRANSMIT-000300</t>
  </si>
  <si>
    <t>KPTG-TRANSMIT-009002</t>
  </si>
  <si>
    <t>WilsonPD-TRANSMIT-000235</t>
  </si>
  <si>
    <t>KPTG-TRANSMIT-009005</t>
  </si>
  <si>
    <t>ACC #2282</t>
  </si>
  <si>
    <t>DLTS-TRANSMIT-000140</t>
  </si>
  <si>
    <t>KPTG-TRANSMIT-009008</t>
  </si>
  <si>
    <t>WilsonPD-TRANSMIT-000236</t>
  </si>
  <si>
    <t>KPTG-TRANSMIT-009011</t>
  </si>
  <si>
    <t>PROLMC-TRANSMIT-000028</t>
  </si>
  <si>
    <t>WF-001953</t>
  </si>
  <si>
    <t>VIA Arch-TRANSMIT-000272</t>
  </si>
  <si>
    <t>KPTG-DA-004958</t>
  </si>
  <si>
    <t>Altaire-TRANSMIT-000037</t>
  </si>
  <si>
    <t>ACC #2285</t>
  </si>
  <si>
    <t>KPTG-TRANSMIT-009014</t>
  </si>
  <si>
    <t>DLTS-TRANSMIT-000141</t>
  </si>
  <si>
    <t>KPTG-TRANSMIT-009018</t>
  </si>
  <si>
    <t>DLTS-TRANSMIT-000142</t>
  </si>
  <si>
    <t>KPTG-TRANSMIT-009022</t>
  </si>
  <si>
    <t>SMEPS-TRANSMIT-000144</t>
  </si>
  <si>
    <t>KPTG-TRANSMIT-009025</t>
  </si>
  <si>
    <t>VIA Arch-TRANSMIT-000274</t>
  </si>
  <si>
    <t>KPTG-DA-004967</t>
  </si>
  <si>
    <t>WF-001956</t>
  </si>
  <si>
    <t>VIA Arch-TRANSMIT-000277</t>
  </si>
  <si>
    <t>KPTG-DA-004968</t>
  </si>
  <si>
    <t>PROLMC-TRANSMIT-000027</t>
  </si>
  <si>
    <t>KPTG-TRANSMIT-009029</t>
  </si>
  <si>
    <t>ELLISAIR-TRANSMIT-000303</t>
  </si>
  <si>
    <t>WF-001960</t>
  </si>
  <si>
    <t>Tradetec-TRANSMIT-000192</t>
  </si>
  <si>
    <t>KPTG-IntCorr-002937</t>
  </si>
  <si>
    <t>Ardon-TRANSMIT-000047</t>
  </si>
  <si>
    <t>KPTG-IntCorr-002852</t>
  </si>
  <si>
    <t>KPTG-IntCorr-002853</t>
  </si>
  <si>
    <t>SES AU-TRANSMIT-000021</t>
  </si>
  <si>
    <t>KPTG-IntCorr-002854</t>
  </si>
  <si>
    <t>CLADC-TRANSMIT-000014</t>
  </si>
  <si>
    <t>KPTG-SADV-009631</t>
  </si>
  <si>
    <t>GunAus-TRANSMIT-000002</t>
  </si>
  <si>
    <t>KPTG-TRANSMIT-008859</t>
  </si>
  <si>
    <t>ACC # 2256</t>
  </si>
  <si>
    <t>GunAus-TRANSMIT-000003</t>
  </si>
  <si>
    <t>KPTG-TRANSMIT-008858</t>
  </si>
  <si>
    <t>WF-001936</t>
  </si>
  <si>
    <t>Nilsen3-TRANSMIT-000132</t>
  </si>
  <si>
    <t>KPTG-TRANSMIT-008868</t>
  </si>
  <si>
    <t>WF-001941</t>
  </si>
  <si>
    <t>Nilsen3-TRANSMIT-000133</t>
  </si>
  <si>
    <t>KPTG-TRANSMIT-008871</t>
  </si>
  <si>
    <t>ACC # 2271</t>
  </si>
  <si>
    <t>ELLISAIR-TRANSMIT-000288</t>
  </si>
  <si>
    <t>KPTG-TRANSMIT-008875</t>
  </si>
  <si>
    <t>ACC #2258</t>
  </si>
  <si>
    <t>ELLISAIR-TRANSMIT-000289</t>
  </si>
  <si>
    <t>KPTG-TRANSMIT-008878</t>
  </si>
  <si>
    <t>ACC #2260</t>
  </si>
  <si>
    <t>ELLISAIR-TRANSMIT-000292</t>
  </si>
  <si>
    <t>KPTG-TRANSMIT-008881</t>
  </si>
  <si>
    <t>PFP PL-TRANSMIT-000049</t>
  </si>
  <si>
    <t>KPTG-TRANSMIT-008884</t>
  </si>
  <si>
    <t>ELLISAIR-TRANSMIT-000234</t>
  </si>
  <si>
    <t>KPTG-TRANSMIT-008888</t>
  </si>
  <si>
    <t>ACC #2262</t>
  </si>
  <si>
    <t>ELLISAIR-TRANSMIT-000202</t>
  </si>
  <si>
    <t>KPTG-TRANSMIT-008892</t>
  </si>
  <si>
    <t>ELLISAIR-TRANSMIT-000200</t>
  </si>
  <si>
    <t>KPTG-TRANSMIT-008896</t>
  </si>
  <si>
    <t>ELLISAIR-TRANSMIT-000199</t>
  </si>
  <si>
    <t>KPTG-TRANSMIT-008900</t>
  </si>
  <si>
    <t>ELLISAIR-TRANSMIT-000290</t>
  </si>
  <si>
    <t>WF-001940</t>
  </si>
  <si>
    <t>ELLISAIR-TRANSMIT-000271</t>
  </si>
  <si>
    <t>KPTG-TRANSMIT-008906</t>
  </si>
  <si>
    <t>ELLISAIR-TRANSMIT-000270</t>
  </si>
  <si>
    <t>KPTG-TRANSMIT-008910</t>
  </si>
  <si>
    <t>ACC #2267</t>
  </si>
  <si>
    <t>KPTG-TRANSMIT-008914</t>
  </si>
  <si>
    <t>VIA Arch-TRANSMIT-000281</t>
  </si>
  <si>
    <t>ACC #2270</t>
  </si>
  <si>
    <t>ELLISAIR-TRANSMIT-000279</t>
  </si>
  <si>
    <t>KPTG-TRANSMIT-008918</t>
  </si>
  <si>
    <t>ZIA-TRANSMIT-000045</t>
  </si>
  <si>
    <t>ACC #2273</t>
  </si>
  <si>
    <t>ELLISAIR-TRANSMIT-000282</t>
  </si>
  <si>
    <t>KPTG-TRANSMIT-008922</t>
  </si>
  <si>
    <t>ELLISAIR-TRANSMIT-000293</t>
  </si>
  <si>
    <t>KPTG-TRANSMIT-008926</t>
  </si>
  <si>
    <t>ELLISAIR-TRANSMIT-000295</t>
  </si>
  <si>
    <t>KPTG-TRANSMIT-008929</t>
  </si>
  <si>
    <t>Nilsen3-TRANSMIT-000135</t>
  </si>
  <si>
    <t>ACC #2277</t>
  </si>
  <si>
    <t>WilsonPD-TRANSMIT-000209</t>
  </si>
  <si>
    <t>KPTG-TRANSMIT-008933</t>
  </si>
  <si>
    <t>Nilsen3-TRANSMIT-000134</t>
  </si>
  <si>
    <t>KPTG-SADV-009676</t>
  </si>
  <si>
    <t>WilsonPD-TRANSMIT-000214</t>
  </si>
  <si>
    <t>KPTG-TRANSMIT-008938</t>
  </si>
  <si>
    <t>WF-001946</t>
  </si>
  <si>
    <t>WilsonPD-TRANSMIT-000215</t>
  </si>
  <si>
    <t>KPTG-TRANSMIT-008942</t>
  </si>
  <si>
    <t>ZIA-TRANSMIT-000044</t>
  </si>
  <si>
    <t>KPTG-SADV-009678</t>
  </si>
  <si>
    <t>WF-001947</t>
  </si>
  <si>
    <t>WilsonPD-TRANSMIT-000216</t>
  </si>
  <si>
    <t>KPTG-TRANSMIT-008946</t>
  </si>
  <si>
    <t>DLTS-TRANSMIT-000137</t>
  </si>
  <si>
    <t>KPTG-SADV-009680</t>
  </si>
  <si>
    <t>SMEPS-TRANSMIT-000148</t>
  </si>
  <si>
    <t>WF-001949</t>
  </si>
  <si>
    <t>WilsonPD-TRANSMIT-000219</t>
  </si>
  <si>
    <t>KPTG-TRANSMIT-008950</t>
  </si>
  <si>
    <t>KPTG-TRANSMIT-008972</t>
  </si>
  <si>
    <t>WilsonPD-TRANSMIT-000220</t>
  </si>
  <si>
    <t>KPTG-TRANSMIT-008954</t>
  </si>
  <si>
    <t>WilsonPD-TRANSMIT-000226</t>
  </si>
  <si>
    <t>KPTG-TRANSMIT-008958</t>
  </si>
  <si>
    <t>WilsonPD-TRANSMIT-000228</t>
  </si>
  <si>
    <t>KPTG-TRANSMIT-008962</t>
  </si>
  <si>
    <t>WilsonPD-TRANSMIT-000232</t>
  </si>
  <si>
    <t>KPTG-TRANSMIT-008966</t>
  </si>
  <si>
    <t>BBC P.-TRANSMIT-000021</t>
  </si>
  <si>
    <t>KPTG-SADV-009597</t>
  </si>
  <si>
    <t>prime ts-TRANSMIT-000001</t>
  </si>
  <si>
    <t>KPTG-TRANSMIT-008844</t>
  </si>
  <si>
    <t>BBC P.-TRANSMIT-000022</t>
  </si>
  <si>
    <t>WF-001924</t>
  </si>
  <si>
    <t>ELLISAIR-TRANSMIT-000280</t>
  </si>
  <si>
    <t>KPTG-TRANSMIT-008807</t>
  </si>
  <si>
    <t>SMEPS-TRANSMIT-000147</t>
  </si>
  <si>
    <t>ACC #2240</t>
  </si>
  <si>
    <t>ELLISAIR-TRANSMIT-000248</t>
  </si>
  <si>
    <t>KPTG-TRANSMIT-008811</t>
  </si>
  <si>
    <t>ELLISAIR-TRANSMIT-000239</t>
  </si>
  <si>
    <t>KPTG-TRANSMIT-008815</t>
  </si>
  <si>
    <t>ACC #2243</t>
  </si>
  <si>
    <t>ELLISAIR-TRANSMIT-000247</t>
  </si>
  <si>
    <t>KPTG-TRANSMIT-008819</t>
  </si>
  <si>
    <t>ACC #2245</t>
  </si>
  <si>
    <t>PFP PL-TRANSMIT-000041</t>
  </si>
  <si>
    <t>KPTG-TRANSMIT-008820</t>
  </si>
  <si>
    <t>ACC #2247</t>
  </si>
  <si>
    <t>PFP PL-TRANSMIT-000040</t>
  </si>
  <si>
    <t>KPTG-TRANSMIT-008824</t>
  </si>
  <si>
    <t>WF-001926</t>
  </si>
  <si>
    <t>Nilsen3-TRANSMIT-000119</t>
  </si>
  <si>
    <t>KPTG-TRANSMIT-008825</t>
  </si>
  <si>
    <t>ACC #2249</t>
  </si>
  <si>
    <t>Nilsen3-TRANSMIT-000120</t>
  </si>
  <si>
    <t>KPTG-TRANSMIT-008829</t>
  </si>
  <si>
    <t>ACC #2251</t>
  </si>
  <si>
    <t>KPTG-TRANSMIT-008834</t>
  </si>
  <si>
    <t>ACC #2253</t>
  </si>
  <si>
    <t>KPTG-TRANSMIT-008837</t>
  </si>
  <si>
    <t>ELLISAIR-TRANSMIT-000283</t>
  </si>
  <si>
    <t>KPTG-TRANSMIT-008841</t>
  </si>
  <si>
    <t>RDSBIM-TRANSMIT-000034</t>
  </si>
  <si>
    <t>KPTG-TRANSMIT-008850</t>
  </si>
  <si>
    <t>WF-001930</t>
  </si>
  <si>
    <t>ELLISAIR-TRANSMIT-000281</t>
  </si>
  <si>
    <t>KPTG-TRANSMIT-008854</t>
  </si>
  <si>
    <t>ELLISAIR-TRANSMIT-000284</t>
  </si>
  <si>
    <t>KPTG-TRANSMIT-008857</t>
  </si>
  <si>
    <t>ACC #2238</t>
  </si>
  <si>
    <t>WF-001909</t>
  </si>
  <si>
    <t>KPTG-TRANSMIT-008766</t>
  </si>
  <si>
    <t>ELLISAIR-TRANSMIT-000277</t>
  </si>
  <si>
    <t>KPTG-SADV-009553</t>
  </si>
  <si>
    <t>WilsonPD-TRANSMIT-000231</t>
  </si>
  <si>
    <t>KPTG-TRANSMIT-008772</t>
  </si>
  <si>
    <t>WF-001908</t>
  </si>
  <si>
    <t>KPTG-TRANSMIT-008775</t>
  </si>
  <si>
    <t>Ardon-TRANSMIT-000048</t>
  </si>
  <si>
    <t>WF-001910</t>
  </si>
  <si>
    <t>Eneraque-TRANSMIT-000079</t>
  </si>
  <si>
    <t>KPTG-TRANSMIT-008778</t>
  </si>
  <si>
    <t>ACC #2232</t>
  </si>
  <si>
    <t>Eneraque-TRANSMIT-000083</t>
  </si>
  <si>
    <t>KPTG-TRANSMIT-008782</t>
  </si>
  <si>
    <t>ELLISAIR-TRANSMIT-000276</t>
  </si>
  <si>
    <t>KPTG-TRANSMIT-008787</t>
  </si>
  <si>
    <t>WF-001913</t>
  </si>
  <si>
    <t>VIA Arch-TRANSMIT-000275</t>
  </si>
  <si>
    <t>KPTG-TRANSMIT-008790</t>
  </si>
  <si>
    <t>ACC #2234</t>
  </si>
  <si>
    <t>DLTS-TRANSMIT-000135</t>
  </si>
  <si>
    <t>KPTG-TRANSMIT-008798</t>
  </si>
  <si>
    <t>BBC P.-TRANSMIT-000020</t>
  </si>
  <si>
    <t>KPTG-SADV-009575</t>
  </si>
  <si>
    <t>ELLISAIR-TRANSMIT-000278</t>
  </si>
  <si>
    <t>WF-001916</t>
  </si>
  <si>
    <t>WilsonPD-TRANSMIT-000234</t>
  </si>
  <si>
    <t>KPTG-TRANSMIT-008804</t>
  </si>
  <si>
    <t>ACC #2236</t>
  </si>
  <si>
    <t>WF-001918</t>
  </si>
  <si>
    <t>DLTS-TRANSMIT-000133</t>
  </si>
  <si>
    <t>KPTG-SADV-009473</t>
  </si>
  <si>
    <t>ELLISAIR-TRANSMIT-000266</t>
  </si>
  <si>
    <t>KPTG-TRANSMIT-008700</t>
  </si>
  <si>
    <t>SMEPS-TRANSMIT-000145</t>
  </si>
  <si>
    <t>WF-001899</t>
  </si>
  <si>
    <t>PFP PL-TRANSMIT-000044</t>
  </si>
  <si>
    <t>KPTG-TRANSMIT-008703</t>
  </si>
  <si>
    <t>ELLISAIR-TRANSMIT-000216</t>
  </si>
  <si>
    <t>KPTG-TRANSMIT-008707</t>
  </si>
  <si>
    <t>WF-001900</t>
  </si>
  <si>
    <t>ELLISAIR-TRANSMIT-000217</t>
  </si>
  <si>
    <t>KPTG-TRANSMIT-008711</t>
  </si>
  <si>
    <t>ACC #2227</t>
  </si>
  <si>
    <t>ELLISAIR-TRANSMIT-000222</t>
  </si>
  <si>
    <t>KPTG-TRANSMIT-008716</t>
  </si>
  <si>
    <t>ACC #2229</t>
  </si>
  <si>
    <t>ELLISAIR-TRANSMIT-000215</t>
  </si>
  <si>
    <t>KPTG-TRANSMIT-008720</t>
  </si>
  <si>
    <t>KPTG-TRANSMIT-008750</t>
  </si>
  <si>
    <t>ELLISAIR-TRANSMIT-000218</t>
  </si>
  <si>
    <t>KPTG-TRANSMIT-008724</t>
  </si>
  <si>
    <t>ELLISAIR-TRANSMIT-000269</t>
  </si>
  <si>
    <t>KPTG-IntCorr-002837</t>
  </si>
  <si>
    <t>ELLISAIR-TRANSMIT-000220</t>
  </si>
  <si>
    <t>KPTG-TRANSMIT-008728</t>
  </si>
  <si>
    <t>PROLMC-TRANSMIT-000022</t>
  </si>
  <si>
    <t>KPTG-TRANSMIT-008734</t>
  </si>
  <si>
    <t>HGP-TRANSMIT-000013</t>
  </si>
  <si>
    <t>KPTG-TRANSMIT-008738</t>
  </si>
  <si>
    <t>PFP PL-TRANSMIT-000045</t>
  </si>
  <si>
    <t>KPTG-TRANSMIT-008742</t>
  </si>
  <si>
    <t>PFP PL-TRANSMIT-000046</t>
  </si>
  <si>
    <t>KPTG-TRANSMIT-008746</t>
  </si>
  <si>
    <t>VIA Arch-TRANSMIT-000268</t>
  </si>
  <si>
    <t>KPTG-TRANSMIT-008753</t>
  </si>
  <si>
    <t>VIA Arch-TRANSMIT-000269</t>
  </si>
  <si>
    <t>KPTG-DA-004896</t>
  </si>
  <si>
    <t>VIA Arch-TRANSMIT-000271</t>
  </si>
  <si>
    <t>KPTG-TRANSMIT-008757</t>
  </si>
  <si>
    <t>VIA Arch-TRANSMIT-000273</t>
  </si>
  <si>
    <t>KPTG-TRANSMIT-008761</t>
  </si>
  <si>
    <t>Ardon-TRANSMIT-000042</t>
  </si>
  <si>
    <t>WF-001882</t>
  </si>
  <si>
    <t>Tradetec-TRANSMIT-000188</t>
  </si>
  <si>
    <t>KPTG-IntCorr-002808</t>
  </si>
  <si>
    <t>ACC # 2204</t>
  </si>
  <si>
    <t>Eneraque-TRANSMIT-000092</t>
  </si>
  <si>
    <t>KPTG-TRANSMIT-008639</t>
  </si>
  <si>
    <t>WilsonPD-TRANSMIT-000229</t>
  </si>
  <si>
    <t>KPTG-TRANSMIT-008645</t>
  </si>
  <si>
    <t>KPTG-TRANSMIT-008640</t>
  </si>
  <si>
    <t>ELLISAIR-TRANSMIT-000261</t>
  </si>
  <si>
    <t>ACC # 2208</t>
  </si>
  <si>
    <t>WilsonPD-TRANSMIT-000230</t>
  </si>
  <si>
    <t>KPTG-IntCorr-002811</t>
  </si>
  <si>
    <t>ACC # 2209</t>
  </si>
  <si>
    <t>DLTS-TRANSMIT-000127</t>
  </si>
  <si>
    <t>KPTG-TRANSMIT-008654</t>
  </si>
  <si>
    <t>ELLISAIR-TRANSMIT-000263</t>
  </si>
  <si>
    <t>ACC # 2211</t>
  </si>
  <si>
    <t>PROLMC-TRANSMIT-000026</t>
  </si>
  <si>
    <t>KPTG-TRANSMIT-008658</t>
  </si>
  <si>
    <t>Acratex Renderwall   WF-001868</t>
  </si>
  <si>
    <t>KPTG-TRANSMIT-008664</t>
  </si>
  <si>
    <t>ACC# 2214</t>
  </si>
  <si>
    <t>Nilsen3-TRANSMIT-000107</t>
  </si>
  <si>
    <t>KPTG-TRANSMIT-008665</t>
  </si>
  <si>
    <t>ACC #2215</t>
  </si>
  <si>
    <t>KPTG-TRANSMIT-008666</t>
  </si>
  <si>
    <t>ELLISAIR-TRANSMIT-000264</t>
  </si>
  <si>
    <t>KPTG-TRANSMIT-008652</t>
  </si>
  <si>
    <t>SMEPS-TRANSMIT-000137</t>
  </si>
  <si>
    <t>KPTG-TRANSMIT-008670</t>
  </si>
  <si>
    <t>ACC#2219</t>
  </si>
  <si>
    <t>SMEPS-TRANSMIT-000139</t>
  </si>
  <si>
    <t>KPTG-TRANSMIT-008674</t>
  </si>
  <si>
    <t>Ardon-TRANSMIT-000046</t>
  </si>
  <si>
    <t>WF-001890</t>
  </si>
  <si>
    <t>RDSBIM-TRANSMIT-000031</t>
  </si>
  <si>
    <t>KPTG-TRANSMIT-008679</t>
  </si>
  <si>
    <t>RDSBIM-TRANSMIT-000033</t>
  </si>
  <si>
    <t>ACC # 2224</t>
  </si>
  <si>
    <t>KPTG-TRANSMIT-008683</t>
  </si>
  <si>
    <t>ACC # 2220</t>
  </si>
  <si>
    <t>DLTS-TRANSMIT-000132</t>
  </si>
  <si>
    <t>KPTG-TRANSMIT-008688</t>
  </si>
  <si>
    <t>KPTG-TRANSMIT-008691</t>
  </si>
  <si>
    <t>ELLISAIR-TRANSMIT-000265</t>
  </si>
  <si>
    <t>KPTG-TRANSMIT-008694</t>
  </si>
  <si>
    <t>WF-001893</t>
  </si>
  <si>
    <t>WF-001894</t>
  </si>
  <si>
    <t>WF-001895</t>
  </si>
  <si>
    <t>ACC # 2223</t>
  </si>
  <si>
    <t>WF-001897</t>
  </si>
  <si>
    <t>ACC # 2198</t>
  </si>
  <si>
    <t>CLADC-TRANSMIT-000010</t>
  </si>
  <si>
    <t>KPTG-TRANSMIT-008578</t>
  </si>
  <si>
    <t>ELLISAIR-TRANSMIT-000260</t>
  </si>
  <si>
    <t>WF-001880</t>
  </si>
  <si>
    <t>Eneraque-TRANSMIT-000097</t>
  </si>
  <si>
    <t>KPTG-SADV-009354</t>
  </si>
  <si>
    <t>Eneraque-TRANSMIT-000089</t>
  </si>
  <si>
    <t>ACC # 2202</t>
  </si>
  <si>
    <t>KPTG-TRANSMIT-008574</t>
  </si>
  <si>
    <t>Eneraque-TRANSMIT-000094</t>
  </si>
  <si>
    <t>ACC #2196</t>
  </si>
  <si>
    <t>CRSol-TRANSMIT-000028</t>
  </si>
  <si>
    <t>KPTG-TRANSMIT-008579</t>
  </si>
  <si>
    <t>CRSol-TRANSMIT-000029</t>
  </si>
  <si>
    <t>WF-001875</t>
  </si>
  <si>
    <t>Diadem-TRANSMIT-000015</t>
  </si>
  <si>
    <t>KPTG-TRANSMIT-008583</t>
  </si>
  <si>
    <t>WGAVIC-TRANSMIT-000182</t>
  </si>
  <si>
    <t>KPTG-TRANSMIT-008587</t>
  </si>
  <si>
    <t>ELLISAIR-TRANSMIT-000259</t>
  </si>
  <si>
    <t>WF-001876</t>
  </si>
  <si>
    <t>VIA Arch-TRANSMIT-000260</t>
  </si>
  <si>
    <t>KPTG-DA-004858</t>
  </si>
  <si>
    <t>Eneraque-TRANSMIT-000098</t>
  </si>
  <si>
    <t>ACC #2200</t>
  </si>
  <si>
    <t>VIA Arch-TRANSMIT-000262</t>
  </si>
  <si>
    <t>KPTG-DA-004859</t>
  </si>
  <si>
    <t>KPTG-IntCorr-002806</t>
  </si>
  <si>
    <t>VIA Arch-TRANSMIT-000265</t>
  </si>
  <si>
    <t>KPTG-DA-004860</t>
  </si>
  <si>
    <t>WF-001881</t>
  </si>
  <si>
    <t>VIA Arch-TRANSMIT-000266</t>
  </si>
  <si>
    <t>KPTG-DA-004861</t>
  </si>
  <si>
    <t>VIA Arch-TRANSMIT-000267</t>
  </si>
  <si>
    <t>KPTG-DA-004862</t>
  </si>
  <si>
    <t>PFP PL-TRANSMIT-000042</t>
  </si>
  <si>
    <t>KPTG-TRANSMIT-008591</t>
  </si>
  <si>
    <t>ELLISAIR-TRANSMIT-000184</t>
  </si>
  <si>
    <t>KPTG-TRANSMIT-008595</t>
  </si>
  <si>
    <t>ELLISAIR-TRANSMIT-000189</t>
  </si>
  <si>
    <t>KPTG-TRANSMIT-008599</t>
  </si>
  <si>
    <t>ELLISAIR-TRANSMIT-000205</t>
  </si>
  <si>
    <t>KPTG-TRANSMIT-008603</t>
  </si>
  <si>
    <t>ELLISAIR-TRANSMIT-000230</t>
  </si>
  <si>
    <t>ELLISAIR-TRANSMIT-000231</t>
  </si>
  <si>
    <t>KPTG-TRANSMIT-008607</t>
  </si>
  <si>
    <t>ELLISAIR-TRANSMIT-000252</t>
  </si>
  <si>
    <t>KPTG-TRANSMIT-008611</t>
  </si>
  <si>
    <t>ELLISAIR-TRANSMIT-000253</t>
  </si>
  <si>
    <t>KPTG-TRANSMIT-008615</t>
  </si>
  <si>
    <t>ELLISAIR-TRANSMIT-000251</t>
  </si>
  <si>
    <t>KPTG-TRANSMIT-008619</t>
  </si>
  <si>
    <t>ELLISAIR-TRANSMIT-000256</t>
  </si>
  <si>
    <t>KPTG-TRANSMIT-008623</t>
  </si>
  <si>
    <t>ELLISAIR-TRANSMIT-000257</t>
  </si>
  <si>
    <t>KPTG-TRANSMIT-008627</t>
  </si>
  <si>
    <t>ELLISAIR-TRANSMIT-000258</t>
  </si>
  <si>
    <t>KPTG-TRANSMIT-008631</t>
  </si>
  <si>
    <t>KPTG-IntCorr-002793</t>
  </si>
  <si>
    <t>M2-STR-DLS-SDRG-0901-B11013</t>
  </si>
  <si>
    <t>M2-STR-DLS-SDRG-0901-B11014</t>
  </si>
  <si>
    <t>M2-STR-DLS-SDRG-0901-B11015</t>
  </si>
  <si>
    <t>M2-STR-DLS-SDRG-0901-B11016</t>
  </si>
  <si>
    <t>M2-STR-DLS-SDRG-0901-B11017</t>
  </si>
  <si>
    <t>M2-STR-DLS-SDRG-0901-B11018</t>
  </si>
  <si>
    <t>M2-STR-DLS-SDRG-0901-B11019</t>
  </si>
  <si>
    <t>M2-STR-DLS-SDRG-0901-B11020</t>
  </si>
  <si>
    <t>M2-STR-DLS-SDRG-0901-B11021</t>
  </si>
  <si>
    <t>M2-STR-DLS-SDRG-0901-B11022</t>
  </si>
  <si>
    <t>M2-STR-DLS-SDRG-0901-B11023</t>
  </si>
  <si>
    <t>M2-STR-DLS-SDRG-0901-B11024</t>
  </si>
  <si>
    <t>M2-STR-DLS-SDRG-0901-B11025</t>
  </si>
  <si>
    <t>M2-STR-DLS-SDRG-0901-B11026</t>
  </si>
  <si>
    <t>M2-STR-DLS-SDRG-0901-B11027</t>
  </si>
  <si>
    <t>M2-STR-DLS-SDRG-0901-GR11000</t>
  </si>
  <si>
    <t>M2-STR-DLS-SDRG-0901-GR11001</t>
  </si>
  <si>
    <t>M2-STR-DLS-SDRG-0901-GR11002</t>
  </si>
  <si>
    <t>M2-STR-DLS-SDRG-0901-GR11003</t>
  </si>
  <si>
    <t>M2-STR-DLS-SDRG-0901-GR11004</t>
  </si>
  <si>
    <t>M2-STR-DLS-SDRG-0901-GR11005</t>
  </si>
  <si>
    <t>M2-STR-DLS-SDRG-0901-GR11006</t>
  </si>
  <si>
    <t>M2-STR-DLS-SDRG-0901-GR11007</t>
  </si>
  <si>
    <t>M2-STR-DLS-SDRG-0901-GR11008</t>
  </si>
  <si>
    <t>M2-STR-DLS-SDRG-0901-GR11009</t>
  </si>
  <si>
    <t>M2-STR-DLS-SDRG-0901-GR11010</t>
  </si>
  <si>
    <t>M2-STR-DLS-SDRG-0901-GR11011</t>
  </si>
  <si>
    <t>M2-STR-DLS-SDRG-0901-GR11012</t>
  </si>
  <si>
    <t>M2-STR-DLS-SDRG-0901-GR11013</t>
  </si>
  <si>
    <t>M2-STR-DLS-SDRG-0901-GR11014</t>
  </si>
  <si>
    <t>M2-STR-DLS-SDRG-0901-GR11015</t>
  </si>
  <si>
    <t>M2-STR-DLS-SDRG-0901-GR11016</t>
  </si>
  <si>
    <t>M2-STR-DLS-SDRG-0901-GR11017</t>
  </si>
  <si>
    <t>M2-STR-DLS-SDRG-0901-GR11018</t>
  </si>
  <si>
    <t>M2-STR-DLS-SDRG-0901-GR11019</t>
  </si>
  <si>
    <t>M2-STR-DLS-SDRG-0901-MP11001</t>
  </si>
  <si>
    <t>M2-STR-DLS-SDRG-0901-MP11002</t>
  </si>
  <si>
    <t>M2-STR-DLS-SDRG-0901-MP11003</t>
  </si>
  <si>
    <t>M2-STR-DLS-SDRG-0901-MP11004</t>
  </si>
  <si>
    <t>WF-001865</t>
  </si>
  <si>
    <t>DLTS-TRANSMIT-000118</t>
  </si>
  <si>
    <t>KPTG-TRANSMIT-008486</t>
  </si>
  <si>
    <t>PROLMC-TRANSMIT-000025</t>
  </si>
  <si>
    <t>WF-001867</t>
  </si>
  <si>
    <t>Altaire-TRANSMIT-000034</t>
  </si>
  <si>
    <t>KPTG-TRANSMIT-008494</t>
  </si>
  <si>
    <t>Acratex Renderwall (Outlook mail)</t>
  </si>
  <si>
    <t>WF-001868</t>
  </si>
  <si>
    <t>ELLISAIR-TRANSMIT-000182</t>
  </si>
  <si>
    <t>KPTG-SADV-009283</t>
  </si>
  <si>
    <t>ACC # 2186</t>
  </si>
  <si>
    <t>ELLISAIR-TRANSMIT-000201</t>
  </si>
  <si>
    <t>KPTG-TRANSMIT-008499</t>
  </si>
  <si>
    <t>ACC # 2187</t>
  </si>
  <si>
    <t>ELLISAIR-TRANSMIT-000203</t>
  </si>
  <si>
    <t>KPTG-TRANSMIT-008503</t>
  </si>
  <si>
    <t>SES AU-TRANSMIT-000019</t>
  </si>
  <si>
    <t>KPTG-SADV-009336</t>
  </si>
  <si>
    <t>ELLISAIR-TRANSMIT-000207</t>
  </si>
  <si>
    <t>KPTG-TRANSMIT-008508</t>
  </si>
  <si>
    <t>ACC #2174</t>
  </si>
  <si>
    <t>KPTG-TRANSMIT-008513</t>
  </si>
  <si>
    <t>Eneraque-TRANSMIT-000091</t>
  </si>
  <si>
    <t>WF-001858</t>
  </si>
  <si>
    <t>CLADC-TRANSMIT-000011</t>
  </si>
  <si>
    <t>KPTG-TRANSMIT-008516</t>
  </si>
  <si>
    <t>ACC #2176</t>
  </si>
  <si>
    <t>ELLISAIR-TRANSMIT-000196</t>
  </si>
  <si>
    <t>KPTG-TRANSMIT-008520</t>
  </si>
  <si>
    <t>ACC #2178</t>
  </si>
  <si>
    <t>ELLISAIR-TRANSMIT-000198</t>
  </si>
  <si>
    <t>KPTG-TRANSMIT-008524</t>
  </si>
  <si>
    <t>ACC #2181</t>
  </si>
  <si>
    <t>ELLISAIR-TRANSMIT-000210</t>
  </si>
  <si>
    <t>KPTG-TRANSMIT-008528</t>
  </si>
  <si>
    <t>ELLISAIR-TRANSMIT-000228</t>
  </si>
  <si>
    <t>KPTG-TRANSMIT-008533</t>
  </si>
  <si>
    <t>ACC #2183</t>
  </si>
  <si>
    <t>ELLISAIR-TRANSMIT-000227</t>
  </si>
  <si>
    <t>KPTG-TRANSMIT-008540</t>
  </si>
  <si>
    <t>Eneraque-TRANSMIT-000093</t>
  </si>
  <si>
    <t>ACC #2189</t>
  </si>
  <si>
    <t>ELLISAIR-TRANSMIT-000238</t>
  </si>
  <si>
    <t>KPTG-TRANSMIT-008545</t>
  </si>
  <si>
    <t>SES AU-TRANSMIT-000020</t>
  </si>
  <si>
    <t>KPTG-IntCorr-002792</t>
  </si>
  <si>
    <t>ELLISAIR-TRANSMIT-000243</t>
  </si>
  <si>
    <t>KPTG-TRANSMIT-008550</t>
  </si>
  <si>
    <t>ASV-TRANSMIT-000089</t>
  </si>
  <si>
    <t>ACC # 2190</t>
  </si>
  <si>
    <t>ELLISAIR-TRANSMIT-000245</t>
  </si>
  <si>
    <t>KPTG-TRANSMIT-008554</t>
  </si>
  <si>
    <t>ACC # 2191</t>
  </si>
  <si>
    <t>KPTG-TRANSMIT-008507</t>
  </si>
  <si>
    <t>WF-001864</t>
  </si>
  <si>
    <t>Discipline</t>
  </si>
  <si>
    <t>Project Coordinator</t>
  </si>
  <si>
    <t>Electrical (SME)</t>
  </si>
  <si>
    <t>Lachlan Dowell</t>
  </si>
  <si>
    <t>Mechanical</t>
  </si>
  <si>
    <t>Ben Winger</t>
  </si>
  <si>
    <t>Fire (Precision , Altaire)</t>
  </si>
  <si>
    <t>Hydraulic (Axis)</t>
  </si>
  <si>
    <t>Daniel Patton</t>
  </si>
  <si>
    <t>Hydraulic (Wilson)</t>
  </si>
  <si>
    <t xml:space="preserve">Mason </t>
  </si>
  <si>
    <t xml:space="preserve">Electrical (Nilsen) </t>
  </si>
  <si>
    <t>Structural (Delta)</t>
  </si>
  <si>
    <t xml:space="preserve">Jem Berkant, Kaven </t>
  </si>
  <si>
    <t>Facade (Proline)</t>
  </si>
  <si>
    <t>Jem Berkant, Joseph Makur</t>
  </si>
  <si>
    <t>Facade (Heritage)</t>
  </si>
  <si>
    <t>Kam Karamian</t>
  </si>
  <si>
    <t>Security (Securitas)</t>
  </si>
  <si>
    <t>Regu</t>
  </si>
  <si>
    <t>Security (Gunnebo)</t>
  </si>
  <si>
    <t>Fuel (Eneraque)</t>
  </si>
  <si>
    <t>James Japundzic</t>
  </si>
  <si>
    <t>CSMS (ZIA)</t>
  </si>
  <si>
    <t>Electrical (GPS)</t>
  </si>
  <si>
    <t>Inground Services (Tradetech)</t>
  </si>
  <si>
    <t>Daniel Robertson</t>
  </si>
  <si>
    <t>Telecom (Nilsen , SME)</t>
  </si>
  <si>
    <t>31-09-2026</t>
  </si>
  <si>
    <t>Ardon-TRANSMIT-000040</t>
  </si>
  <si>
    <t>WF-001645</t>
  </si>
  <si>
    <t>DLTS-TRANSMIT-000107</t>
  </si>
  <si>
    <t>KPTG-TRANSMIT-007512</t>
  </si>
  <si>
    <t>CLADC-TRANSMIT-000005</t>
  </si>
  <si>
    <t>KPTG-SADV-008174</t>
  </si>
  <si>
    <t>PFP PL-TRANSMIT-000021</t>
  </si>
  <si>
    <t>KPTG-TRANSMIT-007515</t>
  </si>
  <si>
    <t>ELLISAIR-TRANSMIT-000187</t>
  </si>
  <si>
    <t>KPTG-SADV-008179</t>
  </si>
  <si>
    <t>Eneraque-TRANSMIT-000073</t>
  </si>
  <si>
    <t>KPTG-SADV-008177</t>
  </si>
  <si>
    <t>VIA Arch-TRANSMIT-000252</t>
  </si>
  <si>
    <t>KPTG-TRANSMIT-007523</t>
  </si>
  <si>
    <t>CLADC-TRANSMIT-000006</t>
  </si>
  <si>
    <t>WF-001648</t>
  </si>
  <si>
    <t>KPTG-IntCorr-002344</t>
  </si>
  <si>
    <t>ACC # 1905</t>
  </si>
  <si>
    <t>DCN-TRANSMIT-000043</t>
  </si>
  <si>
    <t>KPTG-SADV-008162</t>
  </si>
  <si>
    <t>SES AU-TRANSMIT-000012</t>
  </si>
  <si>
    <t>KPTG-IntCorr-002379</t>
  </si>
  <si>
    <t>DCN-TRANSMIT-000044</t>
  </si>
  <si>
    <t>ACC #1899</t>
  </si>
  <si>
    <t>Tradetec-TRANSMIT-000171</t>
  </si>
  <si>
    <t>KPTG-SADV-008216</t>
  </si>
  <si>
    <t>Eneraque-TRANSMIT-000074</t>
  </si>
  <si>
    <t>ACC #1901</t>
  </si>
  <si>
    <t>VIA Arch-TRANSMIT-000251</t>
  </si>
  <si>
    <t>ACC #1903</t>
  </si>
  <si>
    <t>DCN-TRANSMIT-000038</t>
  </si>
  <si>
    <t>KPTG-IntCorr-002237</t>
  </si>
  <si>
    <t>M2-ELC-GPS-SDRG-0901-0000</t>
  </si>
  <si>
    <t>MAIN SWITCHBOARD MSB-KA-01 DRAWING INDEX</t>
  </si>
  <si>
    <t>M2-ELC-GPS-SDRG-0901-0010</t>
  </si>
  <si>
    <t>MAIN SWITCHBOARD MSB-KA-01 SINGLE LINE DIAGRAM</t>
  </si>
  <si>
    <t>M2-ELC-GPS-SDRG-0901-0020</t>
  </si>
  <si>
    <t>MAIN SWITCHBOARD MSB-KA-01 MSB-KA-1 ENCLOSURE GENERAL ARRANGEMENT</t>
  </si>
  <si>
    <t>M2-ELC-GPS-SDRG-0901-0021</t>
  </si>
  <si>
    <t>MAIN SWITCHBOARD MSB-KA-01 GEN INCOMER SECTION GENERAL ARRANGEMENT</t>
  </si>
  <si>
    <t>M2-ELC-GPS-SDRG-0901-0022</t>
  </si>
  <si>
    <t>MAIN SWITCHBOARD MSB-KA-01 LOAD BANK SECTION GENERAL ARRANGEMENT</t>
  </si>
  <si>
    <t>M2-ELC-GPS-SDRG-0901-0023</t>
  </si>
  <si>
    <t>MAIN SWITCHBOARD MSB-KA-01 GEN BUSTIE SECTION GENERAL ARRANGEMENT</t>
  </si>
  <si>
    <t>M2-ELC-GPS-SDRG-0901-0024</t>
  </si>
  <si>
    <t>MAIN SWITCHBOARD MSB-KA-01</t>
  </si>
  <si>
    <t>MAIN INCOMER SECTION GENERAL ARRANGEMENT</t>
  </si>
  <si>
    <t>M2-ELC-GPS-SDRG-0901-0025</t>
  </si>
  <si>
    <t>MAIN SWITCHBOARD MSB-KA-01 ATS SECTION GENERAL ARRANGEMENT</t>
  </si>
  <si>
    <t>M2-ELC-GPS-SDRG-0901-0026</t>
  </si>
  <si>
    <t>MAIN SWITCHBOARD MSB-KA-01 REAR VIEW GENERAL ARRANGEMENT</t>
  </si>
  <si>
    <t>M2-ELC-GPS-SDRG-0901-0027</t>
  </si>
  <si>
    <t>MAIN SWITCHBOARD MSB-KA-01 PLINTH DETAILS GENERAL ARRANGEMENT</t>
  </si>
  <si>
    <t>M2-ELC-GPS-SDRG-0901-0050</t>
  </si>
  <si>
    <t>MAIN SWITCHBOARD MSB-KA-01 BILL OF MATERIALS</t>
  </si>
  <si>
    <t>M2-ELC-GPS-SDRG-0901-0051</t>
  </si>
  <si>
    <t>M2-ELC-GPS-SDRG-0901-0052</t>
  </si>
  <si>
    <t>M2-ELC-GPS-SDRG-0901-0070</t>
  </si>
  <si>
    <t>MAIN SWITCHBOARD MSB-KA-01 1F GSB-KA GEN INCOMING SECTION LABEL SCHEDULE</t>
  </si>
  <si>
    <t>M2-ELC-GPS-SDRG-0901-0071</t>
  </si>
  <si>
    <t>MAIN SWITCHBOARD MSB-KA-01 2F</t>
  </si>
  <si>
    <t>3F GSB-KA LOADBANK OUT SECTION LABEL SCHEDULE</t>
  </si>
  <si>
    <t>M2-ELC-GPS-SDRG-0901-0072</t>
  </si>
  <si>
    <t>MAIN SWITCHBOARD MSB-KA-01 4F MSB-KA-PART-1 GEN BUS TIE SECTION LABEL SCHEDULE</t>
  </si>
  <si>
    <t>M2-ELC-GPS-SDRG-0901-0073</t>
  </si>
  <si>
    <t>MAIN SWITCHBOARD MSB-KA-01 5F MSB-KA-PART-1</t>
  </si>
  <si>
    <t>MAINS INCOMING SECTION LABEL SCHEDULE</t>
  </si>
  <si>
    <t>M2-ELC-GPS-SDRG-0901-0074</t>
  </si>
  <si>
    <t>MAIN SWITCHBOARD MSB-KA-01 6F MSB-KA-PART-1 ATS SECTION LABEL SCHEDULE</t>
  </si>
  <si>
    <t>M2-ELC-GPS-SDRG-0901-0080</t>
  </si>
  <si>
    <t>MAIN SWITCHBOARD MSB-KA-01 GENERATOR INCOMER POWER DIAGRAM</t>
  </si>
  <si>
    <t>M2-ELC-GPS-SDRG-0901-0081</t>
  </si>
  <si>
    <t>MAIN SWITCHBOARD MSB-KA-01 LOAD BANK FEEDER 1 OF 2 POWER DIAGRAM</t>
  </si>
  <si>
    <t>M2-ELC-GPS-SDRG-0901-0082</t>
  </si>
  <si>
    <t>MAIN SWITCHBOARD MSB-KA-01 LOAD BANK FEEDER 2 OF 2 POWER DIAGRAM</t>
  </si>
  <si>
    <t>M2-ELC-GPS-SDRG-0901-0083</t>
  </si>
  <si>
    <t>MAIN SWITCHBOARD MSB-KA-01 BUS TIE POWER DIAGRAM</t>
  </si>
  <si>
    <t>M2-ELC-GPS-SDRG-0901-0084</t>
  </si>
  <si>
    <t>MAIN INCOMER POWER DIAGRAM</t>
  </si>
  <si>
    <t>M2-ELC-GPS-SDRG-0901-0085</t>
  </si>
  <si>
    <t>MAIN SWITCHBOARD MSB-KA-01 MSB-KA-PART-2 FEEDER POWER DIAGRAM</t>
  </si>
  <si>
    <t>M2-ELC-GPS-SDRG-0901-0100</t>
  </si>
  <si>
    <t>MAIN SWITCHBOARD MSB-KA-01 110VDC POWER SUPPLY POWER DIAGRAM</t>
  </si>
  <si>
    <t>M2-ELC-GPS-SDRG-0901-0101</t>
  </si>
  <si>
    <t>MAIN SWITCHBOARD MSB-KA-01 24VDC POWER SUPPLY POWER DIAGRAM</t>
  </si>
  <si>
    <t>M2-ELC-GPS-SDRG-0901-0102</t>
  </si>
  <si>
    <t>MAIN SWITCHBOARD MSB-KA-01 24VDC DISTRIBUTION POWER DIAGRAM</t>
  </si>
  <si>
    <t>M2-ELC-GPS-SDRG-0901-0120</t>
  </si>
  <si>
    <t>MAIN SWITCHBOARD MSB-KA-01 AUTOMATIC TRANSFER SWITCH CONTROL DIAGRAM</t>
  </si>
  <si>
    <t>M2-ELC-GPS-SDRG-0901-0150</t>
  </si>
  <si>
    <t>MAIN SWITCHBOARD MSB-KA-01 NETWORK DIAGRAM</t>
  </si>
  <si>
    <t>M2-ELC-GPS-SDRG-0901-0200</t>
  </si>
  <si>
    <t>MAIN SWITCHBOARD MSB-KA-02 DRAWING INDEX SH.1</t>
  </si>
  <si>
    <t>M2-ELC-GPS-SDRG-0901-0201</t>
  </si>
  <si>
    <t>MAIN SWITCHBOARD MSB-KA-02 DRAWING INDEX SH.2</t>
  </si>
  <si>
    <t>M2-ELC-GPS-SDRG-0901-0210</t>
  </si>
  <si>
    <t>MAIN SWITCHBOARD MSB-KA-02 SINGLE LINE DIAGRAM 1 OF 3</t>
  </si>
  <si>
    <t>M2-ELC-GPS-SDRG-0901-0211</t>
  </si>
  <si>
    <t>MAIN SWITCHBOARD MSB-KA-02 SINGLE LINE DIAGRAM 2 OF 3</t>
  </si>
  <si>
    <t>M2-ELC-GPS-SDRG-0901-0212</t>
  </si>
  <si>
    <t>MAIN SWITCHBOARD MSB-KA-02 SINGLE LINE DIAGRAM 3 OF 3</t>
  </si>
  <si>
    <t>M2-ELC-GPS-SDRG-0901-0220</t>
  </si>
  <si>
    <t>MAIN SWITCHBOARD MSB-KA-02 EXTERNAL VIEW TIERS 1-8 GENERAL ARRANGEMENT</t>
  </si>
  <si>
    <t>M2-ELC-GPS-SDRG-0901-0221</t>
  </si>
  <si>
    <t>MAIN SWITCHBOARD MSB-KA-02 EXTERNAL VIEW TIERS 9-18 GENERAL ARRANGEMENT</t>
  </si>
  <si>
    <t>M2-ELC-GPS-SDRG-0901-0222</t>
  </si>
  <si>
    <t>MAIN SWITCHBOARD MSB-KA-02 INTERNAL VIEW TIERS 1 GENERAL ARRANGEMENT</t>
  </si>
  <si>
    <t>M2-ELC-GPS-SDRG-0901-0223</t>
  </si>
  <si>
    <t>MAIN SWITCHBOARD MSB-KA-02 INTERNAL VIEW TIERS 2 GENERAL ARRANGEMENT</t>
  </si>
  <si>
    <t>M2-ELC-GPS-SDRG-0901-0224</t>
  </si>
  <si>
    <t>MAIN SWITCHBOARD MSB-KA-02 INTERNAL VIEW TIERS 3 GENERAL ARRANGEMENT</t>
  </si>
  <si>
    <t>M2-ELC-GPS-SDRG-0901-0225</t>
  </si>
  <si>
    <t>MAIN SWITCHBOARD MSB-KA-02 INTERNAL VIEW TIERS 4 GENERAL ARRANGEMENT</t>
  </si>
  <si>
    <t>M2-ELC-GPS-SDRG-0901-0226</t>
  </si>
  <si>
    <t>MAIN SWITCHBOARD MSB-KA-02 INTERNAL VIEW TIERS 5 GENERAL ARRANGEMENT</t>
  </si>
  <si>
    <t>M2-ELC-GPS-SDRG-0901-0227</t>
  </si>
  <si>
    <t>MAIN SWITCHBOARD MSB-KA-02 INTERNAL VIEW TIERS 6 GENERAL ARRANGEMENT</t>
  </si>
  <si>
    <t>M2-ELC-GPS-SDRG-0901-0228</t>
  </si>
  <si>
    <t>MAIN SWITCHBOARD MSB-KA-02 INTERNAL VIEW TIERS 7 GENERAL ARRANGEMENT</t>
  </si>
  <si>
    <t>M2-ELC-GPS-SDRG-0901-0229</t>
  </si>
  <si>
    <t>MAIN SWITCHBOARD MSB-KA-02 INTERNAL VIEW TIERS 8 &amp; 9 GENERAL ARRANGEMENT</t>
  </si>
  <si>
    <t>M2-ELC-GPS-SDRG-0901-0230</t>
  </si>
  <si>
    <t>MAIN SWITCHBOARD MSB-KA-02 INTERNAL VIEW TIERS 10 GENERAL ARRANGEMENT</t>
  </si>
  <si>
    <t>M2-ELC-GPS-SDRG-0901-0231</t>
  </si>
  <si>
    <t>MAIN SWITCHBOARD MSB-KA-02 INTERNAL VIEW TIERS 11 GENERAL ARRANGEMENT</t>
  </si>
  <si>
    <t>M2-ELC-GPS-SDRG-0901-0232</t>
  </si>
  <si>
    <t>MAIN SWITCHBOARD MSB-KA-02 INTERNAL VIEW TIERS 12 GENERAL ARRANGEMENT</t>
  </si>
  <si>
    <t>M2-ELC-GPS-SDRG-0901-0233</t>
  </si>
  <si>
    <t>MAIN SWITCHBOARD MSB-KA-02 INTERNAL VIEW TIERS 13 GENERAL ARRANGEMENT</t>
  </si>
  <si>
    <t>M2-ELC-GPS-SDRG-0901-0234</t>
  </si>
  <si>
    <t>MAIN SWITCHBOARD MSB-KA-02 INTERNAL VIEW TIERS 14 &amp; 15 GENERAL ARRANGEMENT</t>
  </si>
  <si>
    <t>M2-ELC-GPS-SDRG-0901-0235</t>
  </si>
  <si>
    <t>MAIN SWITCHBOARD MSB-KA-02 INTERNAL VIEW TIERS 16 GENERAL ARRANGEMENT</t>
  </si>
  <si>
    <t>M2-ELC-GPS-SDRG-0901-0236</t>
  </si>
  <si>
    <t>MAIN SWITCHBOARD MSB-KA-02 INTERNAL VIEW TIERS 17 &amp; 18 GENERAL ARRANGEMENT</t>
  </si>
  <si>
    <t>M2-ELC-GPS-SDRG-0901-0237</t>
  </si>
  <si>
    <t>MAIN SWITCHBOARD MSB-KA-02 EXTERNAL REAR VIEW TIERS GENERAL ARRANGEMENT 1 OF 6</t>
  </si>
  <si>
    <t>M2-ELC-GPS-SDRG-0901-0238</t>
  </si>
  <si>
    <t>MAIN SWITCHBOARD MSB-KA-02 PLINTH A DETAILS GENERAL ARRANGEMENT 2 OF 6</t>
  </si>
  <si>
    <t>M2-ELC-GPS-SDRG-0901-0239</t>
  </si>
  <si>
    <t>MAIN SWITCHBOARD MSB-KA-02 PLINTH B DETAILS GENERAL ARRANGEMENT 3 OF 6</t>
  </si>
  <si>
    <t>M2-ELC-GPS-SDRG-0901-0250</t>
  </si>
  <si>
    <t>MAIN SWITCHBOARD MSB-KA-02 BILL OF MATERIALS 1 OF 5</t>
  </si>
  <si>
    <t>M2-ELC-GPS-SDRG-0901-0251</t>
  </si>
  <si>
    <t>MAIN SWITCHBOARD MSB-KA-02 BILL OF MATERIALS 2 OF 5</t>
  </si>
  <si>
    <t>M2-ELC-GPS-SDRG-0901-0252</t>
  </si>
  <si>
    <t>MAIN SWITCHBOARD MSB-KA-02 BILL OF MATERIALS 3 OF 5</t>
  </si>
  <si>
    <t>M2-ELC-GPS-SDRG-0901-0253</t>
  </si>
  <si>
    <t>MAIN SWITCHBOARD MSB-KA-02 BILL OF MATERIALS 4 OF 5</t>
  </si>
  <si>
    <t>M2-ELC-GPS-SDRG-0901-0254</t>
  </si>
  <si>
    <t>MAIN SWITCHBOARD MSB-KA-02 BILL OF MATERIALS 5 OF 5</t>
  </si>
  <si>
    <t>M2-ELC-GPS-SDRG-0901-0270</t>
  </si>
  <si>
    <t>MAIN SWITCHBOARD MSB-KA-02 1F MSB-KA-02 CHILLER SECTION LABEL SCHEDULE</t>
  </si>
  <si>
    <t>M2-ELC-GPS-SDRG-0901-0271</t>
  </si>
  <si>
    <t>MAIN SWITCHBOARD MSB-KA-02 2F MSB-KA-02 SECOND FEED SECTION LABEL SCHEDULE</t>
  </si>
  <si>
    <t>M2-ELC-GPS-SDRG-0901-0272</t>
  </si>
  <si>
    <t>MAIN SWITCHBOARD MSB-KA-02 3F-4F-5F LGT, PWR, &amp; MCC SECTIONS LABEL SCHEDULE</t>
  </si>
  <si>
    <t>M2-ELC-GPS-SDRG-0901-0273</t>
  </si>
  <si>
    <t>MAIN SWITCHBOARD MSB-KA-02 6F-7F HYPER DH &amp; BUS TIE SECTIONS LABEL SCHEDULE</t>
  </si>
  <si>
    <t>M2-ELC-GPS-SDRG-0901-0274</t>
  </si>
  <si>
    <t>MAIN SWITCHBOARD MSB-KA-02 8F-9F MSB-KA-02 SECTIONS LABEL SCHEDULE</t>
  </si>
  <si>
    <t>M2-ELC-GPS-SDRG-0901-0275</t>
  </si>
  <si>
    <t>MAIN SWITCHBOARD MSB-KA-02 10F-13F MSB-KA-02 SECTIONS LABEL SCHEDULE</t>
  </si>
  <si>
    <t>M2-ELC-GPS-SDRG-0901-0276</t>
  </si>
  <si>
    <t>MAIN SWITCHBOARD MSB-KA-02 11F-12F-14F UPS INCOMMERS SECTIONS LABEL SCHEDULE</t>
  </si>
  <si>
    <t>M2-ELC-GPS-SDRG-0901-0277</t>
  </si>
  <si>
    <t>MAIN SWITCHBOARD MSB-KA-02 15F-16F USP FEEDERS SECTIONS LABEL SCHEDULE</t>
  </si>
  <si>
    <t>M2-ELC-GPS-SDRG-0901-0278</t>
  </si>
  <si>
    <t>MAIN SWITCHBOARD MSB-KA-02 17F-18F UPS FIRE SERVICES SECTIONS LABEL SCHEDULE</t>
  </si>
  <si>
    <t>M2-ELC-GPS-SDRG-0901-0280</t>
  </si>
  <si>
    <t>MAIN SWITCHBOARD MSB-KA-02</t>
  </si>
  <si>
    <t>M2-ELC-GPS-SDRG-0901-0281</t>
  </si>
  <si>
    <t>MAIN BUS POWER DIAGRAM</t>
  </si>
  <si>
    <t>M2-ELC-GPS-SDRG-0901-0282</t>
  </si>
  <si>
    <t>MAIN SWITCHBOARD MSB-KA-02 HYPER DH BRANCH FEEDER POWER DIAGRAM</t>
  </si>
  <si>
    <t>M2-ELC-GPS-SDRG-0901-0283</t>
  </si>
  <si>
    <t>MAIN SWITCHBOARD MSB-KA-02 MCC-X CHILLER FEEDERS POWER DIAGRAM</t>
  </si>
  <si>
    <t>M2-ELC-GPS-SDRG-0901-0284</t>
  </si>
  <si>
    <t>MAIN DISTRIBUTION POWER DIAGRAM 1 OF 3</t>
  </si>
  <si>
    <t>M2-ELC-GPS-SDRG-0901-0285</t>
  </si>
  <si>
    <t>MAIN DISTRIBUTION POWER DIAGRAM 2 OF 3</t>
  </si>
  <si>
    <t>M2-ELC-GPS-SDRG-0901-0286</t>
  </si>
  <si>
    <t>MAIN DISTRIBUTION POWER DIAGRAM 3 OF 3</t>
  </si>
  <si>
    <t>M2-ELC-GPS-SDRG-0901-0287</t>
  </si>
  <si>
    <t>MAIN SWITCHBOARD MSB-KA-02 BUS TIE POWER DIAGRAM</t>
  </si>
  <si>
    <t>M2-ELC-GPS-SDRG-0901-0288</t>
  </si>
  <si>
    <t>MAIN SWITCHBOARD MSB-KA-02 UPS DISTRIBUTION POWER DIAGRAM</t>
  </si>
  <si>
    <t>M2-ELC-GPS-SDRG-0901-0289</t>
  </si>
  <si>
    <t>MAIN SWITCHBOARD MSB-KA-02 LOAD BANK FEEDER POWER DIAGRAM</t>
  </si>
  <si>
    <t>M2-ELC-GPS-SDRG-0901-0290</t>
  </si>
  <si>
    <t>MAIN SWITCHBOARD MSB-KA-02 UPS-X1 INCOMER POWER DIAGRAM</t>
  </si>
  <si>
    <t>M2-ELC-GPS-SDRG-0901-0291</t>
  </si>
  <si>
    <t>MAIN SWITCHBOARD MSB-KA-02 UPS-X2 INCOMER POWER DIAGRAM</t>
  </si>
  <si>
    <t>M2-ELC-GPS-SDRG-0901-0292</t>
  </si>
  <si>
    <t>MAIN SWITCHBOARD MSB-KA-02 ESSENTIAL SERVICES POWER DIAGRAM 1 OF 2</t>
  </si>
  <si>
    <t>M2-ELC-GPS-SDRG-0901-0293</t>
  </si>
  <si>
    <t>MAIN SWITCHBOARD MSB-KA-02 ESSENTIAL SERVICES POWER DIAGRAM 2 OF 2</t>
  </si>
  <si>
    <t>M2-ELC-GPS-SDRG-0901-0294</t>
  </si>
  <si>
    <t>MAIN SWITCHBOARD MSB-KA-02 UPS FEEDERS POWER DIAGRAM</t>
  </si>
  <si>
    <t>M2-ELC-GPS-SDRG-0901-0300</t>
  </si>
  <si>
    <t>MAIN SWITCHBOARD MSB-KA-02 110VDC POWER SUPPLY POWER DIAGRAM</t>
  </si>
  <si>
    <t>M2-ELC-GPS-SDRG-0901-0301</t>
  </si>
  <si>
    <t>MAIN SWITCHBOARD MSB-KA-02 24VDC POWER SUPPLY POWER DIAGRAM 1 OF 2</t>
  </si>
  <si>
    <t>M2-ELC-GPS-SDRG-0901-0302</t>
  </si>
  <si>
    <t>MAIN SWITCHBOARD MSB-KA-02 24VDC POWER SUPPLY POWER DIAGRAM 2 OF 2</t>
  </si>
  <si>
    <t>M2-ELC-GPS-SDRG-0901-0303</t>
  </si>
  <si>
    <t>MAIN SWITCHBOARD MSB-KA-02 CL KEY SWITCH 20A 2NO 2NC FOR UPS BOARD</t>
  </si>
  <si>
    <t>M2-ELC-GPS-SDRG-0901-0350</t>
  </si>
  <si>
    <t>MAIN SWITCHBOARD MSB-KA-02 ENERLIN'X COMMS NETWORK DIAGRAM</t>
  </si>
  <si>
    <t>M2-ELC-GPS-SDRG-0901-0351</t>
  </si>
  <si>
    <t>MAIN SWITCHBOARD MSB-KA-02 NETWORK SWITCH NETWORK DIAGRAM</t>
  </si>
  <si>
    <t>M2-ELC-GPS-SDRG-0901-0400</t>
  </si>
  <si>
    <t>MAIN SWITCHBOARD MSB-KB-01 DRAWING INDEX</t>
  </si>
  <si>
    <t>M2-ELC-GPS-SDRG-0901-0410</t>
  </si>
  <si>
    <t>MAIN SWITCHBOARD MSB-KB-01 SINGLE LINE DIAGRAM</t>
  </si>
  <si>
    <t>M2-ELC-GPS-SDRG-0901-0420</t>
  </si>
  <si>
    <t>MAIN SWITCHBOARD MSB-KB-01 MSB-KB-1 ENCLOSURE GENERAL ARRANGEMENT</t>
  </si>
  <si>
    <t>M2-ELC-GPS-SDRG-0901-0421</t>
  </si>
  <si>
    <t>MAIN SWITCHBOARD MSB-KB-01 GEN INCOMER SECTION GENERAL ARRANGEMENT</t>
  </si>
  <si>
    <t>M2-ELC-GPS-SDRG-0901-0422</t>
  </si>
  <si>
    <t>MAIN SWITCHBOARD MSB-KB-01 LOAD BANK SECTION GENERAL ARRANGEMENT</t>
  </si>
  <si>
    <t>M2-ELC-GPS-SDRG-0901-0423</t>
  </si>
  <si>
    <t>MAIN SWITCHBOARD MSB-KB-01 GEN BUSTIE SECTION GENERAL ARRANGEMENT</t>
  </si>
  <si>
    <t>M2-ELC-GPS-SDRG-0901-0424</t>
  </si>
  <si>
    <t>MAIN SWITCHBOARD MSB-KB-01</t>
  </si>
  <si>
    <t>M2-ELC-GPS-SDRG-0901-0425</t>
  </si>
  <si>
    <t>MAIN SWITCHBOARD MSB-KB-01 ATS SECTION GENERAL ARRANGEMENT</t>
  </si>
  <si>
    <t>M2-ELC-GPS-SDRG-0901-0426</t>
  </si>
  <si>
    <t>MAIN SWITCHBOARD MSB-KB-01 REAR VIEW GENERAL ARRANGEMENT</t>
  </si>
  <si>
    <t>M2-ELC-GPS-SDRG-0901-0427</t>
  </si>
  <si>
    <t>MAIN SWITCHBOARD MSB-KB-01 PLINTH DETAILS GENERAL ARRANGEMENT</t>
  </si>
  <si>
    <t>M2-ELC-GPS-SDRG-0901-0450</t>
  </si>
  <si>
    <t>MAIN SWITCHBOARD MSB-KB-01 BILL OF MATERIALS</t>
  </si>
  <si>
    <t>M2-ELC-GPS-SDRG-0901-0451</t>
  </si>
  <si>
    <t>M2-ELC-GPS-SDRG-0901-0452</t>
  </si>
  <si>
    <t>M2-ELC-GPS-SDRG-0901-0470</t>
  </si>
  <si>
    <t>MAIN SWITCHBOARD MSB-KB-01 1F GSB-KB GEN INCOMING SECTION LABEL SCHEDULE</t>
  </si>
  <si>
    <t>M2-ELC-GPS-SDRG-0901-0471</t>
  </si>
  <si>
    <t>MAIN SWITCHBOARD MSB-KB-01 2F</t>
  </si>
  <si>
    <t>3F GSB-KB LOADBANK OUT SECTION LABEL SCHEDULE</t>
  </si>
  <si>
    <t>M2-ELC-GPS-SDRG-0901-0472</t>
  </si>
  <si>
    <t>MAIN SWITCHBOARD MSB-KB-01 4F MSB-KB-PART-1 GEN BUS TIE SECTION LABEL SCHEDULE</t>
  </si>
  <si>
    <t>M2-ELC-GPS-SDRG-0901-0473</t>
  </si>
  <si>
    <t>MAIN SWITCHBOARD MSB-KB-01 5F MSB-KB-PART-1</t>
  </si>
  <si>
    <t>M2-ELC-GPS-SDRG-0901-0474</t>
  </si>
  <si>
    <t>MAIN SWITCHBOARD MSB-KB-01 6F MSB-KB-PART-1 ATS SECTION LABEL SCHEDULE</t>
  </si>
  <si>
    <t>M2-ELC-GPS-SDRG-0901-0480</t>
  </si>
  <si>
    <t>MAIN SWITCHBOARD MSB-KB-01 GENERATOR INCOMER POWER DIAGRAM</t>
  </si>
  <si>
    <t>M2-ELC-GPS-SDRG-0901-0481</t>
  </si>
  <si>
    <t>MAIN SWITCHBOARD MSB-KB-01 LOAD BANK FEEDER 1 OF 2 POWER DIAGRAM</t>
  </si>
  <si>
    <t>M2-ELC-GPS-SDRG-0901-0482</t>
  </si>
  <si>
    <t>MAIN SWITCHBOARD MSB-KB-01 LOAD BANK FEEDER 2 OF 2 POWER DIAGRAM</t>
  </si>
  <si>
    <t>M2-ELC-GPS-SDRG-0901-0483</t>
  </si>
  <si>
    <t>MAIN SWITCHBOARD MSB-KB-01 BUS TIE POWER DIAGRAM</t>
  </si>
  <si>
    <t>M2-ELC-GPS-SDRG-0901-0484</t>
  </si>
  <si>
    <t>M2-ELC-GPS-SDRG-0901-0485</t>
  </si>
  <si>
    <t>MAIN SWITCHBOARD MSB-KB-01 MSB-KB-PART-2 FEEDER POWER DIAGRAM</t>
  </si>
  <si>
    <t>M2-ELC-GPS-SDRG-0901-0500</t>
  </si>
  <si>
    <t>MAIN SWITCHBOARD MSB-KB-01 110VDC POWER SUPPLY POWER DIAGRAM</t>
  </si>
  <si>
    <t>M2-ELC-GPS-SDRG-0901-0501</t>
  </si>
  <si>
    <t>MAIN SWITCHBOARD MSB-KB-01 24VDC POWER SUPPLY POWER DIAGRAM</t>
  </si>
  <si>
    <t>M2-ELC-GPS-SDRG-0901-0502</t>
  </si>
  <si>
    <t>MAIN SWITCHBOARD MSB-KB-01 24VDC DISTRIBUTION POWER DIAGRAM</t>
  </si>
  <si>
    <t>M2-ELC-GPS-SDRG-0901-0520</t>
  </si>
  <si>
    <t>MAIN SWITCHBOARD MSB-KB-01 AUTOMATIC TRANSFER SWITCH CONTROL DIAGRAM</t>
  </si>
  <si>
    <t>M2-ELC-GPS-SDRG-0901-0550</t>
  </si>
  <si>
    <t>MAIN SWITCHBOARD MSB-KB-01 NETWORK DIAGRAM</t>
  </si>
  <si>
    <t>M2-ELC-GPS-SDRG-0901-0600</t>
  </si>
  <si>
    <t>MAIN SWITCHBOARD MSB-KB-02 DRAWING INDEX SH.1</t>
  </si>
  <si>
    <t>M2-ELC-GPS-SDRG-0901-0601</t>
  </si>
  <si>
    <t>MAIN SWITCHBOARD MSB-KB-02 DRAWING INDEX SH.2</t>
  </si>
  <si>
    <t>M2-ELC-GPS-SDRG-0901-0610</t>
  </si>
  <si>
    <t>MAIN SWITCHBOARD MSB-KB-02 SINGLE LINE DIAGRAM 1 OF 3</t>
  </si>
  <si>
    <t>M2-ELC-GPS-SDRG-0901-0611</t>
  </si>
  <si>
    <t>MAIN SWITCHBOARD MSB-KB-02 SINGLE LINE DIAGRAM 2 OF 3</t>
  </si>
  <si>
    <t>M2-ELC-GPS-SDRG-0901-0612</t>
  </si>
  <si>
    <t>MAIN SWITCHBOARD MSB-KB-02 SINGLE LINE DIAGRAM 3 OF 3</t>
  </si>
  <si>
    <t>M2-ELC-GPS-SDRG-0901-0620</t>
  </si>
  <si>
    <t>MAIN SWITCHBOARD MSB-KB-02 EXTERNAL VIEW TIERS 1-8 GENERAL ARRANGEMENT</t>
  </si>
  <si>
    <t>M2-ELC-GPS-SDRG-0901-0621</t>
  </si>
  <si>
    <t>MAIN SWITCHBOARD MSB-KB-02 EXTERNAL VIEW TIERS 9-18 GENERAL ARRANGEMENT</t>
  </si>
  <si>
    <t>M2-ELC-GPS-SDRG-0901-0622</t>
  </si>
  <si>
    <t>MAIN SWITCHBOARD MSB-KB-02 INTERNAL VIEW TIERS 1 GENERAL ARRANGEMENT</t>
  </si>
  <si>
    <t>M2-ELC-GPS-SDRG-0901-0623</t>
  </si>
  <si>
    <t>MAIN SWITCHBOARD MSB-KB-02 INTERNAL VIEW TIERS 2 GENERAL ARRANGEMENT</t>
  </si>
  <si>
    <t>M2-ELC-GPS-SDRG-0901-0624</t>
  </si>
  <si>
    <t>MAIN SWITCHBOARD MSB-KB-02 INTERNAL VIEW TIERS 3 GENERAL ARRANGEMENT</t>
  </si>
  <si>
    <t>M2-ELC-GPS-SDRG-0901-0625</t>
  </si>
  <si>
    <t>MAIN SWITCHBOARD MSB-KB-02 INTERNAL VIEW TIERS 4 GENERAL ARRANGEMENT</t>
  </si>
  <si>
    <t>M2-ELC-GPS-SDRG-0901-0626</t>
  </si>
  <si>
    <t>MAIN SWITCHBOARD MSB-KB-02 INTERNAL VIEW TIERS 5 GENERAL ARRANGEMENT</t>
  </si>
  <si>
    <t>M2-ELC-GPS-SDRG-0901-0627</t>
  </si>
  <si>
    <t>MAIN SWITCHBOARD MSB-KB-02 INTERNAL VIEW TIERS 6 GENERAL ARRANGEMENT</t>
  </si>
  <si>
    <t>M2-ELC-GPS-SDRG-0901-0628</t>
  </si>
  <si>
    <t>MAIN SWITCHBOARD MSB-KB-02 INTERNAL VIEW TIERS 7 GENERAL ARRANGEMENT</t>
  </si>
  <si>
    <t>M2-ELC-GPS-SDRG-0901-0629</t>
  </si>
  <si>
    <t>MAIN SWITCHBOARD MSB-KB-02 INTERNAL VIEW TIERS 8 &amp; 9 GENERAL ARRANGEMENT</t>
  </si>
  <si>
    <t>M2-ELC-GPS-SDRG-0901-0630</t>
  </si>
  <si>
    <t>MAIN SWITCHBOARD MSB-KB-02 INTERNAL VIEW TIERS 10 GENERAL ARRANGEMENT</t>
  </si>
  <si>
    <t>M2-ELC-GPS-SDRG-0901-0631</t>
  </si>
  <si>
    <t>MAIN SWITCHBOARD MSB-KB-02 INTERNAL VIEW TIERS 11 GENERAL ARRANGEMENT</t>
  </si>
  <si>
    <t>M2-ELC-GPS-SDRG-0901-0632</t>
  </si>
  <si>
    <t>MAIN SWITCHBOARD MSB-KB-02 INTERNAL VIEW TIERS 12 GENERAL ARRANGEMENT</t>
  </si>
  <si>
    <t>M2-ELC-GPS-SDRG-0901-0633</t>
  </si>
  <si>
    <t>MAIN SWITCHBOARD MSB-KB-02 INTERNAL VIEW TIERS 13 GENERAL ARRANGEMENT</t>
  </si>
  <si>
    <t>M2-ELC-GPS-SDRG-0901-0634</t>
  </si>
  <si>
    <t>MAIN SWITCHBOARD MSB-KB-02 INTERNAL VIEW TIERS 14 &amp; 15 GENERAL ARRANGEMENT</t>
  </si>
  <si>
    <t>M2-ELC-GPS-SDRG-0901-0635</t>
  </si>
  <si>
    <t>MAIN SWITCHBOARD MSB-KB-02 INTERNAL VIEW TIERS 16 GENERAL ARRANGEMENT</t>
  </si>
  <si>
    <t>M2-ELC-GPS-SDRG-0901-0636</t>
  </si>
  <si>
    <t>MAIN SWITCHBOARD MSB-KB-02 INTERNAL VIEW TIERS 17 &amp; 18 GENERAL ARRANGEMENT</t>
  </si>
  <si>
    <t>M2-ELC-GPS-SDRG-0901-0637</t>
  </si>
  <si>
    <t>MAIN SWITCHBOARD MSB-KB-02 EXTERNAL REAR VIEW TIERS GENERAL ARRANGEMENT</t>
  </si>
  <si>
    <t>M2-ELC-GPS-SDRG-0901-0638</t>
  </si>
  <si>
    <t>MAIN SWITCHBOARD MSB-KB-02 PLINTH DETAILS GENERAL ARRANGEMENT 1 OF 2</t>
  </si>
  <si>
    <t>M2-ELC-GPS-SDRG-0901-0639</t>
  </si>
  <si>
    <t>MAIN SWITCHBOARD MSB-KB-02 PLINTH DETAILS GENERAL ARRANGEMENT 2 OF 2</t>
  </si>
  <si>
    <t>M2-ELC-GPS-SDRG-0901-0650</t>
  </si>
  <si>
    <t>MAIN SWITCHBOARD MSB-KB-02 BILL OF MATERIALS 1 OF 5</t>
  </si>
  <si>
    <t>M2-ELC-GPS-SDRG-0901-0651</t>
  </si>
  <si>
    <t>MAIN SWITCHBOARD MSB-KB-02 BILL OF MATERIALS 2 OF 5</t>
  </si>
  <si>
    <t>M2-ELC-GPS-SDRG-0901-0652</t>
  </si>
  <si>
    <t>MAIN SWITCHBOARD MSB-KB-02 BILL OF MATERIALS 3 OF 5</t>
  </si>
  <si>
    <t>M2-ELC-GPS-SDRG-0901-0653</t>
  </si>
  <si>
    <t>MAIN SWITCHBOARD MSB-KB-02 BILL OF MATERIALS 4 OF 5</t>
  </si>
  <si>
    <t>M2-ELC-GPS-SDRG-0901-0654</t>
  </si>
  <si>
    <t>MAIN SWITCHBOARD MSB-KB-02 BILL OF MATERIALS 5 OF 5</t>
  </si>
  <si>
    <t>M2-ELC-GPS-SDRG-0901-0670</t>
  </si>
  <si>
    <t>MAIN SWITCHBOARD MSB-KB-02 1F MSB-KB-02 CHILLER SECTION LABEL SCHEDULE</t>
  </si>
  <si>
    <t>M2-ELC-GPS-SDRG-0901-0671</t>
  </si>
  <si>
    <t>MAIN SWITCHBOARD MSB-KB-02 2F MSB-KB-02 SECOND FEED SECTION LABEL SCHEDULE</t>
  </si>
  <si>
    <t>M2-ELC-GPS-SDRG-0901-0672</t>
  </si>
  <si>
    <t>MAIN SWITCHBOARD MSB-KB-02 3F-4F-5F LGT, PWR, &amp; MCC SECTIONS LABEL SCHEDULE</t>
  </si>
  <si>
    <t>M2-ELC-GPS-SDRG-0901-0673</t>
  </si>
  <si>
    <t>MAIN SWITCHBOARD MSB-KB-02 6F-7F HYPER DH &amp; BUS TIE SECTIONS LABEL SCHEDULE</t>
  </si>
  <si>
    <t>M2-ELC-GPS-SDRG-0901-0674</t>
  </si>
  <si>
    <t>MAIN SWITCHBOARD MSB-KB-02 8F-9F MSB-KB-02 SECTIONS LABEL SCHEDULE</t>
  </si>
  <si>
    <t>M2-ELC-GPS-SDRG-0901-0675</t>
  </si>
  <si>
    <t>MAIN SWITCHBOARD MSB-KB-02 10F-13F MSB-KB-02 SECTIONS LABEL SCHEDULE</t>
  </si>
  <si>
    <t>M2-ELC-GPS-SDRG-0901-0676</t>
  </si>
  <si>
    <t>MAIN SWITCHBOARD MSB-KB-02 11F-12F-14F UPS INCOMMERS SECTIONS LABEL SCHEDULE</t>
  </si>
  <si>
    <t>M2-ELC-GPS-SDRG-0901-0677</t>
  </si>
  <si>
    <t>MAIN SWITCHBOARD MSB-KB-02 15F-16F USP FEEDERS SECTIONS LABEL SCHEDULE</t>
  </si>
  <si>
    <t>M2-ELC-GPS-SDRG-0901-0678</t>
  </si>
  <si>
    <t>MAIN SWITCHBOARD MSB-KB-02 17F-18F UPS FIRE SERVICES SECTIONS LABEL SCHEDULE</t>
  </si>
  <si>
    <t>M2-ELC-GPS-SDRG-0901-0680</t>
  </si>
  <si>
    <t>MAIN SWITCHBOARD MSB-KB-02</t>
  </si>
  <si>
    <t>M2-ELC-GPS-SDRG-0901-0681</t>
  </si>
  <si>
    <t>M2-ELC-GPS-SDRG-0901-0682</t>
  </si>
  <si>
    <t>MAIN SWITCHBOARD MSB-KB-02 HYPER DH BRANCH FEEDER POWER DIAGRAM</t>
  </si>
  <si>
    <t>M2-ELC-GPS-SDRG-0901-0683</t>
  </si>
  <si>
    <t>MAIN SWITCHBOARD MSB-KB-02 MCC-X CHILLER FEEDERS POWER DIAGRAM</t>
  </si>
  <si>
    <t>M2-ELC-GPS-SDRG-0901-0684</t>
  </si>
  <si>
    <t>M2-ELC-GPS-SDRG-0901-0685</t>
  </si>
  <si>
    <t>M2-ELC-GPS-SDRG-0901-0686</t>
  </si>
  <si>
    <t>M2-ELC-GPS-SDRG-0901-0687</t>
  </si>
  <si>
    <t>MAIN SWITCHBOARD MSB-KB-02 BUS TIE POWER DIAGRAM</t>
  </si>
  <si>
    <t>M2-ELC-GPS-SDRG-0901-0688</t>
  </si>
  <si>
    <t>MAIN SWITCHBOARD MSB-KB-02 UPS DISTRIBUTION POWER DIAGRAM</t>
  </si>
  <si>
    <t>M2-ELC-GPS-SDRG-0901-0689</t>
  </si>
  <si>
    <t>MAIN SWITCHBOARD MSB-KB-02 LOAD BANK FEEDER POWER DIAGRAM</t>
  </si>
  <si>
    <t>M2-ELC-GPS-SDRG-0901-0690</t>
  </si>
  <si>
    <t>MAIN SWITCHBOARD MSB-KB-02 UPS-X1 INCOMER POWER DIAGRAM</t>
  </si>
  <si>
    <t>M2-ELC-GPS-SDRG-0901-0691</t>
  </si>
  <si>
    <t>MAIN SWITCHBOARD MSB-KB-02 UPS-X2 INCOMER POWER DIAGRAM</t>
  </si>
  <si>
    <t>M2-ELC-GPS-SDRG-0901-0692</t>
  </si>
  <si>
    <t>MAIN SWITCHBOARD MSB-KB-02 ESSENTIAL SERVICES POWER DIAGRAM 1 OF 2</t>
  </si>
  <si>
    <t>M2-ELC-GPS-SDRG-0901-0693</t>
  </si>
  <si>
    <t>MAIN SWITCHBOARD MSB-KB-02 ESSENTIAL SERVICES POWER DIAGRAM 2 OF 2</t>
  </si>
  <si>
    <t>M2-ELC-GPS-SDRG-0901-0694</t>
  </si>
  <si>
    <t>MAIN SWITCHBOARD MSB-KB-02 UPS FEEDERS POWER DIAGRAM</t>
  </si>
  <si>
    <t>M2-ELC-GPS-SDRG-0901-0700</t>
  </si>
  <si>
    <t>MAIN SWITCHBOARD MSB-KB-02 110VDC POWER SUPPLY POWER DIAGRAM</t>
  </si>
  <si>
    <t>M2-ELC-GPS-SDRG-0901-0701</t>
  </si>
  <si>
    <t>MAIN SWITCHBOARD MSB-KB-02 24VDC POWER SUPPLY POWER DIAGRAM 1 OF 2</t>
  </si>
  <si>
    <t>M2-ELC-GPS-SDRG-0901-0702</t>
  </si>
  <si>
    <t>MAIN SWITCHBOARD MSB-KB-02 24VDC POWER SUPPLY POWER DIAGRAM 2 OF 2</t>
  </si>
  <si>
    <t>M2-ELC-GPS-SDRG-0901-0703</t>
  </si>
  <si>
    <t>MAIN SWITCHBOARD MSB-KB-02 CL KEY SWITCH 20A 2NO 2NC FOR UPS BOARD</t>
  </si>
  <si>
    <t>M2-ELC-GPS-SDRG-0901-0750</t>
  </si>
  <si>
    <t>MAIN SWITCHBOARD MSB-KB-02 ENERLIN'X COMMS NETWORK DIAGRAM</t>
  </si>
  <si>
    <t>M2-ELC-GPS-SDRG-0901-0751</t>
  </si>
  <si>
    <t>MAIN SWITCHBOARD MSB-KB-02 NETWORK SWITCH NETWORK DIAGRAM</t>
  </si>
  <si>
    <t>M2-ELC-GPS-SDRG-0901-0800</t>
  </si>
  <si>
    <t>MAIN SWITCHBOARD MSB-KC-01 DRAWING INDEX</t>
  </si>
  <si>
    <t>M2-ELC-GPS-SDRG-0901-0810</t>
  </si>
  <si>
    <t>MAIN SWITCHBOARD MSB-KC-01 SINGLE LINE DIAGRAM</t>
  </si>
  <si>
    <t>M2-ELC-GPS-SDRG-0901-0820</t>
  </si>
  <si>
    <t>MAIN SWITCHBOARD MSB-KC-01 MSB-KC-1 ENCLOSURE GENERAL ARRANGEMENT</t>
  </si>
  <si>
    <t>M2-ELC-GPS-SDRG-0901-0821</t>
  </si>
  <si>
    <t>MAIN SWITCHBOARD MSB-KC-01 GEN INCOMER SECTION GENERAL ARRANGEMENT</t>
  </si>
  <si>
    <t>M2-ELC-GPS-SDRG-0901-0822</t>
  </si>
  <si>
    <t>MAIN SWITCHBOARD MSB-KC-01 LOAD BANK SECTION GENERAL ARRANGEMENT</t>
  </si>
  <si>
    <t>M2-ELC-GPS-SDRG-0901-0823</t>
  </si>
  <si>
    <t>MAIN SWITCHBOARD MSB-KC-01 GEN BUSTIE SECTION GENERAL ARRANGEMENT</t>
  </si>
  <si>
    <t>M2-ELC-GPS-SDRG-0901-0824</t>
  </si>
  <si>
    <t>MAIN SWITCHBOARD MSB-KC-01</t>
  </si>
  <si>
    <t>M2-ELC-GPS-SDRG-0901-0825</t>
  </si>
  <si>
    <t>MAIN SWITCHBOARD MSB-KC-01 ATS SECTION GENERAL ARRANGEMENT</t>
  </si>
  <si>
    <t>M2-ELC-GPS-SDRG-0901-0826</t>
  </si>
  <si>
    <t>MAIN SWITCHBOARD MSB-KC-01 REAR VIEW GENERAL ARRANGEMENT</t>
  </si>
  <si>
    <t>M2-ELC-GPS-SDRG-0901-0827</t>
  </si>
  <si>
    <t>MAIN SWITCHBOARD MSB-KC-01 PLINTH DETAILS GENERAL ARRANGEMENT</t>
  </si>
  <si>
    <t>M2-ELC-GPS-SDRG-0901-0850</t>
  </si>
  <si>
    <t>MAIN SWITCHBOARD MSB-KC-01 BILL OF MATERIALS</t>
  </si>
  <si>
    <t>M2-ELC-GPS-SDRG-0901-0851</t>
  </si>
  <si>
    <t>M2-ELC-GPS-SDRG-0901-0852</t>
  </si>
  <si>
    <t>M2-ELC-GPS-SDRG-0901-0870</t>
  </si>
  <si>
    <t>MAIN SWITCHBOARD MSB-KC-01 1F GSB-KB GEN INCOMING SECTION LABEL SCHEDULE</t>
  </si>
  <si>
    <t>M2-ELC-GPS-SDRG-0901-0871</t>
  </si>
  <si>
    <t>MAIN SWITCHBOARD MSB-KC-01 2F</t>
  </si>
  <si>
    <t>M2-ELC-GPS-SDRG-0901-0872</t>
  </si>
  <si>
    <t>MAIN SWITCHBOARD MSB-KC-01 4F MSB-KC-PART-1 GEN BUS TIE SECTION LABEL SCHEDULE</t>
  </si>
  <si>
    <t>M2-ELC-GPS-SDRG-0901-0873</t>
  </si>
  <si>
    <t>MAIN SWITCHBOARD MSB-KC-01 5F MSB-KC-PART-1</t>
  </si>
  <si>
    <t>M2-ELC-GPS-SDRG-0901-0874</t>
  </si>
  <si>
    <t>MAIN SWITCHBOARD MSB-KC-01 6F MSB-KC-PART-1 ATS SECTION LABEL SCHEDULE</t>
  </si>
  <si>
    <t>M2-ELC-GPS-SDRG-0901-0880</t>
  </si>
  <si>
    <t>MAIN SWITCHBOARD MSB-KC-01 GENERATOR INCOMER POWER DIAGRAM</t>
  </si>
  <si>
    <t>M2-ELC-GPS-SDRG-0901-0881</t>
  </si>
  <si>
    <t>MAIN SWITCHBOARD MSB-KC-01 LOAD BANK FEEDER 1 OF 2 POWER DIAGRAM</t>
  </si>
  <si>
    <t>M2-ELC-GPS-SDRG-0901-0882</t>
  </si>
  <si>
    <t>MAIN SWITCHBOARD MSB-KC-01 LOAD BANK FEEDER 2 OF 2 POWER DIAGRAM</t>
  </si>
  <si>
    <t>M2-ELC-GPS-SDRG-0901-0883</t>
  </si>
  <si>
    <t>MAIN SWITCHBOARD MSB-KC-01 BUS TIE POWER DIAGRAM</t>
  </si>
  <si>
    <t>M2-ELC-GPS-SDRG-0901-0884</t>
  </si>
  <si>
    <t>M2-ELC-GPS-SDRG-0901-0885</t>
  </si>
  <si>
    <t>MAIN SWITCHBOARD MSB-KC-01 MSB-KC-PART-2 FEEDER POWER DIAGRAM</t>
  </si>
  <si>
    <t>M2-ELC-GPS-SDRG-0901-0900</t>
  </si>
  <si>
    <t>MAIN SWITCHBOARD MSB-KC-01 110VDC POWER SUPPLY POWER DIAGRAM</t>
  </si>
  <si>
    <t>M2-ELC-GPS-SDRG-0901-0901</t>
  </si>
  <si>
    <t>MAIN SWITCHBOARD MSB-KC-01 24VDC POWER SUPPLY POWER DIAGRAM</t>
  </si>
  <si>
    <t>M2-ELC-GPS-SDRG-0901-0902</t>
  </si>
  <si>
    <t>MAIN SWITCHBOARD MSB-KC-01 24VDC DISTRIBUTION POWER DIAGRAM</t>
  </si>
  <si>
    <t>M2-ELC-GPS-SDRG-0901-0920</t>
  </si>
  <si>
    <t>MAIN SWITCHBOARD MSB-KC-01 AUTOMATIC TRANSFER SWITCH CONTROL DIAGRAM</t>
  </si>
  <si>
    <t>M2-ELC-GPS-SDRG-0901-0950</t>
  </si>
  <si>
    <t>MAIN SWITCHBOARD MSB-KC-01 NETWORK DIAGRAM</t>
  </si>
  <si>
    <t>M2-ELC-GPS-SDRG-0901-1000</t>
  </si>
  <si>
    <t>MAIN SWITCHBOARD MSB-KC-02 DRAWING INDEX SH.1</t>
  </si>
  <si>
    <t>M2-ELC-GPS-SDRG-0901-1001</t>
  </si>
  <si>
    <t>MAIN SWITCHBOARD MSB-KC-02 DRAWING INDEX SH.2</t>
  </si>
  <si>
    <t>M2-ELC-GPS-SDRG-0901-1010</t>
  </si>
  <si>
    <t>MAIN SWITCHBOARD MSB-KC-02 SINGLE LINE DIAGRAM 1 OF 3</t>
  </si>
  <si>
    <t>M2-ELC-GPS-SDRG-0901-1011</t>
  </si>
  <si>
    <t>MAIN SWITCHBOARD MSB-KC-02 SINGLE LINE DIAGRAM 2 OF 3</t>
  </si>
  <si>
    <t>M2-ELC-GPS-SDRG-0901-1012</t>
  </si>
  <si>
    <t>MAIN SWITCHBOARD MSB-KC-02 SINGLE LINE DIAGRAM 3 OF 3</t>
  </si>
  <si>
    <t>M2-ELC-GPS-SDRG-0901-1020</t>
  </si>
  <si>
    <t>MAIN SWITCHBOARD MSB-KC-02 EXTERNAL VIEW TIERS 1-8 GENERAL ARRANGEMENT</t>
  </si>
  <si>
    <t>M2-ELC-GPS-SDRG-0901-1021</t>
  </si>
  <si>
    <t>MAIN SWITCHBOARD MSB-KC-02 EXTERNAL VIEW TIERS 9-18 GENERAL ARRANGEMENT</t>
  </si>
  <si>
    <t>M2-ELC-GPS-SDRG-0901-1022</t>
  </si>
  <si>
    <t>MAIN SWITCHBOARD MSB-KC-02 INTERNAL VIEW TIERS 1 GENERAL ARRANGEMENT</t>
  </si>
  <si>
    <t>M2-ELC-GPS-SDRG-0901-1023</t>
  </si>
  <si>
    <t>MAIN SWITCHBOARD MSB-KC-02 INTERNAL VIEW TIERS 2 GENERAL ARRANGEMENT</t>
  </si>
  <si>
    <t>M2-ELC-GPS-SDRG-0901-1024</t>
  </si>
  <si>
    <t>MAIN SWITCHBOARD MSB-KC-02 INTERNAL VIEW TIERS 3 GENERAL ARRANGEMENT</t>
  </si>
  <si>
    <t>M2-ELC-GPS-SDRG-0901-1025</t>
  </si>
  <si>
    <t>MAIN SWITCHBOARD MSB-KC-02 INTERNAL VIEW TIERS 4 GENERAL ARRANGEMENT</t>
  </si>
  <si>
    <t>M2-ELC-GPS-SDRG-0901-1026</t>
  </si>
  <si>
    <t>MAIN SWITCHBOARD MSB-KC-02 INTERNAL VIEW TIERS 5 GENERAL ARRANGEMENT</t>
  </si>
  <si>
    <t>M2-ELC-GPS-SDRG-0901-1027</t>
  </si>
  <si>
    <t>MAIN SWITCHBOARD MSB-KC-02 INTERNAL VIEW TIERS 6 GENERAL ARRANGEMENT</t>
  </si>
  <si>
    <t>M2-ELC-GPS-SDRG-0901-1028</t>
  </si>
  <si>
    <t>MAIN SWITCHBOARD MSB-KC-02 INTERNAL VIEW TIERS 7 GENERAL ARRANGEMENT</t>
  </si>
  <si>
    <t>M2-ELC-GPS-SDRG-0901-1029</t>
  </si>
  <si>
    <t>MAIN SWITCHBOARD MSB-KC-02 INTERNAL VIEW TIERS 8 &amp; 9 GENERAL ARRANGEMENT</t>
  </si>
  <si>
    <t>M2-ELC-GPS-SDRG-0901-1030</t>
  </si>
  <si>
    <t>MAIN SWITCHBOARD MSB-KC-02 INTERNAL VIEW TIERS 10 GENERAL ARRANGEMENT</t>
  </si>
  <si>
    <t>M2-ELC-GPS-SDRG-0901-1031</t>
  </si>
  <si>
    <t>MAIN SWITCHBOARD MSB-KC-02 INTERNAL VIEW TIERS 11 GENERAL ARRANGEMENT</t>
  </si>
  <si>
    <t>M2-ELC-GPS-SDRG-0901-1032</t>
  </si>
  <si>
    <t>MAIN SWITCHBOARD MSB-KC-02 INTERNAL VIEW TIERS 12 GENERAL ARRANGEMENT</t>
  </si>
  <si>
    <t>M2-ELC-GPS-SDRG-0901-1033</t>
  </si>
  <si>
    <t>MAIN SWITCHBOARD MSB-KC-02 INTERNAL VIEW TIERS 13 GENERAL ARRANGEMENT</t>
  </si>
  <si>
    <t>M2-ELC-GPS-SDRG-0901-1034</t>
  </si>
  <si>
    <t>MAIN SWITCHBOARD MSB-KC-02 INTERNAL VIEW TIERS 14 &amp; 15 GENERAL ARRANGEMENT</t>
  </si>
  <si>
    <t>M2-ELC-GPS-SDRG-0901-1035</t>
  </si>
  <si>
    <t>MAIN SWITCHBOARD MSB-KC-02 INTERNAL VIEW TIERS 16 GENERAL ARRANGEMENT</t>
  </si>
  <si>
    <t>M2-ELC-GPS-SDRG-0901-1036</t>
  </si>
  <si>
    <t>MAIN SWITCHBOARD MSB-KC-02 INTERNAL VIEW TIERS 17 &amp; 18 GENERAL ARRANGEMENT</t>
  </si>
  <si>
    <t>M2-ELC-GPS-SDRG-0901-1037</t>
  </si>
  <si>
    <t>MAIN SWITCHBOARD MSB-KC-02 EXTERNAL REAR VIEW TIERS GENERAL ARRANGEMENT</t>
  </si>
  <si>
    <t>M2-ELC-GPS-SDRG-0901-1038</t>
  </si>
  <si>
    <t>MAIN SWITCHBOARD MSB-KC-02 PLINTH DETAILS GENERAL ARRANGEMENT 1 OF 2</t>
  </si>
  <si>
    <t>M2-ELC-GPS-SDRG-0901-1039</t>
  </si>
  <si>
    <t>MAIN SWITCHBOARD MSB-KC-02 PLINTH DETAILS GENERAL ARRANGEMENT 2 OF 2</t>
  </si>
  <si>
    <t>M2-ELC-GPS-SDRG-0901-1050</t>
  </si>
  <si>
    <t>MAIN SWITCHBOARD MSB-KC-02 BILL OF MATERIALS 1 OF 5</t>
  </si>
  <si>
    <t>M2-ELC-GPS-SDRG-0901-1051</t>
  </si>
  <si>
    <t>MAIN SWITCHBOARD MSB-KC-02 BILL OF MATERIALS 2 OF 5</t>
  </si>
  <si>
    <t>M2-ELC-GPS-SDRG-0901-1052</t>
  </si>
  <si>
    <t>MAIN SWITCHBOARD MSB-KC-02 BILL OF MATERIALS 3 OF 5</t>
  </si>
  <si>
    <t>M2-ELC-GPS-SDRG-0901-1053</t>
  </si>
  <si>
    <t>MAIN SWITCHBOARD MSB-KC-02 BILL OF MATERIALS 4 OF 5</t>
  </si>
  <si>
    <t>M2-ELC-GPS-SDRG-0901-1054</t>
  </si>
  <si>
    <t>MAIN SWITCHBOARD MSB-KC-02 BILL OF MATERIALS 5 OF 5</t>
  </si>
  <si>
    <t>M2-ELC-GPS-SDRG-0901-1070</t>
  </si>
  <si>
    <t>MAIN SWITCHBOARD MSB-KC-02 1F MSB-KC-02 CHILLER SECTION LABEL SCHEDULE</t>
  </si>
  <si>
    <t>M2-ELC-GPS-SDRG-0901-1071</t>
  </si>
  <si>
    <t>MAIN SWITCHBOARD MSB-KC-02 2F MSB-KC-02 SECOND FEED SECTION LABEL SCHEDULE</t>
  </si>
  <si>
    <t>M2-ELC-GPS-SDRG-0901-1072</t>
  </si>
  <si>
    <t>MAIN SWITCHBOARD MSB-KC-02 3F-4F-5F LGT, PWR, &amp; MCC SECTIONS LABEL SCHEDULE</t>
  </si>
  <si>
    <t>M2-ELC-GPS-SDRG-0901-1073</t>
  </si>
  <si>
    <t>MAIN SWITCHBOARD MSB-KC-02 6F-7F HYPER DH &amp; BUS TIE SECTIONS LABEL SCHEDULE</t>
  </si>
  <si>
    <t>M2-ELC-GPS-SDRG-0901-1074</t>
  </si>
  <si>
    <t>MAIN SWITCHBOARD MSB-KC-02 8F-9F MSB-KC-02 SECTIONS LABEL SCHEDULE</t>
  </si>
  <si>
    <t>M2-ELC-GPS-SDRG-0901-1075</t>
  </si>
  <si>
    <t>MAIN SWITCHBOARD MSB-KC-02 10F-13F MSB-KC-02 SECTIONS LABEL SCHEDULE</t>
  </si>
  <si>
    <t>M2-ELC-GPS-SDRG-0901-1076</t>
  </si>
  <si>
    <t>MAIN SWITCHBOARD MSB-KC-02 11F-12F-14F UPS INCOMMERS SECTIONS LABEL SCHEDULE</t>
  </si>
  <si>
    <t>M2-ELC-GPS-SDRG-0901-1077</t>
  </si>
  <si>
    <t>MAIN SWITCHBOARD MSB-KC-02 15F-16F USP FEEDERS SECTIONS LABEL SCHEDULE</t>
  </si>
  <si>
    <t>M2-ELC-GPS-SDRG-0901-1078</t>
  </si>
  <si>
    <t>MAIN SWITCHBOARD MSB-KC-02 17F-18F UPS FIRE SERVICES SECTIONS LABEL SCHEDULE</t>
  </si>
  <si>
    <t>M2-ELC-GPS-SDRG-0901-1080</t>
  </si>
  <si>
    <t>MAIN SWITCHBOARD MSB-KC-02</t>
  </si>
  <si>
    <t>M2-ELC-GPS-SDRG-0901-1081</t>
  </si>
  <si>
    <t>M2-ELC-GPS-SDRG-0901-1082</t>
  </si>
  <si>
    <t>MAIN SWITCHBOARD MSB-KC-02 HYPER DH BRANCH FEEDER POWER DIAGRAM</t>
  </si>
  <si>
    <t>M2-ELC-GPS-SDRG-0901-1083</t>
  </si>
  <si>
    <t>MAIN SWITCHBOARD MSB-KC-02 MCC-X CHILLER FEEDERS POWER DIAGRAM</t>
  </si>
  <si>
    <t>M2-ELC-GPS-SDRG-0901-1084</t>
  </si>
  <si>
    <t>M2-ELC-GPS-SDRG-0901-1085</t>
  </si>
  <si>
    <t>M2-ELC-GPS-SDRG-0901-1086</t>
  </si>
  <si>
    <t>M2-ELC-GPS-SDRG-0901-1087</t>
  </si>
  <si>
    <t>MAIN SWITCHBOARD MSB-KC-02 BUS TIE POWER DIAGRAM</t>
  </si>
  <si>
    <t>M2-ELC-GPS-SDRG-0901-1088</t>
  </si>
  <si>
    <t>MAIN SWITCHBOARD MSB-KC-02 UPS DISTRIBUTION POWER DIAGRAM</t>
  </si>
  <si>
    <t>M2-ELC-GPS-SDRG-0901-1089</t>
  </si>
  <si>
    <t>MAIN SWITCHBOARD MSB-KC-02 LOAD BANK FEEDER POWER DIAGRAM</t>
  </si>
  <si>
    <t>M2-ELC-GPS-SDRG-0901-1090</t>
  </si>
  <si>
    <t>MAIN SWITCHBOARD MSB-KC-02 UPS-X1 INCOMER POWER DIAGRAM</t>
  </si>
  <si>
    <t>M2-ELC-GPS-SDRG-0901-1091</t>
  </si>
  <si>
    <t>MAIN SWITCHBOARD MSB-KC-02 UPS-X2 INCOMER POWER DIAGRAM</t>
  </si>
  <si>
    <t>M2-ELC-GPS-SDRG-0901-1092</t>
  </si>
  <si>
    <t>MAIN SWITCHBOARD MSB-KC-02 ESSENTIAL SERVICES POWER DIAGRAM 1 OF 2</t>
  </si>
  <si>
    <t>M2-ELC-GPS-SDRG-0901-1093</t>
  </si>
  <si>
    <t>MAIN SWITCHBOARD MSB-KC-02 ESSENTIAL SERVICES POWER DIAGRAM 2 OF 2</t>
  </si>
  <si>
    <t>M2-ELC-GPS-SDRG-0901-1094</t>
  </si>
  <si>
    <t>MAIN SWITCHBOARD MSB-KC-02 UPS FEEDERS POWER DIAGRAM</t>
  </si>
  <si>
    <t>M2-ELC-GPS-SDRG-0901-1100</t>
  </si>
  <si>
    <t>MAIN SWITCHBOARD MSB-KC-02 110VDC POWER SUPPLY POWER DIAGRAM</t>
  </si>
  <si>
    <t>M2-ELC-GPS-SDRG-0901-1101</t>
  </si>
  <si>
    <t>MAIN SWITCHBOARD MSB-KC-02 24VDC POWER SUPPLY POWER DIAGRAM 1 OF 2</t>
  </si>
  <si>
    <t>M2-ELC-GPS-SDRG-0901-1102</t>
  </si>
  <si>
    <t>MAIN SWITCHBOARD MSB-KC-02 24VDC POWER SUPPLY POWER DIAGRAM 2 OF 2</t>
  </si>
  <si>
    <t>M2-ELC-GPS-SDRG-0901-1103</t>
  </si>
  <si>
    <t>MAIN SWITCHBOARD MSB-KC-02 CL KEY SWITCH 20A 2NO 2NC FOR UPS BOARD</t>
  </si>
  <si>
    <t>M2-ELC-GPS-SDRG-0901-1150</t>
  </si>
  <si>
    <t>MAIN SWITCHBOARD MSB-KC-02 ENERLIN'X COMMS NETWORK DIAGRAM</t>
  </si>
  <si>
    <t>M2-ELC-GPS-SDRG-0901-1151</t>
  </si>
  <si>
    <t>MAIN SWITCHBOARD MSB-KC-02 NETWORK SWITCH NETWORK DIAGRAM</t>
  </si>
  <si>
    <t>M2-ELC-GPS-SDRG-0901-1200</t>
  </si>
  <si>
    <t>MAIN SWITCHBOARD MSB-KD-01 DRAWING INDEX</t>
  </si>
  <si>
    <t>M2-ELC-GPS-SDRG-0901-1210</t>
  </si>
  <si>
    <t>MAIN SWITCHBOARD MSB-KD-01 SINGLE LINE DIAGRAM</t>
  </si>
  <si>
    <t>M2-ELC-GPS-SDRG-0901-1220</t>
  </si>
  <si>
    <t>MAIN SWITCHBOARD MSB-KD-01 MSB-KD-1 ENCLOSURE GENERAL ARRANGEMENT</t>
  </si>
  <si>
    <t>M2-ELC-GPS-SDRG-0901-1221</t>
  </si>
  <si>
    <t>MAIN SWITCHBOARD MSB-KD-01 GEN INCOMER SECTION GENERAL ARRANGEMENT</t>
  </si>
  <si>
    <t>M2-ELC-GPS-SDRG-0901-1222</t>
  </si>
  <si>
    <t>MAIN SWITCHBOARD MSB-KD-01 LOAD BANK SECTION GENERAL ARRANGEMENT</t>
  </si>
  <si>
    <t>M2-ELC-GPS-SDRG-0901-1223</t>
  </si>
  <si>
    <t>MAIN SWITCHBOARD MSB-KD-01 GEN BUSTIE SECTION GENERAL ARRANGEMENT</t>
  </si>
  <si>
    <t>M2-ELC-GPS-SDRG-0901-1224</t>
  </si>
  <si>
    <t>MAIN SWITCHBOARD MSB-KD-01</t>
  </si>
  <si>
    <t>M2-ELC-GPS-SDRG-0901-1225</t>
  </si>
  <si>
    <t>MAIN SWITCHBOARD MSB-KD-01 ATS SECTION GENERAL ARRANGEMENT</t>
  </si>
  <si>
    <t>M2-ELC-GPS-SDRG-0901-1226</t>
  </si>
  <si>
    <t>MAIN SWITCHBOARD MSB-KD-01 REAR VIEW GENERAL ARRANGEMENT</t>
  </si>
  <si>
    <t>M2-ELC-GPS-SDRG-0901-1227</t>
  </si>
  <si>
    <t>MAIN SWITCHBOARD MSB-KD-01 PLINTH DETAILS GENERAL ARRANGEMENT</t>
  </si>
  <si>
    <t>M2-ELC-GPS-SDRG-0901-1250</t>
  </si>
  <si>
    <t>MAIN SWITCHBOARD MSB-KD-01 BILL OF MATERIALS</t>
  </si>
  <si>
    <t>M2-ELC-GPS-SDRG-0901-1251</t>
  </si>
  <si>
    <t>M2-ELC-GPS-SDRG-0901-1252</t>
  </si>
  <si>
    <t>M2-ELC-GPS-SDRG-0901-1270</t>
  </si>
  <si>
    <t>MAIN SWITCHBOARD MSB-KD-01 1F GSB-KB GEN INCOMING SECTION LABEL SCHEDULE</t>
  </si>
  <si>
    <t>M2-ELC-GPS-SDRG-0901-1271</t>
  </si>
  <si>
    <t>MAIN SWITCHBOARD MSB-KD-01 2F</t>
  </si>
  <si>
    <t>M2-ELC-GPS-SDRG-0901-1272</t>
  </si>
  <si>
    <t>MAIN SWITCHBOARD MSB-KD-01 4F MSB-KD-PART-1 GEN BUS TIE SECTION LABEL SCHEDULE</t>
  </si>
  <si>
    <t>M2-ELC-GPS-SDRG-0901-1273</t>
  </si>
  <si>
    <t>MAIN SWITCHBOARD MSB-KD-01 5F MSB-KD-PART-1</t>
  </si>
  <si>
    <t>M2-ELC-GPS-SDRG-0901-1274</t>
  </si>
  <si>
    <t>MAIN SWITCHBOARD MSB-KD-01 6F MSB-KD-PART-1 ATS SECTION LABEL SCHEDULE</t>
  </si>
  <si>
    <t>M2-ELC-GPS-SDRG-0901-1280</t>
  </si>
  <si>
    <t>MAIN SWITCHBOARD MSB-KD-01 GENERATOR INCOMER POWER DIAGRAM</t>
  </si>
  <si>
    <t>M2-ELC-GPS-SDRG-0901-1281</t>
  </si>
  <si>
    <t>MAIN SWITCHBOARD MSB-KD-01 LOAD BANK FEEDER 1 OF 2 POWER DIAGRAM</t>
  </si>
  <si>
    <t>M2-ELC-GPS-SDRG-0901-1282</t>
  </si>
  <si>
    <t>MAIN SWITCHBOARD MSB-KD-01 LOAD BANK FEEDER 2 OF 2 POWER DIAGRAM</t>
  </si>
  <si>
    <t>M2-ELC-GPS-SDRG-0901-1283</t>
  </si>
  <si>
    <t>MAIN SWITCHBOARD MSB-KD-01 BUS TIE POWER DIAGRAM</t>
  </si>
  <si>
    <t>M2-ELC-GPS-SDRG-0901-1284</t>
  </si>
  <si>
    <t>M2-ELC-GPS-SDRG-0901-1285</t>
  </si>
  <si>
    <t>MAIN SWITCHBOARD MSB-KD-01 MSB-KD-PART-2 FEEDER POWER DIAGRAM</t>
  </si>
  <si>
    <t>M2-ELC-GPS-SDRG-0901-1300</t>
  </si>
  <si>
    <t>MAIN SWITCHBOARD MSB-KD-01 110VDC POWER SUPPLY POWER DIAGRAM</t>
  </si>
  <si>
    <t>M2-ELC-GPS-SDRG-0901-1301</t>
  </si>
  <si>
    <t>MAIN SWITCHBOARD MSB-KD-01 24VDC POWER SUPPLY POWER DIAGRAM</t>
  </si>
  <si>
    <t>M2-ELC-GPS-SDRG-0901-1302</t>
  </si>
  <si>
    <t>MAIN SWITCHBOARD MSB-KD-01 24VDC DISTRIBUTION POWER DIAGRAM</t>
  </si>
  <si>
    <t>M2-ELC-GPS-SDRG-0901-1320</t>
  </si>
  <si>
    <t>MAIN SWITCHBOARD MSB-KD-01 AUTOMATIC TRANSFER SWITCH CONTROL DIAGRAM</t>
  </si>
  <si>
    <t>M2-ELC-GPS-SDRG-0901-1350</t>
  </si>
  <si>
    <t>MAIN SWITCHBOARD MSB-KD-01 NETWORK DIAGRAM</t>
  </si>
  <si>
    <t>M2-ELC-GPS-SDRG-0901-1400</t>
  </si>
  <si>
    <t>MAIN SWITCHBOARD MSB-KD-02 DRAWING INDEX SH.1</t>
  </si>
  <si>
    <t>M2-ELC-GPS-SDRG-0901-1401</t>
  </si>
  <si>
    <t>MAIN SWITCHBOARD MSB-KD-02 DRAWING INDEX SH.2</t>
  </si>
  <si>
    <t>M2-ELC-GPS-SDRG-0901-1410</t>
  </si>
  <si>
    <t>MAIN SWITCHBOARD MSB-KD-02 SINGLE LINE DIAGRAM 1 OF 3</t>
  </si>
  <si>
    <t>M2-ELC-GPS-SDRG-0901-1411</t>
  </si>
  <si>
    <t>MAIN SWITCHBOARD MSB-KD-02 SINGLE LINE DIAGRAM 2 OF 3</t>
  </si>
  <si>
    <t>M2-ELC-GPS-SDRG-0901-1412</t>
  </si>
  <si>
    <t>MAIN SWITCHBOARD MSB-KD-02 SINGLE LINE DIAGRAM 3 OF 3</t>
  </si>
  <si>
    <t>M2-ELC-GPS-SDRG-0901-1420</t>
  </si>
  <si>
    <t>MAIN SWITCHBOARD MSB-KD-02 EXTERNAL VIEW TIERS 1-8 GENERAL ARRANGEMENT</t>
  </si>
  <si>
    <t>M2-ELC-GPS-SDRG-0901-1421</t>
  </si>
  <si>
    <t>MAIN SWITCHBOARD MSB-KD-02 EXTERNAL VIEW TIERS 9-18 GENERAL ARRANGEMENT</t>
  </si>
  <si>
    <t>M2-ELC-GPS-SDRG-0901-1422</t>
  </si>
  <si>
    <t>MAIN SWITCHBOARD MSB-KD-02 INTERNAL VIEW TIERS 1 GENERAL ARRANGEMENT</t>
  </si>
  <si>
    <t>M2-ELC-GPS-SDRG-0901-1423</t>
  </si>
  <si>
    <t>MAIN SWITCHBOARD MSB-KD-02 INTERNAL VIEW TIERS 2 GENERAL ARRANGEMENT</t>
  </si>
  <si>
    <t>M2-ELC-GPS-SDRG-0901-1424</t>
  </si>
  <si>
    <t>MAIN SWITCHBOARD MSB-KD-02 INTERNAL VIEW TIERS 3 GENERAL ARRANGEMENT</t>
  </si>
  <si>
    <t>M2-ELC-GPS-SDRG-0901-1425</t>
  </si>
  <si>
    <t>MAIN SWITCHBOARD MSB-KD-02 INTERNAL VIEW TIERS 4 GENERAL ARRANGEMENT</t>
  </si>
  <si>
    <t>M2-ELC-GPS-SDRG-0901-1426</t>
  </si>
  <si>
    <t>MAIN SWITCHBOARD MSB-KD-02 INTERNAL VIEW TIERS 5 GENERAL ARRANGEMENT</t>
  </si>
  <si>
    <t>M2-ELC-GPS-SDRG-0901-1427</t>
  </si>
  <si>
    <t>MAIN SWITCHBOARD MSB-KD-02 INTERNAL VIEW TIERS 6 GENERAL ARRANGEMENT</t>
  </si>
  <si>
    <t>M2-ELC-GPS-SDRG-0901-1428</t>
  </si>
  <si>
    <t>MAIN SWITCHBOARD MSB-KD-02 INTERNAL VIEW TIERS 7 GENERAL ARRANGEMENT</t>
  </si>
  <si>
    <t>M2-ELC-GPS-SDRG-0901-1429</t>
  </si>
  <si>
    <t>MAIN SWITCHBOARD MSB-KD-02 INTERNAL VIEW TIERS 8 &amp; 9 GENERAL ARRANGEMENT</t>
  </si>
  <si>
    <t>M2-ELC-GPS-SDRG-0901-1430</t>
  </si>
  <si>
    <t>MAIN SWITCHBOARD MSB-KD-02 INTERNAL VIEW TIERS 10 GENERAL ARRANGEMENT</t>
  </si>
  <si>
    <t>M2-ELC-GPS-SDRG-0901-1431</t>
  </si>
  <si>
    <t>MAIN SWITCHBOARD MSB-KD-02 INTERNAL VIEW TIERS 11 GENERAL ARRANGEMENT</t>
  </si>
  <si>
    <t>M2-ELC-GPS-SDRG-0901-1432</t>
  </si>
  <si>
    <t>MAIN SWITCHBOARD MSB-KD-02 INTERNAL VIEW TIERS 12 GENERAL ARRANGEMENT</t>
  </si>
  <si>
    <t>M2-ELC-GPS-SDRG-0901-1433</t>
  </si>
  <si>
    <t>MAIN SWITCHBOARD MSB-KD-02 INTERNAL VIEW TIERS 13 GENERAL ARRANGEMENT</t>
  </si>
  <si>
    <t>M2-ELC-GPS-SDRG-0901-1434</t>
  </si>
  <si>
    <t>MAIN SWITCHBOARD MSB-KD-02 INTERNAL VIEW TIERS 14 &amp; 15 GENERAL ARRANGEMENT</t>
  </si>
  <si>
    <t>M2-ELC-GPS-SDRG-0901-1435</t>
  </si>
  <si>
    <t>MAIN SWITCHBOARD MSB-KD-02 INTERNAL VIEW TIERS 16 GENERAL ARRANGEMENT</t>
  </si>
  <si>
    <t>M2-ELC-GPS-SDRG-0901-1436</t>
  </si>
  <si>
    <t>MAIN SWITCHBOARD MSB-KD-02 INTERNAL VIEW TIERS 17 &amp; 18 GENERAL ARRANGEMENT</t>
  </si>
  <si>
    <t>M2-ELC-GPS-SDRG-0901-1437</t>
  </si>
  <si>
    <t>MAIN SWITCHBOARD MSB-KD-02 EXTERNAL REAR VIEW TIERS GENERAL ARRANGEMENT</t>
  </si>
  <si>
    <t>M2-ELC-GPS-SDRG-0901-1438</t>
  </si>
  <si>
    <t>MAIN SWITCHBOARD MSB-KD-02 PLINTH DETAILS GENERAL ARRANGEMENT 1 OF 2</t>
  </si>
  <si>
    <t>M2-ELC-GPS-SDRG-0901-1439</t>
  </si>
  <si>
    <t>MAIN SWITCHBOARD MSB-KD-02 PLINTH DETAILS GENERAL ARRANGEMENT 2 OF 2</t>
  </si>
  <si>
    <t>M2-ELC-GPS-SDRG-0901-1450</t>
  </si>
  <si>
    <t>MAIN SWITCHBOARD MSB-KD-02 BILL OF MATERIALS 1 OF 5</t>
  </si>
  <si>
    <t>M2-ELC-GPS-SDRG-0901-1451</t>
  </si>
  <si>
    <t>MAIN SWITCHBOARD MSB-KD-02 BILL OF MATERIALS 2 OF 5</t>
  </si>
  <si>
    <t>M2-ELC-GPS-SDRG-0901-1452</t>
  </si>
  <si>
    <t>MAIN SWITCHBOARD MSB-KD-02 BILL OF MATERIALS 3 OF 5</t>
  </si>
  <si>
    <t>M2-ELC-GPS-SDRG-0901-1453</t>
  </si>
  <si>
    <t>MAIN SWITCHBOARD MSB-KD-02 BILL OF MATERIALS 4 OF 5</t>
  </si>
  <si>
    <t>M2-ELC-GPS-SDRG-0901-1454</t>
  </si>
  <si>
    <t>MAIN SWITCHBOARD MSB-KD-02 BILL OF MATERIALS 5 OF 5</t>
  </si>
  <si>
    <t>M2-ELC-GPS-SDRG-0901-1470</t>
  </si>
  <si>
    <t>MAIN SWITCHBOARD MSB-KD-02 1F MSB-KD-02 CHILLER SECTION LABEL SCHEDULE</t>
  </si>
  <si>
    <t>M2-ELC-GPS-SDRG-0901-1471</t>
  </si>
  <si>
    <t>MAIN SWITCHBOARD MSB-KD-02 2F MSB-KD-02 SECOND FEED SECTION LABEL SCHEDULE</t>
  </si>
  <si>
    <t>M2-ELC-GPS-SDRG-0901-1472</t>
  </si>
  <si>
    <t>MAIN SWITCHBOARD MSB-KD-02 3F-4F-5F LGT, PWR, &amp; MCC SECTIONS LABEL SCHEDULE</t>
  </si>
  <si>
    <t>M2-ELC-GPS-SDRG-0901-1473</t>
  </si>
  <si>
    <t>MAIN SWITCHBOARD MSB-KD-02 6F-7F HYPER DH &amp; BUS TIE SECTIONS LABEL SCHEDULE</t>
  </si>
  <si>
    <t>M2-ELC-GPS-SDRG-0901-1474</t>
  </si>
  <si>
    <t>MAIN SWITCHBOARD MSB-KD-02 8F-9F MSB-KD-02 SECTIONS LABEL SCHEDULE</t>
  </si>
  <si>
    <t>M2-ELC-GPS-SDRG-0901-1475</t>
  </si>
  <si>
    <t>MAIN SWITCHBOARD MSB-KD-02 10F-13F MSB-KD-02 SECTIONS LABEL SCHEDULE</t>
  </si>
  <si>
    <t>M2-ELC-GPS-SDRG-0901-1476</t>
  </si>
  <si>
    <t>MAIN SWITCHBOARD MSB-KD-02 11F-12F-14F UPS INCOMMERS SECTIONS LABEL SCHEDULE</t>
  </si>
  <si>
    <t>M2-ELC-GPS-SDRG-0901-1477</t>
  </si>
  <si>
    <t>MAIN SWITCHBOARD MSB-KD-02 15F-16F USP FEEDERS SECTIONS LABEL SCHEDULE</t>
  </si>
  <si>
    <t>M2-ELC-GPS-SDRG-0901-1478</t>
  </si>
  <si>
    <t>MAIN SWITCHBOARD MSB-KD-02 17F-18F UPS FIRE SERVICES SECTIONS LABEL SCHEDULE</t>
  </si>
  <si>
    <t>M2-ELC-GPS-SDRG-0901-1480</t>
  </si>
  <si>
    <t>MAIN SWITCHBOARD MSB-KD-02</t>
  </si>
  <si>
    <t>M2-ELC-GPS-SDRG-0901-1481</t>
  </si>
  <si>
    <t>M2-ELC-GPS-SDRG-0901-1482</t>
  </si>
  <si>
    <t>MAIN SWITCHBOARD MSB-KD-02 HYPER DH BRANCH FEEDER POWER DIAGRAM</t>
  </si>
  <si>
    <t>M2-ELC-GPS-SDRG-0901-1483</t>
  </si>
  <si>
    <t>MAIN SWITCHBOARD MSB-KD-02 MCC-X CHILLER FEEDERS POWER DIAGRAM</t>
  </si>
  <si>
    <t>M2-ELC-GPS-SDRG-0901-1484</t>
  </si>
  <si>
    <t>M2-ELC-GPS-SDRG-0901-1485</t>
  </si>
  <si>
    <t>M2-ELC-GPS-SDRG-0901-1486</t>
  </si>
  <si>
    <t>M2-ELC-GPS-SDRG-0901-1487</t>
  </si>
  <si>
    <t>MAIN SWITCHBOARD MSB-KD-02 BUS TIE POWER DIAGRAM</t>
  </si>
  <si>
    <t>M2-ELC-GPS-SDRG-0901-1488</t>
  </si>
  <si>
    <t>MAIN SWITCHBOARD MSB-KD-02 UPS DISTRIBUTION POWER DIAGRAM</t>
  </si>
  <si>
    <t>M2-ELC-GPS-SDRG-0901-1489</t>
  </si>
  <si>
    <t>MAIN SWITCHBOARD MSB-KD-02 LOAD BANK FEEDER POWER DIAGRAM</t>
  </si>
  <si>
    <t>M2-ELC-GPS-SDRG-0901-1490</t>
  </si>
  <si>
    <t>MAIN SWITCHBOARD MSB-KD-02 UPS-X1 INCOMER POWER DIAGRAM</t>
  </si>
  <si>
    <t>M2-ELC-GPS-SDRG-0901-1491</t>
  </si>
  <si>
    <t>MAIN SWITCHBOARD MSB-KD-02 UPS-X2 INCOMER POWER DIAGRAM</t>
  </si>
  <si>
    <t>M2-ELC-GPS-SDRG-0901-1492</t>
  </si>
  <si>
    <t>MAIN SWITCHBOARD MSB-KD-02 ESSENTIAL SERVICES POWER DIAGRAM 1 OF 2</t>
  </si>
  <si>
    <t>M2-ELC-GPS-SDRG-0901-1493</t>
  </si>
  <si>
    <t>MAIN SWITCHBOARD MSB-KD-02 ESSENTIAL SERVICES POWER DIAGRAM 2 OF 2</t>
  </si>
  <si>
    <t>M2-ELC-GPS-SDRG-0901-1494</t>
  </si>
  <si>
    <t>MAIN SWITCHBOARD MSB-KD-02 UPS FEEDERS POWER DIAGRAM</t>
  </si>
  <si>
    <t>M2-ELC-GPS-SDRG-0901-1500</t>
  </si>
  <si>
    <t>MAIN SWITCHBOARD MSB-KD-02 110VDC POWER SUPPLY POWER DIAGRAM</t>
  </si>
  <si>
    <t>M2-ELC-GPS-SDRG-0901-1501</t>
  </si>
  <si>
    <t>MAIN SWITCHBOARD MSB-KD-02 24VDC POWER SUPPLY POWER DIAGRAM 1 OF 2</t>
  </si>
  <si>
    <t>M2-ELC-GPS-SDRG-0901-1502</t>
  </si>
  <si>
    <t>MAIN SWITCHBOARD MSB-KD-02 24VDC POWER SUPPLY POWER DIAGRAM 2 OF 2</t>
  </si>
  <si>
    <t>M2-ELC-GPS-SDRG-0901-1503</t>
  </si>
  <si>
    <t>MAIN SWITCHBOARD MSB-KD-02 CL KEY SWITCH 20A 2NO 2NC FOR UPS BOARD</t>
  </si>
  <si>
    <t>M2-ELC-GPS-SDRG-0901-1550</t>
  </si>
  <si>
    <t>MAIN SWITCHBOARD MSB-KD-02 ENERLIN'X COMMS NETWORK DIAGRAM</t>
  </si>
  <si>
    <t>M2-ELC-GPS-SDRG-0901-1551</t>
  </si>
  <si>
    <t>MAIN SWITCHBOARD MSB-KD-02 NETWORK SWITCH NETWORK DIAGRAM</t>
  </si>
  <si>
    <t>M2-ELC-GPS-SDRG-0901-1600</t>
  </si>
  <si>
    <t>MAIN SWITCHBOARD MSB-KE-01 DRAWING INDEX</t>
  </si>
  <si>
    <t>M2-ELC-GPS-SDRG-0901-1610</t>
  </si>
  <si>
    <t>MAIN SWITCHBOARD MSB-KE-01 SINGLE LINE DIAGRAM</t>
  </si>
  <si>
    <t>M2-ELC-GPS-SDRG-0901-1620</t>
  </si>
  <si>
    <t>MAIN SWITCHBOARD MSB-KE-01 MSB-KE-1 ENCLOSURE GENERAL ARRANGEMENT</t>
  </si>
  <si>
    <t>M2-ELC-GPS-SDRG-0901-1621</t>
  </si>
  <si>
    <t>MAIN SWITCHBOARD MSB-KE-01 GEN INCOMER SECTION GENERAL ARRANGEMENT</t>
  </si>
  <si>
    <t>M2-ELC-GPS-SDRG-0901-1622</t>
  </si>
  <si>
    <t>MAIN SWITCHBOARD MSB-KE-01 LOAD BANK SECTION GENERAL ARRANGEMENT</t>
  </si>
  <si>
    <t>M2-ELC-GPS-SDRG-0901-1623</t>
  </si>
  <si>
    <t>MAIN SWITCHBOARD MSB-KE-01 GEN BUSTIE SECTION GENERAL ARRANGEMENT</t>
  </si>
  <si>
    <t>M2-ELC-GPS-SDRG-0901-1624</t>
  </si>
  <si>
    <t>MAIN SWITCHBOARD MSB-KE-01</t>
  </si>
  <si>
    <t>M2-ELC-GPS-SDRG-0901-1625</t>
  </si>
  <si>
    <t>MAIN SWITCHBOARD MSB-KE-01 ATS SECTION GENERAL ARRANGEMENT</t>
  </si>
  <si>
    <t>M2-ELC-GPS-SDRG-0901-1626</t>
  </si>
  <si>
    <t>MAIN SWITCHBOARD MSB-KE-01 REAR VIEW GENERAL ARRANGEMENT</t>
  </si>
  <si>
    <t>M2-ELC-GPS-SDRG-0901-1627</t>
  </si>
  <si>
    <t>MAIN SWITCHBOARD MSB-KE-01 PLINTH DETAILS GENERAL ARRANGEMENT</t>
  </si>
  <si>
    <t>M2-ELC-GPS-SDRG-0901-1650</t>
  </si>
  <si>
    <t>MAIN SWITCHBOARD MSB-KE-01 BILL OF MATERIALS</t>
  </si>
  <si>
    <t>M2-ELC-GPS-SDRG-0901-1651</t>
  </si>
  <si>
    <t>M2-ELC-GPS-SDRG-0901-1652</t>
  </si>
  <si>
    <t>M2-ELC-GPS-SDRG-0901-1670</t>
  </si>
  <si>
    <t>MAIN SWITCHBOARD MSB-KE-01 1F GSB-KB GEN INCOMING SECTION LABEL SCHEDULE</t>
  </si>
  <si>
    <t>M2-ELC-GPS-SDRG-0901-1671</t>
  </si>
  <si>
    <t>MAIN SWITCHBOARD MSB-KE-01 2F</t>
  </si>
  <si>
    <t>M2-ELC-GPS-SDRG-0901-1672</t>
  </si>
  <si>
    <t>MAIN SWITCHBOARD MSB-KE-01 4F MSB-KE-PART-1 GEN BUS TIE SECTION LABEL SCHEDULE</t>
  </si>
  <si>
    <t>M2-ELC-GPS-SDRG-0901-1673</t>
  </si>
  <si>
    <t>MAIN SWITCHBOARD MSB-KE-01 5F MSB-KE-PART-1</t>
  </si>
  <si>
    <t>M2-ELC-GPS-SDRG-0901-1674</t>
  </si>
  <si>
    <t>MAIN SWITCHBOARD MSB-KE-01 6F MSB-KE-PART-1 ATS SECTION LABEL SCHEDULE</t>
  </si>
  <si>
    <t>M2-ELC-GPS-SDRG-0901-1680</t>
  </si>
  <si>
    <t>MAIN SWITCHBOARD MSB-KE-01 GENERATOR INCOMER POWER DIAGRAM</t>
  </si>
  <si>
    <t>M2-ELC-GPS-SDRG-0901-1681</t>
  </si>
  <si>
    <t>MAIN SWITCHBOARD MSB-KE-01 LOAD BANK FEEDER 1 OF 2 POWER DIAGRAM</t>
  </si>
  <si>
    <t>M2-ELC-GPS-SDRG-0901-1682</t>
  </si>
  <si>
    <t>MAIN SWITCHBOARD MSB-KE-01 LOAD BANK FEEDER 2 OF 2 POWER DIAGRAM</t>
  </si>
  <si>
    <t>M2-ELC-GPS-SDRG-0901-1683</t>
  </si>
  <si>
    <t>MAIN SWITCHBOARD MSB-KE-01 BUS TIE POWER DIAGRAM</t>
  </si>
  <si>
    <t>M2-ELC-GPS-SDRG-0901-1684</t>
  </si>
  <si>
    <t>M2-ELC-GPS-SDRG-0901-1685</t>
  </si>
  <si>
    <t>MAIN SWITCHBOARD MSB-KE-01 MSB-KE-PART-2 FEEDER POWER DIAGRAM</t>
  </si>
  <si>
    <t>M2-ELC-GPS-SDRG-0901-1700</t>
  </si>
  <si>
    <t>MAIN SWITCHBOARD MSB-KE-01 110VDC POWER SUPPLY POWER DIAGRAM</t>
  </si>
  <si>
    <t>M2-ELC-GPS-SDRG-0901-1701</t>
  </si>
  <si>
    <t>MAIN SWITCHBOARD MSB-KE-01 24VDC POWER SUPPLY POWER DIAGRAM</t>
  </si>
  <si>
    <t>M2-ELC-GPS-SDRG-0901-1702</t>
  </si>
  <si>
    <t>MAIN SWITCHBOARD MSB-KE-01 24VDC DISTRIBUTION POWER DIAGRAM</t>
  </si>
  <si>
    <t>M2-ELC-GPS-SDRG-0901-1720</t>
  </si>
  <si>
    <t>MAIN SWITCHBOARD MSB-KE-01 AUTOMATIC TRANSFER SWITCH CONTROL DIAGRAM</t>
  </si>
  <si>
    <t>M2-ELC-GPS-SDRG-0901-1750</t>
  </si>
  <si>
    <t>MAIN SWITCHBOARD MSB-KE-01 NETWORK DIAGRAM</t>
  </si>
  <si>
    <t>M2-ELC-GPS-SDRG-0901-1800</t>
  </si>
  <si>
    <t>MAIN SWITCHBOARD MSB-KE-02 DRAWING INDEX SH.1</t>
  </si>
  <si>
    <t>M2-ELC-GPS-SDRG-0901-1801</t>
  </si>
  <si>
    <t>MAIN SWITCHBOARD MSB-KE-02 DRAWING INDEX SH.2</t>
  </si>
  <si>
    <t>M2-ELC-GPS-SDRG-0901-1810</t>
  </si>
  <si>
    <t>MAIN SWITCHBOARD MSB-KE-02 SINGLE LINE DIAGRAM 1 OF 3</t>
  </si>
  <si>
    <t>M2-ELC-GPS-SDRG-0901-1811</t>
  </si>
  <si>
    <t>MAIN SWITCHBOARD MSB-KE-02 SINGLE LINE DIAGRAM 2 OF 3</t>
  </si>
  <si>
    <t>M2-ELC-GPS-SDRG-0901-1812</t>
  </si>
  <si>
    <t>MAIN SWITCHBOARD MSB-KE-02 SINGLE LINE DIAGRAM 3 OF 3</t>
  </si>
  <si>
    <t>M2-ELC-GPS-SDRG-0901-1820</t>
  </si>
  <si>
    <t>MAIN SWITCHBOARD MSB-KE-02 EXTERNAL VIEW TIERS 1-8 GENERAL ARRANGEMENT</t>
  </si>
  <si>
    <t>M2-ELC-GPS-SDRG-0901-1821</t>
  </si>
  <si>
    <t>MAIN SWITCHBOARD MSB-KE-02 EXTERNAL VIEW TIERS 9-18 GENERAL ARRANGEMENT</t>
  </si>
  <si>
    <t>M2-ELC-GPS-SDRG-0901-1822</t>
  </si>
  <si>
    <t>MAIN SWITCHBOARD MSB-KE-02 INTERNAL VIEW TIERS 1 GENERAL ARRANGEMENT</t>
  </si>
  <si>
    <t>M2-ELC-GPS-SDRG-0901-1823</t>
  </si>
  <si>
    <t>MAIN SWITCHBOARD MSB-KE-02 INTERNAL VIEW TIERS 2 GENERAL ARRANGEMENT</t>
  </si>
  <si>
    <t>M2-ELC-GPS-SDRG-0901-1824</t>
  </si>
  <si>
    <t>MAIN SWITCHBOARD MSB-KE-02 INTERNAL VIEW TIERS 3 GENERAL ARRANGEMENT</t>
  </si>
  <si>
    <t>M2-ELC-GPS-SDRG-0901-1825</t>
  </si>
  <si>
    <t>MAIN SWITCHBOARD MSB-KE-02 INTERNAL VIEW TIERS 4 GENERAL ARRANGEMENT</t>
  </si>
  <si>
    <t>M2-ELC-GPS-SDRG-0901-1826</t>
  </si>
  <si>
    <t>MAIN SWITCHBOARD MSB-KE-02 INTERNAL VIEW TIERS 5 GENERAL ARRANGEMENT</t>
  </si>
  <si>
    <t>M2-ELC-GPS-SDRG-0901-1827</t>
  </si>
  <si>
    <t>MAIN SWITCHBOARD MSB-KE-02 INTERNAL VIEW TIERS 6 GENERAL ARRANGEMENT</t>
  </si>
  <si>
    <t>M2-ELC-GPS-SDRG-0901-1828</t>
  </si>
  <si>
    <t>MAIN SWITCHBOARD MSB-KE-02 INTERNAL VIEW TIERS 7 GENERAL ARRANGEMENT</t>
  </si>
  <si>
    <t>M2-ELC-GPS-SDRG-0901-1829</t>
  </si>
  <si>
    <t>MAIN SWITCHBOARD MSB-KE-02 INTERNAL VIEW TIERS 8 &amp; 9 GENERAL ARRANGEMENT</t>
  </si>
  <si>
    <t>M2-ELC-GPS-SDRG-0901-1830</t>
  </si>
  <si>
    <t>MAIN SWITCHBOARD MSB-KE-02 INTERNAL VIEW TIERS 10 GENERAL ARRANGEMENT</t>
  </si>
  <si>
    <t>M2-ELC-GPS-SDRG-0901-1831</t>
  </si>
  <si>
    <t>MAIN SWITCHBOARD MSB-KE-02 INTERNAL VIEW TIERS 11 GENERAL ARRANGEMENT</t>
  </si>
  <si>
    <t>M2-ELC-GPS-SDRG-0901-1832</t>
  </si>
  <si>
    <t>MAIN SWITCHBOARD MSB-KE-02 INTERNAL VIEW TIERS 12 GENERAL ARRANGEMENT</t>
  </si>
  <si>
    <t>M2-ELC-GPS-SDRG-0901-1833</t>
  </si>
  <si>
    <t>MAIN SWITCHBOARD MSB-KE-02 INTERNAL VIEW TIERS 13 GENERAL ARRANGEMENT</t>
  </si>
  <si>
    <t>M2-ELC-GPS-SDRG-0901-1834</t>
  </si>
  <si>
    <t>MAIN SWITCHBOARD MSB-KE-02 INTERNAL VIEW TIERS 14 &amp; 15 GENERAL ARRANGEMENT</t>
  </si>
  <si>
    <t>M2-ELC-GPS-SDRG-0901-1835</t>
  </si>
  <si>
    <t>MAIN SWITCHBOARD MSB-KE-02 INTERNAL VIEW TIERS 16 GENERAL ARRANGEMENT</t>
  </si>
  <si>
    <t>M2-ELC-GPS-SDRG-0901-1836</t>
  </si>
  <si>
    <t>MAIN SWITCHBOARD MSB-KE-02 INTERNAL VIEW TIERS 17 &amp; 18 GENERAL ARRANGEMENT</t>
  </si>
  <si>
    <t>M2-ELC-GPS-SDRG-0901-1837</t>
  </si>
  <si>
    <t>MAIN SWITCHBOARD MSB-KE-02 EXTERNAL REAR VIEW TIERS GENERAL ARRANGEMENT</t>
  </si>
  <si>
    <t>M2-ELC-GPS-SDRG-0901-1838</t>
  </si>
  <si>
    <t>MAIN SWITCHBOARD MSB-KE-02 PLINTH DETAILS GENERAL ARRANGEMENT 1 OF 2</t>
  </si>
  <si>
    <t>M2-ELC-GPS-SDRG-0901-1839</t>
  </si>
  <si>
    <t>MAIN SWITCHBOARD MSB-KE-02 PLINTH DETAILS GENERAL ARRANGEMENT 2 OF 2</t>
  </si>
  <si>
    <t>M2-ELC-GPS-SDRG-0901-1850</t>
  </si>
  <si>
    <t>MAIN SWITCHBOARD MSB-KE-02 BILL OF MATERIALS 1 OF 5</t>
  </si>
  <si>
    <t>M2-ELC-GPS-SDRG-0901-1851</t>
  </si>
  <si>
    <t>MAIN SWITCHBOARD MSB-KE-02 BILL OF MATERIALS 2 OF 5</t>
  </si>
  <si>
    <t>M2-ELC-GPS-SDRG-0901-1852</t>
  </si>
  <si>
    <t>MAIN SWITCHBOARD MSB-KE-02 BILL OF MATERIALS 3 OF 5</t>
  </si>
  <si>
    <t>M2-ELC-GPS-SDRG-0901-1853</t>
  </si>
  <si>
    <t>MAIN SWITCHBOARD MSB-KE-02 BILL OF MATERIALS 4 OF 5</t>
  </si>
  <si>
    <t>M2-ELC-GPS-SDRG-0901-1854</t>
  </si>
  <si>
    <t>MAIN SWITCHBOARD MSB-KE-02 BILL OF MATERIALS 5 OF 5</t>
  </si>
  <si>
    <t>M2-ELC-GPS-SDRG-0901-1870</t>
  </si>
  <si>
    <t>MAIN SWITCHBOARD MSB-KE-02 1F MSB-KE-02 CHILLER SECTION LABEL SCHEDULE</t>
  </si>
  <si>
    <t>M2-ELC-GPS-SDRG-0901-1871</t>
  </si>
  <si>
    <t>MAIN SWITCHBOARD MSB-KE-02 2F MSB-KE-02 SECOND FEED SECTION LABEL SCHEDULE</t>
  </si>
  <si>
    <t>M2-ELC-GPS-SDRG-0901-1872</t>
  </si>
  <si>
    <t>MAIN SWITCHBOARD MSB-KE-02 3F-4F-5F LGT, PWR, &amp; MCC SECTIONS LABEL SCHEDULE</t>
  </si>
  <si>
    <t>M2-ELC-GPS-SDRG-0901-1873</t>
  </si>
  <si>
    <t>MAIN SWITCHBOARD MSB-KE-02 6F-7F HYPER DH &amp; BUS TIE SECTIONS LABEL SCHEDULE</t>
  </si>
  <si>
    <t>M2-ELC-GPS-SDRG-0901-1874</t>
  </si>
  <si>
    <t>MAIN SWITCHBOARD MSB-KE-02 8F-9F MSB-KE-02 SECTIONS LABEL SCHEDULE</t>
  </si>
  <si>
    <t>M2-ELC-GPS-SDRG-0901-1875</t>
  </si>
  <si>
    <t>MAIN SWITCHBOARD MSB-KE-02 10F-13F MSB-KE-02 SECTIONS LABEL SCHEDULE</t>
  </si>
  <si>
    <t>M2-ELC-GPS-SDRG-0901-1876</t>
  </si>
  <si>
    <t>MAIN SWITCHBOARD MSB-KE-02 11F-12F-14F UPS INCOMMERS SECTIONS LABEL SCHEDULE</t>
  </si>
  <si>
    <t>M2-ELC-GPS-SDRG-0901-1877</t>
  </si>
  <si>
    <t>MAIN SWITCHBOARD MSB-KE-02 15F-16F USP FEEDERS SECTIONS LABEL SCHEDULE</t>
  </si>
  <si>
    <t>M2-ELC-GPS-SDRG-0901-1878</t>
  </si>
  <si>
    <t>MAIN SWITCHBOARD MSB-KE-02 17F-18F UPS FIRE SERVICES SECTIONS LABEL SCHEDULE</t>
  </si>
  <si>
    <t>M2-ELC-GPS-SDRG-0901-1880</t>
  </si>
  <si>
    <t>MAIN SWITCHBOARD MSB-KE-02</t>
  </si>
  <si>
    <t>M2-ELC-GPS-SDRG-0901-1881</t>
  </si>
  <si>
    <t>M2-ELC-GPS-SDRG-0901-1882</t>
  </si>
  <si>
    <t>MAIN SWITCHBOARD MSB-KE-02 HYPER DH BRANCH FEEDER POWER DIAGRAM</t>
  </si>
  <si>
    <t>M2-ELC-GPS-SDRG-0901-1883</t>
  </si>
  <si>
    <t>MAIN SWITCHBOARD MSB-KE-02 MCC-X CHILLER FEEDERS POWER DIAGRAM</t>
  </si>
  <si>
    <t>M2-ELC-GPS-SDRG-0901-1884</t>
  </si>
  <si>
    <t>M2-ELC-GPS-SDRG-0901-1885</t>
  </si>
  <si>
    <t>M2-ELC-GPS-SDRG-0901-1886</t>
  </si>
  <si>
    <t>M2-ELC-GPS-SDRG-0901-1887</t>
  </si>
  <si>
    <t>MAIN SWITCHBOARD MSB-KE-02 BUS TIE POWER DIAGRAM</t>
  </si>
  <si>
    <t>M2-ELC-GPS-SDRG-0901-1888</t>
  </si>
  <si>
    <t>MAIN SWITCHBOARD MSB-KE-02 UPS DISTRIBUTION POWER DIAGRAM</t>
  </si>
  <si>
    <t>M2-ELC-GPS-SDRG-0901-1889</t>
  </si>
  <si>
    <t>MAIN SWITCHBOARD MSB-KE-02 LOAD BANK FEEDER POWER DIAGRAM</t>
  </si>
  <si>
    <t>M2-ELC-GPS-SDRG-0901-1890</t>
  </si>
  <si>
    <t>MAIN SWITCHBOARD MSB-KE-02 UPS-X1 INCOMER POWER DIAGRAM</t>
  </si>
  <si>
    <t>M2-ELC-GPS-SDRG-0901-1891</t>
  </si>
  <si>
    <t>MAIN SWITCHBOARD MSB-KE-02 UPS-X2 INCOMER POWER DIAGRAM</t>
  </si>
  <si>
    <t>M2-ELC-GPS-SDRG-0901-1892</t>
  </si>
  <si>
    <t>MAIN SWITCHBOARD MSB-KE-02 ESSENTIAL SERVICES POWER DIAGRAM 1 OF 2</t>
  </si>
  <si>
    <t>M2-ELC-GPS-SDRG-0901-1893</t>
  </si>
  <si>
    <t>MAIN SWITCHBOARD MSB-KE-02 ESSENTIAL SERVICES POWER DIAGRAM 2 OF 2</t>
  </si>
  <si>
    <t>M2-ELC-GPS-SDRG-0901-1894</t>
  </si>
  <si>
    <t>MAIN SWITCHBOARD MSB-KE-02 UPS FEEDERS POWER DIAGRAM</t>
  </si>
  <si>
    <t>M2-ELC-GPS-SDRG-0901-1900</t>
  </si>
  <si>
    <t>MAIN SWITCHBOARD MSB-KE-02 110VDC POWER SUPPLY POWER DIAGRAM</t>
  </si>
  <si>
    <t>M2-ELC-GPS-SDRG-0901-1901</t>
  </si>
  <si>
    <t>MAIN SWITCHBOARD MSB-KE-02 24VDC POWER SUPPLY POWER DIAGRAM 1 OF 2</t>
  </si>
  <si>
    <t>M2-ELC-GPS-SDRG-0901-1902</t>
  </si>
  <si>
    <t>MAIN SWITCHBOARD MSB-KE-02 24VDC POWER SUPPLY POWER DIAGRAM 2 OF 2</t>
  </si>
  <si>
    <t>M2-ELC-GPS-SDRG-0901-1903</t>
  </si>
  <si>
    <t>MAIN SWITCHBOARD MSB-KE-02 CL KEY SWITCH 20A 2NO 2NC FOR UPS BOARD</t>
  </si>
  <si>
    <t>M2-ELC-GPS-SDRG-0901-1950</t>
  </si>
  <si>
    <t>MAIN SWITCHBOARD MSB-KE-02 ENERLIN'X COMMS NETWORK DIAGRAM</t>
  </si>
  <si>
    <t>M2-ELC-GPS-SDRG-0901-1951</t>
  </si>
  <si>
    <t>MAIN SWITCHBOARD MSB-KE-02 NETWORK SWITCH NETWORK DIAGRAM</t>
  </si>
  <si>
    <t>M2-ELC-GPS-SDRG-0901-2000</t>
  </si>
  <si>
    <t>MAIN SWITCHBOARD MSB-KF-01 DRAWING INDEX</t>
  </si>
  <si>
    <t>M2-ELC-GPS-SDRG-0901-2010</t>
  </si>
  <si>
    <t>MAIN SWITCHBOARD MSB-KF-01 SINGLE LINE DIAGRAM</t>
  </si>
  <si>
    <t>M2-ELC-GPS-SDRG-0901-2020</t>
  </si>
  <si>
    <t>MAIN SWITCHBOARD MSB-KF-01 MSB-KF-1 ENCLOSURE GENERAL ARRANGEMENT</t>
  </si>
  <si>
    <t>M2-ELC-GPS-SDRG-0901-2021</t>
  </si>
  <si>
    <t>MAIN SWITCHBOARD MSB-KF-01 GEN INCOMER SECTION GENERAL ARRANGEMENT</t>
  </si>
  <si>
    <t>M2-ELC-GPS-SDRG-0901-2022</t>
  </si>
  <si>
    <t>MAIN SWITCHBOARD MSB-KF-01 LOAD BANK SECTION GENERAL ARRANGEMENT</t>
  </si>
  <si>
    <t>M2-ELC-GPS-SDRG-0901-2023</t>
  </si>
  <si>
    <t>MAIN SWITCHBOARD MSB-KF-01 GEN BUSTIE SECTION GENERAL ARRANGEMENT</t>
  </si>
  <si>
    <t>M2-ELC-GPS-SDRG-0901-2024</t>
  </si>
  <si>
    <t>MAIN SWITCHBOARD MSB-KF-01</t>
  </si>
  <si>
    <t>M2-ELC-GPS-SDRG-0901-2025</t>
  </si>
  <si>
    <t>MAIN SWITCHBOARD MSB-KF-01 ATS SECTION GENERAL ARRANGEMENT</t>
  </si>
  <si>
    <t>M2-ELC-GPS-SDRG-0901-2026</t>
  </si>
  <si>
    <t>MAIN SWITCHBOARD MSB-KF-01 REAR VIEW GENERAL ARRANGEMENT</t>
  </si>
  <si>
    <t>M2-ELC-GPS-SDRG-0901-2027</t>
  </si>
  <si>
    <t>MAIN SWITCHBOARD MSB-KF-01 PLINTH DETAILS GENERAL ARRANGEMENT</t>
  </si>
  <si>
    <t>M2-ELC-GPS-SDRG-0901-2050</t>
  </si>
  <si>
    <t>MAIN SWITCHBOARD MSB-KF-01 BILL OF MATERIALS</t>
  </si>
  <si>
    <t>M2-ELC-GPS-SDRG-0901-2051</t>
  </si>
  <si>
    <t>M2-ELC-GPS-SDRG-0901-2052</t>
  </si>
  <si>
    <t>M2-ELC-GPS-SDRG-0901-2070</t>
  </si>
  <si>
    <t>MAIN SWITCHBOARD MSB-KF-01 1F GSB-KB GEN INCOMING SECTION LABEL SCHEDULE</t>
  </si>
  <si>
    <t>M2-ELC-GPS-SDRG-0901-2071</t>
  </si>
  <si>
    <t>MAIN SWITCHBOARD MSB-KF-01 2F</t>
  </si>
  <si>
    <t>M2-ELC-GPS-SDRG-0901-2072</t>
  </si>
  <si>
    <t>MAIN SWITCHBOARD MSB-KF-01 4F MSB-KF-PART-1 GEN BUS TIE SECTION LABEL SCHEDULE</t>
  </si>
  <si>
    <t>M2-ELC-GPS-SDRG-0901-2073</t>
  </si>
  <si>
    <t>MAIN SWITCHBOARD MSB-KF-01 5F MSB-KF-PART-1</t>
  </si>
  <si>
    <t>M2-ELC-GPS-SDRG-0901-2074</t>
  </si>
  <si>
    <t>MAIN SWITCHBOARD MSB-KF-01 6F MSB-KF-PART-1 ATS SECTION LABEL SCHEDULE</t>
  </si>
  <si>
    <t>M2-ELC-GPS-SDRG-0901-2080</t>
  </si>
  <si>
    <t>MAIN SWITCHBOARD MSB-KF-01 GENERATOR INCOMER POWER DIAGRAM</t>
  </si>
  <si>
    <t>M2-ELC-GPS-SDRG-0901-2081</t>
  </si>
  <si>
    <t>MAIN SWITCHBOARD MSB-KF-01 LOAD BANK FEEDER 1 OF 2 POWER DIAGRAM</t>
  </si>
  <si>
    <t>M2-ELC-GPS-SDRG-0901-2082</t>
  </si>
  <si>
    <t>MAIN SWITCHBOARD MSB-KF-01 LOAD BANK FEEDER 2 OF 2 POWER DIAGRAM</t>
  </si>
  <si>
    <t>M2-ELC-GPS-SDRG-0901-2083</t>
  </si>
  <si>
    <t>MAIN SWITCHBOARD MSB-KF-01 BUS TIE POWER DIAGRAM</t>
  </si>
  <si>
    <t>M2-ELC-GPS-SDRG-0901-2084</t>
  </si>
  <si>
    <t>M2-ELC-GPS-SDRG-0901-2085</t>
  </si>
  <si>
    <t>MAIN SWITCHBOARD MSB-KF-01 MSB-KF-PART-2 FEEDER POWER DIAGRAM</t>
  </si>
  <si>
    <t>M2-ELC-GPS-SDRG-0901-2100</t>
  </si>
  <si>
    <t>MAIN SWITCHBOARD MSB-KF-01 110VDC POWER SUPPLY POWER DIAGRAM</t>
  </si>
  <si>
    <t>M2-ELC-GPS-SDRG-0901-2101</t>
  </si>
  <si>
    <t>MAIN SWITCHBOARD MSB-KF-01 24VDC POWER SUPPLY POWER DIAGRAM</t>
  </si>
  <si>
    <t>M2-ELC-GPS-SDRG-0901-2102</t>
  </si>
  <si>
    <t>MAIN SWITCHBOARD MSB-KF-01 24VDC DISTRIBUTION POWER DIAGRAM</t>
  </si>
  <si>
    <t>M2-ELC-GPS-SDRG-0901-2120</t>
  </si>
  <si>
    <t>MAIN SWITCHBOARD MSB-KF-01 AUTOMATIC TRANSFER SWITCH CONTROL DIAGRAM</t>
  </si>
  <si>
    <t>M2-ELC-GPS-SDRG-0901-2150</t>
  </si>
  <si>
    <t>MAIN SWITCHBOARD MSB-KF-01 NETWORK DIAGRAM</t>
  </si>
  <si>
    <t>M2-ELC-GPS-SDRG-0901-2200</t>
  </si>
  <si>
    <t>MAIN SWITCHBOARD MSB-KF-02 DRAWING INDEX SH.1</t>
  </si>
  <si>
    <t>M2-ELC-GPS-SDRG-0901-2201</t>
  </si>
  <si>
    <t>MAIN SWITCHBOARD MSB-KF-02 DRAWING INDEX SH.2</t>
  </si>
  <si>
    <t>M2-ELC-GPS-SDRG-0901-2210</t>
  </si>
  <si>
    <t>MAIN SWITCHBOARD MSB-KF-02 SINGLE LINE DIAGRAM 1 OF 3</t>
  </si>
  <si>
    <t>M2-ELC-GPS-SDRG-0901-2211</t>
  </si>
  <si>
    <t>MAIN SWITCHBOARD MSB-KF-02 SINGLE LINE DIAGRAM 2 OF 3</t>
  </si>
  <si>
    <t>M2-ELC-GPS-SDRG-0901-2212</t>
  </si>
  <si>
    <t>MAIN SWITCHBOARD MSB-KF-02 SINGLE LINE DIAGRAM 3 OF 3</t>
  </si>
  <si>
    <t>M2-ELC-GPS-SDRG-0901-2220</t>
  </si>
  <si>
    <t>MAIN SWITCHBOARD MSB-KF-02 EXTERNAL VIEW TIERS 1-8 GENERAL ARRANGEMENT</t>
  </si>
  <si>
    <t>M2-ELC-GPS-SDRG-0901-2221</t>
  </si>
  <si>
    <t>MAIN SWITCHBOARD MSB-KF-02 EXTERNAL VIEW TIERS 9-18 GENERAL ARRANGEMENT</t>
  </si>
  <si>
    <t>M2-ELC-GPS-SDRG-0901-2222</t>
  </si>
  <si>
    <t>MAIN SWITCHBOARD MSB-KF-02 INTERNAL VIEW TIERS 1 GENERAL ARRANGEMENT</t>
  </si>
  <si>
    <t>M2-ELC-GPS-SDRG-0901-2223</t>
  </si>
  <si>
    <t>MAIN SWITCHBOARD MSB-KF-02 INTERNAL VIEW TIERS 2 GENERAL ARRANGEMENT</t>
  </si>
  <si>
    <t>M2-ELC-GPS-SDRG-0901-2224</t>
  </si>
  <si>
    <t>MAIN SWITCHBOARD MSB-KF-02 INTERNAL VIEW TIERS 3 GENERAL ARRANGEMENT</t>
  </si>
  <si>
    <t>M2-ELC-GPS-SDRG-0901-2225</t>
  </si>
  <si>
    <t>MAIN SWITCHBOARD MSB-KF-02 INTERNAL VIEW TIERS 4 GENERAL ARRANGEMENT</t>
  </si>
  <si>
    <t>M2-ELC-GPS-SDRG-0901-2226</t>
  </si>
  <si>
    <t>MAIN SWITCHBOARD MSB-KF-02 INTERNAL VIEW TIERS 5 GENERAL ARRANGEMENT</t>
  </si>
  <si>
    <t>M2-ELC-GPS-SDRG-0901-2227</t>
  </si>
  <si>
    <t>MAIN SWITCHBOARD MSB-KF-02 INTERNAL VIEW TIERS 6 GENERAL ARRANGEMENT</t>
  </si>
  <si>
    <t>M2-ELC-GPS-SDRG-0901-2228</t>
  </si>
  <si>
    <t>MAIN SWITCHBOARD MSB-KF-02 INTERNAL VIEW TIERS 7 GENERAL ARRANGEMENT</t>
  </si>
  <si>
    <t>M2-ELC-GPS-SDRG-0901-2229</t>
  </si>
  <si>
    <t>MAIN SWITCHBOARD MSB-KF-02 INTERNAL VIEW TIERS 8 &amp; 9 GENERAL ARRANGEMENT</t>
  </si>
  <si>
    <t>M2-ELC-GPS-SDRG-0901-2230</t>
  </si>
  <si>
    <t>MAIN SWITCHBOARD MSB-KF-02 INTERNAL VIEW TIERS 10 GENERAL ARRANGEMENT</t>
  </si>
  <si>
    <t>M2-ELC-GPS-SDRG-0901-2231</t>
  </si>
  <si>
    <t>MAIN SWITCHBOARD MSB-KF-02 INTERNAL VIEW TIERS 11 GENERAL ARRANGEMENT</t>
  </si>
  <si>
    <t>M2-ELC-GPS-SDRG-0901-2232</t>
  </si>
  <si>
    <t>MAIN SWITCHBOARD MSB-KF-02 INTERNAL VIEW TIERS 12 GENERAL ARRANGEMENT</t>
  </si>
  <si>
    <t>M2-ELC-GPS-SDRG-0901-2233</t>
  </si>
  <si>
    <t>MAIN SWITCHBOARD MSB-KF-02 INTERNAL VIEW TIERS 13 GENERAL ARRANGEMENT</t>
  </si>
  <si>
    <t>M2-ELC-GPS-SDRG-0901-2234</t>
  </si>
  <si>
    <t>MAIN SWITCHBOARD MSB-KF-02 INTERNAL VIEW TIERS 14 &amp; 15 GENERAL ARRANGEMENT</t>
  </si>
  <si>
    <t>M2-ELC-GPS-SDRG-0901-2235</t>
  </si>
  <si>
    <t>MAIN SWITCHBOARD MSB-KF-02 INTERNAL VIEW TIERS 16 GENERAL ARRANGEMENT</t>
  </si>
  <si>
    <t>M2-ELC-GPS-SDRG-0901-2236</t>
  </si>
  <si>
    <t>MAIN SWITCHBOARD MSB-KF-02 INTERNAL VIEW TIERS 17 &amp; 18 GENERAL ARRANGEMENT</t>
  </si>
  <si>
    <t>M2-ELC-GPS-SDRG-0901-2237</t>
  </si>
  <si>
    <t>MAIN SWITCHBOARD MSB-KF-02 EXTERNAL REAR VIEW TIERS GENERAL ARRANGEMENT</t>
  </si>
  <si>
    <t>M2-ELC-GPS-SDRG-0901-2238</t>
  </si>
  <si>
    <t>MAIN SWITCHBOARD MSB-KF-02 PLINTH DETAILS GENERAL ARRANGEMENT 1 OF 2</t>
  </si>
  <si>
    <t>M2-ELC-GPS-SDRG-0901-2239</t>
  </si>
  <si>
    <t>MAIN SWITCHBOARD MSB-KF-02 PLINTH DETAILS GENERAL ARRANGEMENT 2 OF 2</t>
  </si>
  <si>
    <t>M2-ELC-GPS-SDRG-0901-2250</t>
  </si>
  <si>
    <t>MAIN SWITCHBOARD MSB-KF-02 BILL OF MATERIALS 1 OF 5</t>
  </si>
  <si>
    <t>M2-ELC-GPS-SDRG-0901-2251 MAN SWITC IBOARD MSB-KF-02 NETWORK SWTCH NETWORK DAGRAM.pdf</t>
  </si>
  <si>
    <t>M2-ELC-GPS-SDRG-0901-2251</t>
  </si>
  <si>
    <t>MAIN SWITCHBOARD MSB-KF-02 BILL OF MATERIALS 2 OF 5</t>
  </si>
  <si>
    <t>M2-ELC-GPS-SDRG-0901-2252</t>
  </si>
  <si>
    <t>MAIN SWITCHBOARD MSB-KF-02 BILL OF MATERIALS 3 OF 5</t>
  </si>
  <si>
    <t>M2-ELC-GPS-SDRG-0901-2253</t>
  </si>
  <si>
    <t>MAIN SWITCHBOARD MSB-KF-02 BILL OF MATERIALS 4 OF 5</t>
  </si>
  <si>
    <t>M2-ELC-GPS-SDRG-0901-2254</t>
  </si>
  <si>
    <t>MAIN SWITCHBOARD MSB-KF-02 BILL OF MATERIALS 5 OF 5</t>
  </si>
  <si>
    <t>M2-ELC-GPS-SDRG-0901-2270</t>
  </si>
  <si>
    <t>MAIN SWITCHBOARD MSB-KF-02 1F MSB-KF-02 CHILLER SECTION LABEL SCHEDULE</t>
  </si>
  <si>
    <t>M2-ELC-GPS-SDRG-0901-2271</t>
  </si>
  <si>
    <t>MAIN SWITCHBOARD MSB-KF-02 2F MSB-KF-02 SECOND FEED SECTION LABEL SCHEDULE</t>
  </si>
  <si>
    <t>M2-ELC-GPS-SDRG-0901-2272</t>
  </si>
  <si>
    <t>MAIN SWITCHBOARD MSB-KF-02 3F-4F-5F LGT, PWR, &amp; MCC SECTIONS LABEL SCHEDULE</t>
  </si>
  <si>
    <t>M2-ELC-GPS-SDRG-0901-2273</t>
  </si>
  <si>
    <t>MAIN SWITCHBOARD MSB-KF-02 6F-7F HYPER DH &amp; BUS TIE SECTIONS LABEL SCHEDULE</t>
  </si>
  <si>
    <t>M2-ELC-GPS-SDRG-0901-2274</t>
  </si>
  <si>
    <t>MAIN SWITCHBOARD MSB-KF-02 8F-9F MSB-KF-02 SECTIONS LABEL SCHEDULE</t>
  </si>
  <si>
    <t>M2-ELC-GPS-SDRG-0901-2275</t>
  </si>
  <si>
    <t>MAIN SWITCHBOARD MSB-KF-02 10F-13F MSB-KF-02 SECTIONS LABEL SCHEDULE</t>
  </si>
  <si>
    <t>M2-ELC-GPS-SDRG-0901-2276</t>
  </si>
  <si>
    <t>MAIN SWITCHBOARD MSB-KF-02 11F-12F-14F UPS INCOMMERS SECTIONS LABEL SCHEDULE</t>
  </si>
  <si>
    <t>M2-ELC-GPS-SDRG-0901-2277</t>
  </si>
  <si>
    <t>MAIN SWITCHBOARD MSB-KF-02 15F-16F USP FEEDERS SECTIONS LABEL SCHEDULE</t>
  </si>
  <si>
    <t>M2-ELC-GPS-SDRG-0901-2278</t>
  </si>
  <si>
    <t>MAIN SWITCHBOARD MSB-KF-02 17F-18F UPS FIRE SERVICES SECTIONS LABEL SCHEDULE</t>
  </si>
  <si>
    <t>M2-ELC-GPS-SDRG-0901-2280</t>
  </si>
  <si>
    <t>MAIN SWITCHBOARD MSB-KF-02</t>
  </si>
  <si>
    <t>M2-ELC-GPS-SDRG-0901-2281</t>
  </si>
  <si>
    <t>M2-ELC-GPS-SDRG-0901-2282</t>
  </si>
  <si>
    <t>MAIN SWITCHBOARD MSB-KF-02 HYPER DH BRANCH FEEDER POWER DIAGRAM</t>
  </si>
  <si>
    <t>M2-ELC-GPS-SDRG-0901-2283</t>
  </si>
  <si>
    <t>MAIN SWITCHBOARD MSB-KF-02 MCC-X CHILLER FEEDERS POWER DIAGRAM</t>
  </si>
  <si>
    <t>M2-ELC-GPS-SDRG-0901-2284</t>
  </si>
  <si>
    <t>M2-ELC-GPS-SDRG-0901-2285</t>
  </si>
  <si>
    <t>M2-ELC-GPS-SDRG-0901-2286</t>
  </si>
  <si>
    <t>M2-ELC-GPS-SDRG-0901-2287</t>
  </si>
  <si>
    <t>MAIN SWITCHBOARD MSB-KF-02 BUS TIE POWER DIAGRAM</t>
  </si>
  <si>
    <t>M2-ELC-GPS-SDRG-0901-2288</t>
  </si>
  <si>
    <t>MAIN SWITCHBOARD MSB-KF-02 UPS DISTRIBUTION POWER DIAGRAM</t>
  </si>
  <si>
    <t>M2-ELC-GPS-SDRG-0901-2289</t>
  </si>
  <si>
    <t>MAIN SWITCHBOARD MSB-KF-02 LOAD BANK FEEDER POWER DIAGRAM</t>
  </si>
  <si>
    <t>M2-ELC-GPS-SDRG-0901-2290</t>
  </si>
  <si>
    <t>MAIN SWITCHBOARD MSB-KF-02 UPS-X1 INCOMER POWER DIAGRAM</t>
  </si>
  <si>
    <t>M2-ELC-GPS-SDRG-0901-2291</t>
  </si>
  <si>
    <t>MAIN SWITCHBOARD MSB-KF-02 UPS-X2 INCOMER POWER DIAGRAM</t>
  </si>
  <si>
    <t>M2-ELC-GPS-SDRG-0901-2292</t>
  </si>
  <si>
    <t>MAIN SWITCHBOARD MSB-KF-02 ESSENTIAL SERVICES POWER DIAGRAM 1 OF 2</t>
  </si>
  <si>
    <t>M2-ELC-GPS-SDRG-0901-2293</t>
  </si>
  <si>
    <t>MAIN SWITCHBOARD MSB-KF-02 ESSENTIAL SERVICES POWER DIAGRAM 2 OF 2</t>
  </si>
  <si>
    <t>M2-ELC-GPS-SDRG-0901-2294</t>
  </si>
  <si>
    <t>MAIN SWITCHBOARD MSB-KF-02 UPS FEEDERS POWER DIAGRAM</t>
  </si>
  <si>
    <t>M2-ELC-GPS-SDRG-0901-2300</t>
  </si>
  <si>
    <t>MAIN SWITCHBOARD MSB-KF-02 110VDC POWER SUPPLY POWER DIAGRAM</t>
  </si>
  <si>
    <t>M2-ELC-GPS-SDRG-0901-2301</t>
  </si>
  <si>
    <t>MAIN SWITCHBOARD MSB-KF-02 24VDC POWER SUPPLY POWER DIAGRAM 1 OF 2</t>
  </si>
  <si>
    <t>M2-ELC-GPS-SDRG-0901-2302</t>
  </si>
  <si>
    <t>MAIN SWITCHBOARD MSB-KF-02 24VDC POWER SUPPLY POWER DIAGRAM 2 OF 2</t>
  </si>
  <si>
    <t>M2-ELC-GPS-SDRG-0901-2303</t>
  </si>
  <si>
    <t>MAIN SWITCHBOARD MSB-KF-02 CL KEY SWITCH 20A 2NO 2NC FOR UPS BOARD</t>
  </si>
  <si>
    <t>M2-ELC-GPS-SDRG-0901-2350</t>
  </si>
  <si>
    <t>MAIN SWITCHBOARD MSB-KF-02 ENERLIN'X COMMS NETWORK DIAGRAM</t>
  </si>
  <si>
    <t>Merge PDF.pdf</t>
  </si>
  <si>
    <t>VIA Arch-TRANSMIT-000142</t>
  </si>
  <si>
    <t>Drawing #</t>
  </si>
  <si>
    <t>Current Rev</t>
  </si>
  <si>
    <t>Rev 15/05</t>
  </si>
  <si>
    <t>Previous Rev</t>
  </si>
  <si>
    <t>M2-ARC-VIA-DRG-0901-3001</t>
  </si>
  <si>
    <t>IFBP-6</t>
  </si>
  <si>
    <t>IFBP-5</t>
  </si>
  <si>
    <t>IFBP-4</t>
  </si>
  <si>
    <t>M2-ARC-VIA-DRG-0901-3011</t>
  </si>
  <si>
    <t>IFBP-3</t>
  </si>
  <si>
    <t>M2-ARC-VIA-DRG-0901-3021</t>
  </si>
  <si>
    <t>M2-ARC-VIA-DRG-0901-3031</t>
  </si>
  <si>
    <t>M2-ARC-VIA-DRG-0901-3051</t>
  </si>
  <si>
    <t>IFBP-2</t>
  </si>
  <si>
    <t>IFBP-1</t>
  </si>
  <si>
    <t>M2-ARC-VIA-DRG-0901-8401</t>
  </si>
  <si>
    <t>IFBP-8</t>
  </si>
  <si>
    <t>IFBP-7</t>
  </si>
  <si>
    <t>Aconex Doc #</t>
  </si>
  <si>
    <t>Attachment</t>
  </si>
  <si>
    <t>M2-TEL-WSP-DRG-0000-3001</t>
  </si>
  <si>
    <t>M2-TEL-WSP-DRG-0000-3000</t>
  </si>
  <si>
    <t>M2-TEL-WSP-DRG-0000-3330</t>
  </si>
  <si>
    <t>M2-TEL-WSP-DRG-0000-3320</t>
  </si>
  <si>
    <t>M2-ELC-WSP-DRG-0001-3230</t>
  </si>
  <si>
    <r>
      <rPr>
        <sz val="10"/>
        <color theme="1"/>
        <rFont val="Aptos Narrow"/>
        <charset val="134"/>
        <scheme val="minor"/>
      </rPr>
      <t xml:space="preserve">Aconex Rev IFBP-2 / Rev on attachment </t>
    </r>
    <r>
      <rPr>
        <sz val="10"/>
        <color rgb="FFFF0000"/>
        <rFont val="Aptos Narrow"/>
        <charset val="134"/>
        <scheme val="minor"/>
      </rPr>
      <t>IFT-2</t>
    </r>
  </si>
  <si>
    <t>Project</t>
  </si>
  <si>
    <t>Organization Code</t>
  </si>
  <si>
    <t>Document Type</t>
  </si>
  <si>
    <t>Stage</t>
  </si>
  <si>
    <t>Unique number</t>
  </si>
  <si>
    <t>Shop Drawing</t>
  </si>
  <si>
    <t>M2</t>
  </si>
  <si>
    <t>STR</t>
  </si>
  <si>
    <t>SAF</t>
  </si>
  <si>
    <t>SDRG</t>
  </si>
  <si>
    <t>0001</t>
  </si>
  <si>
    <t>XXXX</t>
  </si>
  <si>
    <t>Technical Data</t>
  </si>
  <si>
    <t>TD</t>
  </si>
  <si>
    <t>Stage code can be changed as per below</t>
  </si>
  <si>
    <t>Overall / External</t>
  </si>
  <si>
    <t>Stage 9</t>
  </si>
  <si>
    <t>0901</t>
  </si>
  <si>
    <t>Stage 10</t>
  </si>
  <si>
    <t>Stage 11</t>
  </si>
  <si>
    <t>M2-STR-GWG-DRG-1001-2701</t>
  </si>
  <si>
    <t>File name updated</t>
  </si>
  <si>
    <t>M2-STR-GWG-DRG-1101-3031</t>
  </si>
  <si>
    <t>M2-STR-GWG-DRG-1101-3111</t>
  </si>
  <si>
    <t>M2-STR-GWG-DRG-1101-3121</t>
  </si>
  <si>
    <t>M2-STR-GWG-DRG-1101-3335</t>
  </si>
  <si>
    <t>M2-STR-GWG-DRG-1101-3701</t>
  </si>
  <si>
    <t>M2-STR-GWG-DRG-1101-3702</t>
  </si>
  <si>
    <t>Incorrect attachment</t>
  </si>
  <si>
    <t>M2-MEC-WSP-SPE-0000-0000</t>
  </si>
  <si>
    <t>Updated the revisions in Aconex, removed the duplicate files uploaded by WSP as discussed with WSP Doc Control</t>
  </si>
  <si>
    <t>M2-FIP-WSP-SPE-0000-0000</t>
  </si>
  <si>
    <t>Revision mismatch</t>
  </si>
  <si>
    <t>M2-ELC-WSP-DRG-0900-3220</t>
  </si>
  <si>
    <t>Aconex record updated</t>
  </si>
  <si>
    <t>M2-FIP-WSP-DRG-1101-3001</t>
  </si>
  <si>
    <t>IFBP-2  available in Aconex (received via WSP ANZ-TRANSMIT-000075)</t>
  </si>
  <si>
    <t>Tradetec-TRANSMIT-000055</t>
  </si>
  <si>
    <t>AXIS-NSW-TRANSMIT-000002</t>
  </si>
  <si>
    <t>Auspan-TRANSMIT-000110</t>
  </si>
  <si>
    <t>WSP ANZ-TRANSMIT-000046</t>
  </si>
  <si>
    <t>Auspan-TRANSMIT-000111</t>
  </si>
  <si>
    <t>WSP ANZ-TRANSMIT-000048</t>
  </si>
  <si>
    <t>Auspan-TRANSMIT-000112</t>
  </si>
  <si>
    <t>WSP ANZ-TRANSMIT-000050</t>
  </si>
  <si>
    <t>Auspan-TRANSMIT-000113</t>
  </si>
  <si>
    <t>PCForm-TRANSMIT-000070</t>
  </si>
  <si>
    <t>KPTG-IntCorr-000408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</si>
</sst>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/yy;@"/>
    <numFmt numFmtId="182" formatCode="dd/mmm"/>
    <numFmt numFmtId="183" formatCode="[$-409]d/mmm;@"/>
  </numFmts>
  <fonts count="45">
    <font>
      <sz val="11"/>
      <color theme="1"/>
      <name val="Aptos Narrow"/>
      <charset val="134"/>
      <scheme val="minor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4"/>
      <color theme="0"/>
      <name val="Arial"/>
      <charset val="134"/>
    </font>
    <font>
      <sz val="11"/>
      <color theme="1"/>
      <name val="Calibri"/>
      <charset val="134"/>
    </font>
    <font>
      <sz val="11"/>
      <color rgb="FF333333"/>
      <name val="Calibri"/>
      <charset val="1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000000"/>
      <name val="Arial"/>
      <charset val="134"/>
    </font>
    <font>
      <sz val="10"/>
      <color rgb="FFFF0000"/>
      <name val="Arial"/>
      <charset val="134"/>
    </font>
    <font>
      <sz val="10"/>
      <color theme="1"/>
      <name val="Aptos Narrow"/>
      <charset val="134"/>
      <scheme val="minor"/>
    </font>
    <font>
      <sz val="11"/>
      <color theme="1"/>
      <name val="Segoe UI"/>
      <charset val="134"/>
    </font>
    <font>
      <sz val="11"/>
      <color rgb="FF000000"/>
      <name val="Segoe UI"/>
      <charset val="134"/>
    </font>
    <font>
      <sz val="11"/>
      <color rgb="FF000000"/>
      <name val="Segoe UI"/>
      <charset val="1"/>
    </font>
    <font>
      <b/>
      <sz val="11"/>
      <color theme="1"/>
      <name val="Segoe UI"/>
      <charset val="134"/>
    </font>
    <font>
      <sz val="11"/>
      <name val="Segoe UI"/>
      <charset val="134"/>
    </font>
    <font>
      <sz val="12"/>
      <color theme="1"/>
      <name val="Segoe UI"/>
      <charset val="134"/>
    </font>
    <font>
      <sz val="12"/>
      <color rgb="FF000000"/>
      <name val="Segoe UI"/>
      <charset val="134"/>
    </font>
    <font>
      <sz val="10.5"/>
      <color rgb="FF333333"/>
      <name val="helvetica"/>
      <charset val="134"/>
    </font>
    <font>
      <sz val="10.5"/>
      <color theme="1"/>
      <name val="Segoe UI"/>
      <charset val="134"/>
    </font>
    <font>
      <sz val="11"/>
      <name val="Segoe U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color rgb="FFFF0000"/>
      <name val="Aptos Narrow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3" tint="0.8999298074282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5" borderId="4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2" fillId="0" borderId="4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6" borderId="45" applyNumberFormat="0" applyAlignment="0" applyProtection="0">
      <alignment vertical="center"/>
    </xf>
    <xf numFmtId="0" fontId="34" fillId="17" borderId="46" applyNumberFormat="0" applyAlignment="0" applyProtection="0">
      <alignment vertical="center"/>
    </xf>
    <xf numFmtId="0" fontId="35" fillId="17" borderId="45" applyNumberFormat="0" applyAlignment="0" applyProtection="0">
      <alignment vertical="center"/>
    </xf>
    <xf numFmtId="0" fontId="36" fillId="18" borderId="47" applyNumberFormat="0" applyAlignment="0" applyProtection="0">
      <alignment vertical="center"/>
    </xf>
    <xf numFmtId="0" fontId="37" fillId="0" borderId="48" applyNumberFormat="0" applyFill="0" applyAlignment="0" applyProtection="0">
      <alignment vertical="center"/>
    </xf>
    <xf numFmtId="0" fontId="38" fillId="0" borderId="49" applyNumberFormat="0" applyFill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42" fillId="45" borderId="0" applyNumberFormat="0" applyBorder="0" applyAlignment="0" applyProtection="0">
      <alignment vertical="center"/>
    </xf>
  </cellStyleXfs>
  <cellXfs count="20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180" fontId="1" fillId="3" borderId="3" xfId="0" applyNumberFormat="1" applyFont="1" applyFill="1" applyBorder="1" applyAlignment="1">
      <alignment horizontal="left" vertical="center"/>
    </xf>
    <xf numFmtId="180" fontId="1" fillId="3" borderId="3" xfId="0" applyNumberFormat="1" applyFont="1" applyFill="1" applyBorder="1" applyAlignment="1">
      <alignment vertical="center"/>
    </xf>
    <xf numFmtId="180" fontId="1" fillId="3" borderId="3" xfId="0" applyNumberFormat="1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horizontal="center" vertical="center"/>
    </xf>
    <xf numFmtId="181" fontId="5" fillId="6" borderId="15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8" fillId="0" borderId="0" xfId="0" applyFont="1"/>
    <xf numFmtId="0" fontId="9" fillId="7" borderId="1" xfId="0" applyFont="1" applyFill="1" applyBorder="1" applyAlignment="1">
      <alignment readingOrder="1"/>
    </xf>
    <xf numFmtId="0" fontId="8" fillId="7" borderId="1" xfId="0" applyFont="1" applyFill="1" applyBorder="1"/>
    <xf numFmtId="0" fontId="8" fillId="0" borderId="1" xfId="0" applyFont="1" applyBorder="1"/>
    <xf numFmtId="0" fontId="8" fillId="8" borderId="1" xfId="0" applyFont="1" applyFill="1" applyBorder="1" applyAlignment="1">
      <alignment horizontal="left" vertical="top" readingOrder="1"/>
    </xf>
    <xf numFmtId="0" fontId="8" fillId="8" borderId="21" xfId="0" applyFont="1" applyFill="1" applyBorder="1" applyAlignment="1">
      <alignment vertical="top" wrapText="1"/>
    </xf>
    <xf numFmtId="0" fontId="8" fillId="8" borderId="22" xfId="0" applyFont="1" applyFill="1" applyBorder="1" applyAlignment="1">
      <alignment vertical="top" wrapText="1"/>
    </xf>
    <xf numFmtId="0" fontId="8" fillId="7" borderId="21" xfId="0" applyFont="1" applyFill="1" applyBorder="1" applyAlignment="1">
      <alignment horizontal="left" vertical="top"/>
    </xf>
    <xf numFmtId="0" fontId="8" fillId="7" borderId="22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8" fillId="8" borderId="1" xfId="0" applyFont="1" applyFill="1" applyBorder="1"/>
    <xf numFmtId="0" fontId="8" fillId="8" borderId="1" xfId="0" applyFont="1" applyFill="1" applyBorder="1" applyAlignment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9" borderId="1" xfId="0" applyFont="1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182" fontId="0" fillId="9" borderId="1" xfId="0" applyNumberFormat="1" applyFill="1" applyBorder="1" applyAlignment="1">
      <alignment horizontal="center"/>
    </xf>
    <xf numFmtId="0" fontId="12" fillId="0" borderId="1" xfId="0" applyFont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10" fillId="0" borderId="1" xfId="0" applyFont="1" applyBorder="1" applyAlignment="1">
      <alignment horizontal="left" wrapText="1"/>
    </xf>
    <xf numFmtId="0" fontId="10" fillId="12" borderId="1" xfId="0" applyFont="1" applyFill="1" applyBorder="1" applyAlignment="1">
      <alignment horizontal="left"/>
    </xf>
    <xf numFmtId="0" fontId="0" fillId="12" borderId="1" xfId="0" applyFill="1" applyBorder="1" applyAlignment="1">
      <alignment horizontal="center"/>
    </xf>
    <xf numFmtId="0" fontId="10" fillId="8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13" borderId="0" xfId="0" applyFill="1"/>
    <xf numFmtId="0" fontId="2" fillId="0" borderId="3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5" fillId="0" borderId="12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5" fillId="0" borderId="13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wrapText="1"/>
    </xf>
    <xf numFmtId="0" fontId="16" fillId="0" borderId="14" xfId="0" applyFont="1" applyFill="1" applyBorder="1" applyAlignment="1">
      <alignment horizontal="center"/>
    </xf>
    <xf numFmtId="0" fontId="16" fillId="0" borderId="14" xfId="0" applyFont="1" applyFill="1" applyBorder="1" applyAlignment="1"/>
    <xf numFmtId="0" fontId="17" fillId="0" borderId="33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/>
    </xf>
    <xf numFmtId="0" fontId="16" fillId="0" borderId="1" xfId="0" applyFont="1" applyFill="1" applyBorder="1" applyAlignment="1"/>
    <xf numFmtId="0" fontId="17" fillId="0" borderId="35" xfId="0" applyFont="1" applyFill="1" applyBorder="1" applyAlignment="1">
      <alignment horizontal="center" wrapText="1"/>
    </xf>
    <xf numFmtId="0" fontId="16" fillId="0" borderId="35" xfId="0" applyFont="1" applyFill="1" applyBorder="1" applyAlignment="1">
      <alignment horizontal="center" wrapText="1"/>
    </xf>
    <xf numFmtId="0" fontId="16" fillId="0" borderId="35" xfId="0" applyFont="1" applyFill="1" applyBorder="1" applyAlignment="1">
      <alignment horizontal="center"/>
    </xf>
    <xf numFmtId="0" fontId="17" fillId="0" borderId="12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6" fillId="0" borderId="21" xfId="0" applyFont="1" applyFill="1" applyBorder="1" applyAlignment="1">
      <alignment horizontal="center"/>
    </xf>
    <xf numFmtId="0" fontId="16" fillId="0" borderId="7" xfId="0" applyFont="1" applyFill="1" applyBorder="1" applyAlignment="1"/>
    <xf numFmtId="0" fontId="17" fillId="0" borderId="36" xfId="0" applyFont="1" applyFill="1" applyBorder="1" applyAlignment="1">
      <alignment horizontal="center" wrapText="1"/>
    </xf>
    <xf numFmtId="0" fontId="16" fillId="0" borderId="37" xfId="0" applyFont="1" applyFill="1" applyBorder="1" applyAlignment="1">
      <alignment horizontal="center"/>
    </xf>
    <xf numFmtId="0" fontId="16" fillId="0" borderId="38" xfId="0" applyFont="1" applyFill="1" applyBorder="1" applyAlignment="1">
      <alignment horizontal="center" wrapText="1"/>
    </xf>
    <xf numFmtId="0" fontId="15" fillId="0" borderId="6" xfId="0" applyFont="1" applyBorder="1" applyAlignment="1">
      <alignment horizontal="center" vertical="center"/>
    </xf>
    <xf numFmtId="0" fontId="16" fillId="0" borderId="38" xfId="0" applyFont="1" applyFill="1" applyBorder="1" applyAlignment="1">
      <alignment horizontal="center"/>
    </xf>
    <xf numFmtId="0" fontId="16" fillId="0" borderId="21" xfId="0" applyFont="1" applyFill="1" applyBorder="1" applyAlignment="1"/>
    <xf numFmtId="0" fontId="17" fillId="0" borderId="30" xfId="0" applyFont="1" applyFill="1" applyBorder="1" applyAlignment="1">
      <alignment horizontal="center" wrapText="1"/>
    </xf>
    <xf numFmtId="0" fontId="16" fillId="0" borderId="31" xfId="0" applyFont="1" applyFill="1" applyBorder="1" applyAlignment="1">
      <alignment horizontal="center" wrapText="1"/>
    </xf>
    <xf numFmtId="0" fontId="17" fillId="0" borderId="30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6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182" fontId="16" fillId="0" borderId="21" xfId="0" applyNumberFormat="1" applyFont="1" applyBorder="1" applyAlignment="1">
      <alignment horizontal="center"/>
    </xf>
    <xf numFmtId="0" fontId="16" fillId="0" borderId="31" xfId="0" applyFont="1" applyBorder="1" applyAlignment="1">
      <alignment horizontal="center" wrapText="1"/>
    </xf>
    <xf numFmtId="182" fontId="16" fillId="0" borderId="1" xfId="0" applyNumberFormat="1" applyFont="1" applyFill="1" applyBorder="1" applyAlignment="1">
      <alignment horizontal="center"/>
    </xf>
    <xf numFmtId="0" fontId="0" fillId="14" borderId="1" xfId="0" applyFill="1" applyBorder="1"/>
    <xf numFmtId="0" fontId="19" fillId="0" borderId="12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 wrapText="1"/>
    </xf>
    <xf numFmtId="0" fontId="17" fillId="0" borderId="39" xfId="0" applyFont="1" applyFill="1" applyBorder="1" applyAlignment="1">
      <alignment horizontal="center" wrapText="1"/>
    </xf>
    <xf numFmtId="0" fontId="16" fillId="0" borderId="22" xfId="0" applyFont="1" applyFill="1" applyBorder="1" applyAlignment="1">
      <alignment horizontal="center"/>
    </xf>
    <xf numFmtId="0" fontId="16" fillId="0" borderId="22" xfId="0" applyFont="1" applyFill="1" applyBorder="1" applyAlignment="1"/>
    <xf numFmtId="0" fontId="17" fillId="0" borderId="40" xfId="0" applyFont="1" applyFill="1" applyBorder="1" applyAlignment="1">
      <alignment horizontal="center" wrapText="1"/>
    </xf>
    <xf numFmtId="0" fontId="15" fillId="0" borderId="26" xfId="0" applyFont="1" applyFill="1" applyBorder="1" applyAlignment="1">
      <alignment horizontal="center"/>
    </xf>
    <xf numFmtId="0" fontId="20" fillId="0" borderId="12" xfId="0" applyFont="1" applyBorder="1" applyAlignment="1">
      <alignment horizontal="center" vertical="center"/>
    </xf>
    <xf numFmtId="182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83" fontId="21" fillId="0" borderId="21" xfId="0" applyNumberFormat="1" applyFont="1" applyBorder="1" applyAlignment="1">
      <alignment horizontal="center"/>
    </xf>
    <xf numFmtId="0" fontId="22" fillId="0" borderId="0" xfId="0" applyFont="1"/>
    <xf numFmtId="0" fontId="23" fillId="0" borderId="0" xfId="0" applyFont="1"/>
    <xf numFmtId="0" fontId="19" fillId="11" borderId="12" xfId="0" applyFont="1" applyFill="1" applyBorder="1" applyAlignment="1">
      <alignment horizontal="center"/>
    </xf>
    <xf numFmtId="0" fontId="17" fillId="11" borderId="39" xfId="0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/>
    </xf>
    <xf numFmtId="0" fontId="17" fillId="11" borderId="34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wrapText="1"/>
    </xf>
    <xf numFmtId="0" fontId="24" fillId="11" borderId="12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17" fillId="11" borderId="32" xfId="0" applyFont="1" applyFill="1" applyBorder="1" applyAlignment="1">
      <alignment horizontal="center" wrapText="1"/>
    </xf>
    <xf numFmtId="0" fontId="16" fillId="0" borderId="31" xfId="0" applyFont="1" applyFill="1" applyBorder="1" applyAlignment="1">
      <alignment horizontal="center"/>
    </xf>
    <xf numFmtId="183" fontId="21" fillId="0" borderId="21" xfId="0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5" fillId="0" borderId="2" xfId="0" applyFont="1" applyFill="1" applyBorder="1" applyAlignment="1">
      <alignment horizontal="center" wrapText="1"/>
    </xf>
    <xf numFmtId="0" fontId="17" fillId="0" borderId="41" xfId="0" applyFont="1" applyFill="1" applyBorder="1" applyAlignment="1">
      <alignment horizontal="center" wrapText="1"/>
    </xf>
    <xf numFmtId="0" fontId="16" fillId="0" borderId="2" xfId="0" applyFont="1" applyFill="1" applyBorder="1" applyAlignment="1">
      <alignment horizontal="center" wrapText="1"/>
    </xf>
    <xf numFmtId="0" fontId="17" fillId="0" borderId="7" xfId="0" applyFont="1" applyFill="1" applyBorder="1" applyAlignment="1">
      <alignment horizontal="center" wrapText="1"/>
    </xf>
    <xf numFmtId="0" fontId="16" fillId="0" borderId="5" xfId="0" applyFont="1" applyFill="1" applyBorder="1" applyAlignment="1">
      <alignment horizontal="center" wrapText="1"/>
    </xf>
    <xf numFmtId="0" fontId="19" fillId="0" borderId="30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/>
    </xf>
    <xf numFmtId="0" fontId="17" fillId="0" borderId="32" xfId="0" applyFont="1" applyFill="1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16" fillId="0" borderId="14" xfId="0" applyFont="1" applyBorder="1"/>
    <xf numFmtId="0" fontId="17" fillId="0" borderId="33" xfId="0" applyFont="1" applyBorder="1" applyAlignment="1">
      <alignment horizontal="center" wrapText="1"/>
    </xf>
    <xf numFmtId="0" fontId="15" fillId="0" borderId="12" xfId="0" applyFont="1" applyFill="1" applyBorder="1" applyAlignment="1">
      <alignment horizontal="center"/>
    </xf>
    <xf numFmtId="0" fontId="17" fillId="0" borderId="39" xfId="0" applyFont="1" applyFill="1" applyBorder="1" applyAlignment="1">
      <alignment horizontal="center" wrapText="1"/>
    </xf>
    <xf numFmtId="0" fontId="16" fillId="0" borderId="22" xfId="0" applyFont="1" applyBorder="1" applyAlignment="1">
      <alignment horizontal="center"/>
    </xf>
    <xf numFmtId="0" fontId="16" fillId="0" borderId="22" xfId="0" applyFont="1" applyBorder="1"/>
    <xf numFmtId="0" fontId="17" fillId="0" borderId="40" xfId="0" applyFont="1" applyBorder="1" applyAlignment="1">
      <alignment horizontal="center" wrapText="1"/>
    </xf>
    <xf numFmtId="0" fontId="15" fillId="0" borderId="12" xfId="0" applyFont="1" applyFill="1" applyBorder="1" applyAlignment="1">
      <alignment horizontal="center"/>
    </xf>
    <xf numFmtId="0" fontId="15" fillId="0" borderId="13" xfId="0" applyFont="1" applyBorder="1" applyAlignment="1">
      <alignment horizontal="center" wrapText="1"/>
    </xf>
    <xf numFmtId="0" fontId="17" fillId="0" borderId="34" xfId="0" applyFont="1" applyFill="1" applyBorder="1" applyAlignment="1">
      <alignment horizontal="center" wrapText="1"/>
    </xf>
    <xf numFmtId="0" fontId="17" fillId="0" borderId="35" xfId="0" applyFont="1" applyBorder="1" applyAlignment="1">
      <alignment horizontal="center" wrapText="1"/>
    </xf>
    <xf numFmtId="0" fontId="17" fillId="0" borderId="12" xfId="0" applyFont="1" applyFill="1" applyBorder="1" applyAlignment="1">
      <alignment horizontal="center" wrapText="1"/>
    </xf>
    <xf numFmtId="0" fontId="16" fillId="0" borderId="35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35" xfId="0" applyFont="1" applyBorder="1" applyAlignment="1">
      <alignment horizontal="center"/>
    </xf>
    <xf numFmtId="0" fontId="17" fillId="0" borderId="36" xfId="0" applyFont="1" applyFill="1" applyBorder="1" applyAlignment="1">
      <alignment horizontal="center" wrapText="1"/>
    </xf>
    <xf numFmtId="0" fontId="16" fillId="0" borderId="37" xfId="0" applyFont="1" applyBorder="1" applyAlignment="1">
      <alignment horizontal="center"/>
    </xf>
    <xf numFmtId="0" fontId="16" fillId="0" borderId="7" xfId="0" applyFont="1" applyBorder="1"/>
    <xf numFmtId="0" fontId="16" fillId="0" borderId="38" xfId="0" applyFont="1" applyBorder="1" applyAlignment="1">
      <alignment horizontal="center"/>
    </xf>
    <xf numFmtId="0" fontId="16" fillId="0" borderId="38" xfId="0" applyFont="1" applyBorder="1" applyAlignment="1">
      <alignment horizontal="center" wrapText="1"/>
    </xf>
    <xf numFmtId="0" fontId="17" fillId="0" borderId="30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0" fillId="10" borderId="1" xfId="0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aredStrings" Target="sharedStrings.xml"/><Relationship Id="rId28" Type="http://schemas.openxmlformats.org/officeDocument/2006/relationships/theme" Target="theme/theme1.xml"/><Relationship Id="rId27" Type="http://schemas.openxmlformats.org/officeDocument/2006/relationships/customXml" Target="../customXml/item3.xml"/><Relationship Id="rId26" Type="http://schemas.openxmlformats.org/officeDocument/2006/relationships/customXml" Target="../customXml/item2.xml"/><Relationship Id="rId25" Type="http://schemas.openxmlformats.org/officeDocument/2006/relationships/customXml" Target="../customXml/item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4"/>
  <sheetViews>
    <sheetView tabSelected="1" zoomScale="40" zoomScaleNormal="40" workbookViewId="0">
      <selection activeCell="O16" sqref="O16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46311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ht="31" customHeight="1" spans="1:10">
      <c r="A6" s="175" t="s">
        <v>12</v>
      </c>
      <c r="B6" s="109"/>
      <c r="C6" s="109">
        <v>1</v>
      </c>
      <c r="D6" s="110"/>
      <c r="E6" s="126" t="s">
        <v>13</v>
      </c>
      <c r="F6" s="102"/>
      <c r="G6" s="176" t="s">
        <v>14</v>
      </c>
      <c r="H6" s="177">
        <v>2</v>
      </c>
      <c r="I6" s="178"/>
      <c r="J6" s="179" t="s">
        <v>15</v>
      </c>
    </row>
    <row r="7" customHeight="1" spans="1:10">
      <c r="A7" s="180" t="s">
        <v>16</v>
      </c>
      <c r="B7" s="109">
        <v>38</v>
      </c>
      <c r="C7" s="109"/>
      <c r="D7" s="110"/>
      <c r="E7" s="101" t="s">
        <v>17</v>
      </c>
      <c r="F7" s="107"/>
      <c r="G7" s="181" t="s">
        <v>18</v>
      </c>
      <c r="H7" s="182">
        <v>1</v>
      </c>
      <c r="I7" s="183"/>
      <c r="J7" s="184" t="s">
        <v>19</v>
      </c>
    </row>
    <row r="8" customHeight="1" spans="1:10">
      <c r="A8" s="185" t="s">
        <v>20</v>
      </c>
      <c r="B8" s="99">
        <v>1</v>
      </c>
      <c r="C8" s="99"/>
      <c r="D8" s="100"/>
      <c r="E8" s="186" t="s">
        <v>21</v>
      </c>
      <c r="F8" s="107"/>
      <c r="G8" s="187" t="s">
        <v>22</v>
      </c>
      <c r="H8" s="99">
        <v>2</v>
      </c>
      <c r="I8" s="100"/>
      <c r="J8" s="188" t="s">
        <v>23</v>
      </c>
    </row>
    <row r="9" customHeight="1" spans="1:10">
      <c r="A9" s="189" t="s">
        <v>24</v>
      </c>
      <c r="B9" s="99"/>
      <c r="C9" s="99">
        <v>1</v>
      </c>
      <c r="D9" s="100"/>
      <c r="E9" s="186" t="s">
        <v>25</v>
      </c>
      <c r="F9" s="107"/>
      <c r="G9" s="187" t="s">
        <v>24</v>
      </c>
      <c r="H9" s="99">
        <v>1</v>
      </c>
      <c r="I9" s="100"/>
      <c r="J9" s="190" t="s">
        <v>25</v>
      </c>
    </row>
    <row r="10" customHeight="1" spans="1:10">
      <c r="A10" s="189" t="s">
        <v>26</v>
      </c>
      <c r="B10" s="99">
        <v>2</v>
      </c>
      <c r="C10" s="99"/>
      <c r="D10" s="100"/>
      <c r="E10" s="191" t="s">
        <v>27</v>
      </c>
      <c r="F10" s="107"/>
      <c r="G10" s="187" t="s">
        <v>28</v>
      </c>
      <c r="H10" s="99">
        <v>5</v>
      </c>
      <c r="I10" s="100"/>
      <c r="J10" s="192" t="s">
        <v>29</v>
      </c>
    </row>
    <row r="11" customHeight="1" spans="1:10">
      <c r="A11" s="189" t="s">
        <v>26</v>
      </c>
      <c r="B11" s="99">
        <v>1</v>
      </c>
      <c r="C11" s="99"/>
      <c r="D11" s="100"/>
      <c r="E11" s="191" t="s">
        <v>27</v>
      </c>
      <c r="F11" s="107"/>
      <c r="G11" s="187" t="s">
        <v>30</v>
      </c>
      <c r="H11" s="99">
        <v>1</v>
      </c>
      <c r="I11" s="100"/>
      <c r="J11" s="192" t="s">
        <v>31</v>
      </c>
    </row>
    <row r="12" customHeight="1" spans="1:10">
      <c r="A12" s="189" t="s">
        <v>32</v>
      </c>
      <c r="B12" s="99"/>
      <c r="C12" s="99">
        <v>1</v>
      </c>
      <c r="D12" s="100"/>
      <c r="E12" s="191" t="s">
        <v>33</v>
      </c>
      <c r="F12" s="107"/>
      <c r="G12" s="193" t="s">
        <v>34</v>
      </c>
      <c r="H12" s="194">
        <v>3</v>
      </c>
      <c r="I12" s="195"/>
      <c r="J12" s="196" t="s">
        <v>35</v>
      </c>
    </row>
    <row r="13" customHeight="1" spans="1:10">
      <c r="A13" s="189" t="s">
        <v>36</v>
      </c>
      <c r="B13" s="99"/>
      <c r="C13" s="99">
        <v>2</v>
      </c>
      <c r="D13" s="100"/>
      <c r="E13" s="191" t="s">
        <v>37</v>
      </c>
      <c r="F13" s="107"/>
      <c r="G13" s="193" t="s">
        <v>38</v>
      </c>
      <c r="H13" s="194">
        <v>1</v>
      </c>
      <c r="I13" s="195"/>
      <c r="J13" s="197" t="s">
        <v>39</v>
      </c>
    </row>
    <row r="14" customHeight="1" spans="1:10">
      <c r="A14" s="189" t="s">
        <v>40</v>
      </c>
      <c r="B14" s="99">
        <v>37</v>
      </c>
      <c r="C14" s="99"/>
      <c r="D14" s="100"/>
      <c r="E14" s="191" t="s">
        <v>41</v>
      </c>
      <c r="F14" s="160"/>
      <c r="G14" s="193" t="s">
        <v>42</v>
      </c>
      <c r="H14" s="194">
        <v>2</v>
      </c>
      <c r="I14" s="195"/>
      <c r="J14" s="197" t="s">
        <v>43</v>
      </c>
    </row>
    <row r="15" customHeight="1" spans="1:10">
      <c r="A15" s="189" t="s">
        <v>44</v>
      </c>
      <c r="B15" s="117">
        <v>1</v>
      </c>
      <c r="C15" s="117"/>
      <c r="D15" s="124"/>
      <c r="E15" s="126" t="s">
        <v>45</v>
      </c>
      <c r="F15" s="122"/>
      <c r="G15" s="193" t="s">
        <v>46</v>
      </c>
      <c r="H15" s="194">
        <v>5</v>
      </c>
      <c r="I15" s="195"/>
      <c r="J15" s="196" t="s">
        <v>47</v>
      </c>
    </row>
    <row r="16" customHeight="1" spans="1:10">
      <c r="A16" s="198" t="s">
        <v>48</v>
      </c>
      <c r="B16" s="117">
        <v>2</v>
      </c>
      <c r="C16" s="117"/>
      <c r="D16" s="124"/>
      <c r="E16" s="126" t="s">
        <v>49</v>
      </c>
      <c r="F16" s="122"/>
      <c r="G16" s="193" t="s">
        <v>50</v>
      </c>
      <c r="H16" s="194">
        <v>1</v>
      </c>
      <c r="I16" s="195"/>
      <c r="J16" s="196" t="s">
        <v>51</v>
      </c>
    </row>
    <row r="17" customHeight="1" spans="1:10">
      <c r="A17" s="125"/>
      <c r="B17" s="117"/>
      <c r="C17" s="117"/>
      <c r="D17" s="124"/>
      <c r="E17" s="126"/>
      <c r="F17" s="122"/>
      <c r="G17" s="193" t="s">
        <v>52</v>
      </c>
      <c r="H17" s="194">
        <v>20</v>
      </c>
      <c r="I17" s="195"/>
      <c r="J17" s="196" t="s">
        <v>53</v>
      </c>
    </row>
    <row r="18" customHeight="1" spans="1:10">
      <c r="A18" s="125"/>
      <c r="B18" s="117"/>
      <c r="C18" s="117"/>
      <c r="D18" s="124"/>
      <c r="E18" s="126"/>
      <c r="F18" s="122"/>
      <c r="G18" s="193" t="s">
        <v>26</v>
      </c>
      <c r="H18" s="194">
        <v>1</v>
      </c>
      <c r="I18" s="195"/>
      <c r="J18" s="196" t="s">
        <v>54</v>
      </c>
    </row>
    <row r="19" customHeight="1" spans="1:10">
      <c r="A19" s="125"/>
      <c r="B19" s="117"/>
      <c r="C19" s="117"/>
      <c r="D19" s="124"/>
      <c r="E19" s="126"/>
      <c r="F19" s="122"/>
      <c r="G19" s="193" t="s">
        <v>36</v>
      </c>
      <c r="H19" s="194">
        <v>2</v>
      </c>
      <c r="I19" s="195"/>
      <c r="J19" s="196" t="s">
        <v>37</v>
      </c>
    </row>
    <row r="20" customHeight="1" spans="1:10">
      <c r="A20" s="125"/>
      <c r="B20" s="117"/>
      <c r="C20" s="117"/>
      <c r="D20" s="124"/>
      <c r="E20" s="126"/>
      <c r="F20" s="122"/>
      <c r="G20" s="193" t="s">
        <v>40</v>
      </c>
      <c r="H20" s="194">
        <v>37</v>
      </c>
      <c r="I20" s="195"/>
      <c r="J20" s="196" t="s">
        <v>41</v>
      </c>
    </row>
    <row r="21" customHeight="1" spans="1:10">
      <c r="A21" s="125"/>
      <c r="B21" s="117"/>
      <c r="C21" s="117"/>
      <c r="D21" s="117"/>
      <c r="E21" s="126"/>
      <c r="F21" s="122"/>
      <c r="G21" s="199" t="s">
        <v>44</v>
      </c>
      <c r="H21" s="117">
        <v>1</v>
      </c>
      <c r="I21" s="118"/>
      <c r="J21" s="123" t="s">
        <v>45</v>
      </c>
    </row>
    <row r="22" customHeight="1" spans="1:10">
      <c r="A22" s="125"/>
      <c r="B22" s="117"/>
      <c r="C22" s="117"/>
      <c r="D22" s="117"/>
      <c r="E22" s="126"/>
      <c r="F22" s="122"/>
      <c r="G22" s="198" t="s">
        <v>48</v>
      </c>
      <c r="H22" s="117">
        <v>2</v>
      </c>
      <c r="I22" s="118"/>
      <c r="J22" s="126" t="s">
        <v>49</v>
      </c>
    </row>
    <row r="23" customHeight="1" spans="1:10">
      <c r="A23" s="127"/>
      <c r="B23" s="128"/>
      <c r="C23" s="128"/>
      <c r="D23" s="129"/>
      <c r="E23" s="130"/>
      <c r="F23" s="122"/>
      <c r="G23" s="125"/>
      <c r="H23" s="120"/>
      <c r="I23" s="131"/>
      <c r="J23" s="132"/>
    </row>
    <row r="24" customHeight="1" spans="1:10">
      <c r="A24" s="133" t="s">
        <v>55</v>
      </c>
      <c r="B24" s="134">
        <f>SUM(B6:B23)</f>
        <v>82</v>
      </c>
      <c r="C24" s="134">
        <f>SUM(C6:C23)</f>
        <v>5</v>
      </c>
      <c r="D24" s="134">
        <f>SUM(D6:D23)</f>
        <v>0</v>
      </c>
      <c r="E24" s="135"/>
      <c r="F24" s="122"/>
      <c r="G24" s="136"/>
      <c r="H24" s="134">
        <f>SUM(H6:H23)</f>
        <v>87</v>
      </c>
      <c r="I24" s="137"/>
      <c r="J24" s="138"/>
    </row>
    <row r="26" customHeight="1" spans="1:10">
      <c r="A26" s="17" t="s">
        <v>56</v>
      </c>
      <c r="B26" s="18"/>
      <c r="C26" s="18"/>
      <c r="D26" s="18"/>
      <c r="E26" s="19"/>
    </row>
    <row r="27" customHeight="1" spans="1:10">
      <c r="A27" s="24" t="s">
        <v>7</v>
      </c>
      <c r="B27" s="25" t="s">
        <v>57</v>
      </c>
      <c r="C27" s="26" t="s">
        <v>11</v>
      </c>
      <c r="D27" s="26" t="s">
        <v>10</v>
      </c>
      <c r="E27" s="27" t="s">
        <v>6</v>
      </c>
    </row>
    <row r="28" customHeight="1" spans="1:10">
      <c r="A28" s="125" t="s">
        <v>58</v>
      </c>
      <c r="B28" s="151">
        <v>46310</v>
      </c>
      <c r="C28" s="152">
        <v>104</v>
      </c>
      <c r="D28" s="152">
        <v>104</v>
      </c>
      <c r="E28" s="126" t="s">
        <v>59</v>
      </c>
    </row>
    <row r="29" customHeight="1" spans="1:10">
      <c r="A29" s="150"/>
      <c r="B29" s="151"/>
      <c r="C29" s="152"/>
      <c r="D29" s="152"/>
      <c r="E29" s="144"/>
    </row>
    <row r="30" customHeight="1" spans="1:10">
      <c r="A30" s="150"/>
      <c r="B30" s="153"/>
      <c r="C30" s="31"/>
      <c r="D30" s="31"/>
      <c r="E30" s="115"/>
    </row>
    <row r="31" customHeight="1" spans="1:10">
      <c r="A31" s="150"/>
      <c r="B31" s="153"/>
      <c r="C31" s="31"/>
      <c r="D31" s="31"/>
      <c r="E31" s="126"/>
    </row>
    <row r="32" customHeight="1" spans="1:10">
      <c r="A32" s="114"/>
      <c r="B32" s="166"/>
      <c r="C32" s="152"/>
      <c r="D32" s="152"/>
      <c r="E32" s="115"/>
    </row>
    <row r="33" customHeight="1" spans="1:5">
      <c r="A33" s="150"/>
      <c r="B33" s="151"/>
      <c r="C33" s="152"/>
      <c r="D33" s="152"/>
      <c r="E33" s="144"/>
    </row>
    <row r="34" customHeight="1" spans="1:5">
      <c r="A34" s="45" t="s">
        <v>55</v>
      </c>
      <c r="B34" s="46"/>
      <c r="C34" s="46">
        <f>SUM(C28:C33)</f>
        <v>104</v>
      </c>
      <c r="D34" s="46">
        <f>SUM(D28:D33)</f>
        <v>104</v>
      </c>
      <c r="E34" s="47"/>
    </row>
  </sheetData>
  <mergeCells count="5">
    <mergeCell ref="A1:J1"/>
    <mergeCell ref="A4:D4"/>
    <mergeCell ref="G4:I4"/>
    <mergeCell ref="A26:D26"/>
    <mergeCell ref="J4:J5"/>
  </mergeCells>
  <pageMargins left="0.7" right="0.7" top="0.75" bottom="0.75" header="0.3" footer="0.3"/>
  <pageSetup paperSize="1" scale="42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3"/>
  <sheetViews>
    <sheetView zoomScale="40" zoomScaleNormal="40" workbookViewId="0">
      <selection activeCell="A13" sqref="$A13:$XFD13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46310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ht="31" customHeight="1" spans="1:10">
      <c r="A6" s="143" t="s">
        <v>60</v>
      </c>
      <c r="B6" s="109">
        <v>32</v>
      </c>
      <c r="C6" s="109"/>
      <c r="D6" s="110"/>
      <c r="E6" s="126" t="s">
        <v>61</v>
      </c>
      <c r="F6" s="102"/>
      <c r="G6" s="143" t="s">
        <v>62</v>
      </c>
      <c r="H6" s="109">
        <v>2</v>
      </c>
      <c r="I6" s="105"/>
      <c r="J6" s="106" t="s">
        <v>63</v>
      </c>
    </row>
    <row r="7" customHeight="1" spans="1:10">
      <c r="A7" s="149" t="s">
        <v>64</v>
      </c>
      <c r="B7" s="109">
        <v>1</v>
      </c>
      <c r="C7" s="109"/>
      <c r="D7" s="110"/>
      <c r="E7" s="101" t="s">
        <v>65</v>
      </c>
      <c r="F7" s="107"/>
      <c r="G7" s="103" t="s">
        <v>66</v>
      </c>
      <c r="H7" s="104">
        <v>1</v>
      </c>
      <c r="I7" s="105"/>
      <c r="J7" s="106" t="s">
        <v>67</v>
      </c>
    </row>
    <row r="8" customHeight="1" spans="1:10">
      <c r="A8" s="114" t="s">
        <v>68</v>
      </c>
      <c r="B8" s="109">
        <v>2</v>
      </c>
      <c r="C8" s="109"/>
      <c r="D8" s="110"/>
      <c r="E8" s="101" t="s">
        <v>69</v>
      </c>
      <c r="F8" s="107"/>
      <c r="G8" s="145" t="s">
        <v>70</v>
      </c>
      <c r="H8" s="146">
        <v>1</v>
      </c>
      <c r="I8" s="147"/>
      <c r="J8" s="148" t="s">
        <v>71</v>
      </c>
    </row>
    <row r="9" customHeight="1" spans="1:10">
      <c r="A9" s="114" t="s">
        <v>72</v>
      </c>
      <c r="B9" s="109">
        <v>1</v>
      </c>
      <c r="C9" s="109"/>
      <c r="D9" s="110"/>
      <c r="E9" s="115" t="s">
        <v>73</v>
      </c>
      <c r="F9" s="107"/>
      <c r="G9" s="108" t="s">
        <v>74</v>
      </c>
      <c r="H9" s="109">
        <v>13</v>
      </c>
      <c r="I9" s="110"/>
      <c r="J9" s="111" t="s">
        <v>75</v>
      </c>
    </row>
    <row r="10" customHeight="1" spans="1:10">
      <c r="A10" s="114" t="s">
        <v>20</v>
      </c>
      <c r="B10" s="109">
        <v>1</v>
      </c>
      <c r="C10" s="109"/>
      <c r="D10" s="110"/>
      <c r="E10" s="115" t="s">
        <v>76</v>
      </c>
      <c r="F10" s="107"/>
      <c r="G10" s="108" t="s">
        <v>77</v>
      </c>
      <c r="H10" s="109">
        <v>2</v>
      </c>
      <c r="I10" s="110"/>
      <c r="J10" s="112" t="s">
        <v>75</v>
      </c>
    </row>
    <row r="11" customHeight="1" spans="1:10">
      <c r="A11" s="114" t="s">
        <v>78</v>
      </c>
      <c r="B11" s="109">
        <v>1</v>
      </c>
      <c r="C11" s="109"/>
      <c r="D11" s="110"/>
      <c r="E11" s="115" t="s">
        <v>79</v>
      </c>
      <c r="F11" s="107"/>
      <c r="G11" s="108" t="s">
        <v>72</v>
      </c>
      <c r="H11" s="109">
        <v>1</v>
      </c>
      <c r="I11" s="110"/>
      <c r="J11" s="113" t="s">
        <v>73</v>
      </c>
    </row>
    <row r="12" customHeight="1" spans="1:10">
      <c r="A12" s="114" t="s">
        <v>80</v>
      </c>
      <c r="B12" s="109">
        <v>6</v>
      </c>
      <c r="C12" s="109"/>
      <c r="D12" s="110"/>
      <c r="E12" s="115" t="s">
        <v>81</v>
      </c>
      <c r="F12" s="107"/>
      <c r="G12" s="108" t="s">
        <v>20</v>
      </c>
      <c r="H12" s="109">
        <v>1</v>
      </c>
      <c r="I12" s="110"/>
      <c r="J12" s="113" t="s">
        <v>76</v>
      </c>
    </row>
    <row r="13" customHeight="1" spans="1:10">
      <c r="A13" s="114" t="s">
        <v>82</v>
      </c>
      <c r="B13" s="117">
        <v>1</v>
      </c>
      <c r="C13" s="117"/>
      <c r="D13" s="124"/>
      <c r="E13" s="115" t="s">
        <v>83</v>
      </c>
      <c r="F13" s="107"/>
      <c r="G13" s="119" t="s">
        <v>78</v>
      </c>
      <c r="H13" s="120">
        <v>1</v>
      </c>
      <c r="I13" s="118"/>
      <c r="J13" s="123" t="s">
        <v>79</v>
      </c>
    </row>
    <row r="14" customHeight="1" spans="1:10">
      <c r="A14" s="125" t="s">
        <v>84</v>
      </c>
      <c r="B14" s="117">
        <v>9</v>
      </c>
      <c r="C14" s="117"/>
      <c r="D14" s="124"/>
      <c r="E14" s="126" t="s">
        <v>85</v>
      </c>
      <c r="F14" s="160"/>
      <c r="G14" s="119" t="s">
        <v>86</v>
      </c>
      <c r="H14" s="120">
        <v>1</v>
      </c>
      <c r="I14" s="118"/>
      <c r="J14" s="121" t="s">
        <v>87</v>
      </c>
    </row>
    <row r="15" customHeight="1" spans="1:10">
      <c r="A15" s="125" t="s">
        <v>88</v>
      </c>
      <c r="B15" s="117">
        <v>5</v>
      </c>
      <c r="C15" s="117"/>
      <c r="D15" s="124"/>
      <c r="E15" s="126" t="s">
        <v>89</v>
      </c>
      <c r="F15" s="122"/>
      <c r="G15" s="119" t="s">
        <v>90</v>
      </c>
      <c r="H15" s="120">
        <v>1</v>
      </c>
      <c r="I15" s="118"/>
      <c r="J15" s="121" t="s">
        <v>91</v>
      </c>
    </row>
    <row r="16" customHeight="1" spans="1:10">
      <c r="A16" s="125" t="s">
        <v>92</v>
      </c>
      <c r="B16" s="117">
        <v>1</v>
      </c>
      <c r="C16" s="117"/>
      <c r="D16" s="124"/>
      <c r="E16" s="126" t="s">
        <v>93</v>
      </c>
      <c r="F16" s="122"/>
      <c r="G16" s="119" t="s">
        <v>94</v>
      </c>
      <c r="H16" s="120">
        <v>1</v>
      </c>
      <c r="I16" s="118"/>
      <c r="J16" s="123" t="s">
        <v>95</v>
      </c>
    </row>
    <row r="17" customHeight="1" spans="1:10">
      <c r="A17" s="125" t="s">
        <v>96</v>
      </c>
      <c r="B17" s="117">
        <v>1</v>
      </c>
      <c r="C17" s="117"/>
      <c r="D17" s="124"/>
      <c r="E17" s="126" t="s">
        <v>97</v>
      </c>
      <c r="F17" s="122"/>
      <c r="G17" s="119" t="s">
        <v>80</v>
      </c>
      <c r="H17" s="120">
        <v>6</v>
      </c>
      <c r="I17" s="118"/>
      <c r="J17" s="123" t="s">
        <v>98</v>
      </c>
    </row>
    <row r="18" customHeight="1" spans="1:10">
      <c r="A18" s="125" t="s">
        <v>99</v>
      </c>
      <c r="B18" s="117">
        <v>9</v>
      </c>
      <c r="C18" s="117"/>
      <c r="D18" s="124"/>
      <c r="E18" s="126" t="s">
        <v>100</v>
      </c>
      <c r="F18" s="122"/>
      <c r="G18" s="119" t="s">
        <v>99</v>
      </c>
      <c r="H18" s="120">
        <v>9</v>
      </c>
      <c r="I18" s="118"/>
      <c r="J18" s="123" t="s">
        <v>100</v>
      </c>
    </row>
    <row r="19" customHeight="1" spans="1:10">
      <c r="A19" s="125" t="s">
        <v>101</v>
      </c>
      <c r="B19" s="117"/>
      <c r="C19" s="117">
        <v>3</v>
      </c>
      <c r="D19" s="124"/>
      <c r="E19" s="126" t="s">
        <v>102</v>
      </c>
      <c r="F19" s="122"/>
      <c r="G19" s="119" t="s">
        <v>103</v>
      </c>
      <c r="H19" s="120">
        <v>1</v>
      </c>
      <c r="I19" s="118"/>
      <c r="J19" s="123" t="s">
        <v>104</v>
      </c>
    </row>
    <row r="20" customHeight="1" spans="1:10">
      <c r="A20" s="125" t="s">
        <v>105</v>
      </c>
      <c r="B20" s="117">
        <v>18</v>
      </c>
      <c r="C20" s="117"/>
      <c r="D20" s="124"/>
      <c r="E20" s="126" t="s">
        <v>106</v>
      </c>
      <c r="F20" s="122"/>
      <c r="G20" s="125" t="s">
        <v>105</v>
      </c>
      <c r="H20" s="117">
        <v>18</v>
      </c>
      <c r="I20" s="118"/>
      <c r="J20" s="123" t="s">
        <v>106</v>
      </c>
    </row>
    <row r="21" customHeight="1" spans="1:10">
      <c r="A21" s="125" t="s">
        <v>58</v>
      </c>
      <c r="B21" s="117">
        <v>104</v>
      </c>
      <c r="C21" s="117"/>
      <c r="D21" s="117">
        <v>104</v>
      </c>
      <c r="E21" s="126" t="s">
        <v>59</v>
      </c>
      <c r="F21" s="122"/>
      <c r="G21" s="119" t="s">
        <v>107</v>
      </c>
      <c r="H21" s="120">
        <v>1</v>
      </c>
      <c r="I21" s="118"/>
      <c r="J21" s="123" t="s">
        <v>108</v>
      </c>
    </row>
    <row r="22" customHeight="1" spans="1:10">
      <c r="A22" s="127"/>
      <c r="B22" s="128"/>
      <c r="C22" s="128"/>
      <c r="D22" s="129"/>
      <c r="E22" s="130"/>
      <c r="F22" s="122"/>
      <c r="G22" s="125"/>
      <c r="H22" s="120"/>
      <c r="I22" s="131"/>
      <c r="J22" s="132"/>
    </row>
    <row r="23" customHeight="1" spans="1:10">
      <c r="A23" s="133" t="s">
        <v>55</v>
      </c>
      <c r="B23" s="134">
        <f>SUM(B6:B22)</f>
        <v>192</v>
      </c>
      <c r="C23" s="134">
        <f>SUM(C6:C22)</f>
        <v>3</v>
      </c>
      <c r="D23" s="134">
        <f>SUM(D6:D22)</f>
        <v>104</v>
      </c>
      <c r="E23" s="135"/>
      <c r="F23" s="122"/>
      <c r="G23" s="136"/>
      <c r="H23" s="134">
        <f>SUM(H6:H22)</f>
        <v>60</v>
      </c>
      <c r="I23" s="137"/>
      <c r="J23" s="138"/>
    </row>
    <row r="25" customHeight="1" spans="1:10">
      <c r="A25" s="17" t="s">
        <v>56</v>
      </c>
      <c r="B25" s="18"/>
      <c r="C25" s="18"/>
      <c r="D25" s="18"/>
      <c r="E25" s="19"/>
    </row>
    <row r="26" customHeight="1" spans="1:10">
      <c r="A26" s="24" t="s">
        <v>7</v>
      </c>
      <c r="B26" s="25" t="s">
        <v>57</v>
      </c>
      <c r="C26" s="26" t="s">
        <v>11</v>
      </c>
      <c r="D26" s="26" t="s">
        <v>10</v>
      </c>
      <c r="E26" s="27" t="s">
        <v>6</v>
      </c>
    </row>
    <row r="27" customHeight="1" spans="1:10">
      <c r="A27" s="125" t="s">
        <v>58</v>
      </c>
      <c r="B27" s="151">
        <v>46310</v>
      </c>
      <c r="C27" s="152">
        <v>104</v>
      </c>
      <c r="D27" s="152">
        <v>104</v>
      </c>
      <c r="E27" s="126" t="s">
        <v>59</v>
      </c>
    </row>
    <row r="28" customHeight="1" spans="1:10">
      <c r="A28" s="150"/>
      <c r="B28" s="151"/>
      <c r="C28" s="152"/>
      <c r="D28" s="152"/>
      <c r="E28" s="144"/>
    </row>
    <row r="29" customHeight="1" spans="1:10">
      <c r="A29" s="150"/>
      <c r="B29" s="153"/>
      <c r="C29" s="31"/>
      <c r="D29" s="31"/>
      <c r="E29" s="115"/>
    </row>
    <row r="30" customHeight="1" spans="1:10">
      <c r="A30" s="150"/>
      <c r="B30" s="153"/>
      <c r="C30" s="31"/>
      <c r="D30" s="31"/>
      <c r="E30" s="126"/>
    </row>
    <row r="31" customHeight="1" spans="1:10">
      <c r="A31" s="114"/>
      <c r="B31" s="166"/>
      <c r="C31" s="152"/>
      <c r="D31" s="152"/>
      <c r="E31" s="115"/>
    </row>
    <row r="32" customHeight="1" spans="1:10">
      <c r="A32" s="150"/>
      <c r="B32" s="151"/>
      <c r="C32" s="152"/>
      <c r="D32" s="152"/>
      <c r="E32" s="144"/>
    </row>
    <row r="33" customHeight="1" spans="1:5">
      <c r="A33" s="45" t="s">
        <v>55</v>
      </c>
      <c r="B33" s="46"/>
      <c r="C33" s="46">
        <f>SUM(C27:C32)</f>
        <v>104</v>
      </c>
      <c r="D33" s="46">
        <f>SUM(D27:D32)</f>
        <v>104</v>
      </c>
      <c r="E33" s="47"/>
    </row>
  </sheetData>
  <mergeCells count="5">
    <mergeCell ref="A1:J1"/>
    <mergeCell ref="A4:D4"/>
    <mergeCell ref="G4:I4"/>
    <mergeCell ref="A25:D25"/>
    <mergeCell ref="J4:J5"/>
  </mergeCells>
  <pageMargins left="0.7" right="0.7" top="0.75" bottom="0.75" header="0.3" footer="0.3"/>
  <pageSetup paperSize="1" scale="4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8"/>
  <sheetViews>
    <sheetView zoomScale="40" zoomScaleNormal="40" topLeftCell="A8" workbookViewId="0">
      <selection activeCell="K16" sqref="K16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46309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ht="31" customHeight="1" spans="1:10">
      <c r="A6" s="143" t="s">
        <v>109</v>
      </c>
      <c r="B6" s="109">
        <v>2</v>
      </c>
      <c r="C6" s="109"/>
      <c r="D6" s="110"/>
      <c r="E6" s="126" t="s">
        <v>110</v>
      </c>
      <c r="F6" s="102"/>
      <c r="G6" s="143" t="s">
        <v>111</v>
      </c>
      <c r="H6" s="109">
        <v>1</v>
      </c>
      <c r="I6" s="105"/>
      <c r="J6" s="106" t="s">
        <v>112</v>
      </c>
    </row>
    <row r="7" customHeight="1" spans="1:10">
      <c r="A7" s="149" t="s">
        <v>113</v>
      </c>
      <c r="B7" s="109">
        <v>1</v>
      </c>
      <c r="C7" s="109"/>
      <c r="D7" s="110"/>
      <c r="E7" s="101" t="s">
        <v>114</v>
      </c>
      <c r="F7" s="107"/>
      <c r="G7" s="103" t="s">
        <v>115</v>
      </c>
      <c r="H7" s="104">
        <v>2</v>
      </c>
      <c r="I7" s="105"/>
      <c r="J7" s="106" t="s">
        <v>116</v>
      </c>
    </row>
    <row r="8" customHeight="1" spans="1:10">
      <c r="A8" s="114" t="s">
        <v>117</v>
      </c>
      <c r="B8" s="109">
        <v>1</v>
      </c>
      <c r="C8" s="109"/>
      <c r="D8" s="110"/>
      <c r="E8" s="101" t="s">
        <v>118</v>
      </c>
      <c r="F8" s="107"/>
      <c r="G8" s="145" t="s">
        <v>119</v>
      </c>
      <c r="H8" s="146">
        <v>2</v>
      </c>
      <c r="I8" s="147"/>
      <c r="J8" s="148" t="s">
        <v>120</v>
      </c>
    </row>
    <row r="9" customHeight="1" spans="1:10">
      <c r="A9" s="114" t="s">
        <v>121</v>
      </c>
      <c r="B9" s="109">
        <v>1</v>
      </c>
      <c r="C9" s="109"/>
      <c r="D9" s="110"/>
      <c r="E9" s="115" t="s">
        <v>122</v>
      </c>
      <c r="F9" s="107"/>
      <c r="G9" s="108" t="s">
        <v>123</v>
      </c>
      <c r="H9" s="109">
        <v>6</v>
      </c>
      <c r="I9" s="110"/>
      <c r="J9" s="111" t="s">
        <v>124</v>
      </c>
    </row>
    <row r="10" customHeight="1" spans="1:10">
      <c r="A10" s="114" t="s">
        <v>125</v>
      </c>
      <c r="B10" s="109">
        <v>6</v>
      </c>
      <c r="C10" s="109"/>
      <c r="D10" s="110"/>
      <c r="E10" s="115" t="s">
        <v>126</v>
      </c>
      <c r="F10" s="107"/>
      <c r="G10" s="108" t="s">
        <v>127</v>
      </c>
      <c r="H10" s="109">
        <v>14</v>
      </c>
      <c r="I10" s="110"/>
      <c r="J10" s="112" t="s">
        <v>128</v>
      </c>
    </row>
    <row r="11" customHeight="1" spans="1:10">
      <c r="A11" s="114" t="s">
        <v>115</v>
      </c>
      <c r="B11" s="109"/>
      <c r="C11" s="109">
        <v>2</v>
      </c>
      <c r="D11" s="110"/>
      <c r="E11" s="115" t="s">
        <v>116</v>
      </c>
      <c r="F11" s="107"/>
      <c r="G11" s="108" t="s">
        <v>129</v>
      </c>
      <c r="H11" s="109">
        <v>2</v>
      </c>
      <c r="I11" s="110"/>
      <c r="J11" s="113" t="s">
        <v>130</v>
      </c>
    </row>
    <row r="12" customHeight="1" spans="1:10">
      <c r="A12" s="114" t="s">
        <v>119</v>
      </c>
      <c r="B12" s="109"/>
      <c r="C12" s="109">
        <v>2</v>
      </c>
      <c r="D12" s="110"/>
      <c r="E12" s="115" t="s">
        <v>120</v>
      </c>
      <c r="F12" s="107"/>
      <c r="G12" s="108" t="s">
        <v>131</v>
      </c>
      <c r="H12" s="109">
        <v>2</v>
      </c>
      <c r="I12" s="110"/>
      <c r="J12" s="113" t="s">
        <v>132</v>
      </c>
    </row>
    <row r="13" customHeight="1" spans="1:10">
      <c r="A13" s="114" t="s">
        <v>133</v>
      </c>
      <c r="B13" s="117">
        <v>40</v>
      </c>
      <c r="C13" s="117"/>
      <c r="D13" s="124"/>
      <c r="E13" s="115" t="s">
        <v>134</v>
      </c>
      <c r="F13" s="107"/>
      <c r="G13" s="119" t="s">
        <v>135</v>
      </c>
      <c r="H13" s="120">
        <v>1</v>
      </c>
      <c r="I13" s="118"/>
      <c r="J13" s="123" t="s">
        <v>132</v>
      </c>
    </row>
    <row r="14" customHeight="1" spans="1:10">
      <c r="A14" s="125" t="s">
        <v>136</v>
      </c>
      <c r="B14" s="117"/>
      <c r="C14" s="117">
        <v>1</v>
      </c>
      <c r="D14" s="124"/>
      <c r="E14" s="126" t="s">
        <v>137</v>
      </c>
      <c r="F14" s="160"/>
      <c r="G14" s="119" t="s">
        <v>138</v>
      </c>
      <c r="H14" s="120">
        <v>2</v>
      </c>
      <c r="I14" s="118"/>
      <c r="J14" s="121" t="s">
        <v>139</v>
      </c>
    </row>
    <row r="15" customHeight="1" spans="1:10">
      <c r="A15" s="125" t="s">
        <v>140</v>
      </c>
      <c r="B15" s="117">
        <v>2</v>
      </c>
      <c r="C15" s="117"/>
      <c r="D15" s="124"/>
      <c r="E15" s="126" t="s">
        <v>141</v>
      </c>
      <c r="F15" s="122"/>
      <c r="G15" s="119" t="s">
        <v>142</v>
      </c>
      <c r="H15" s="120">
        <v>1</v>
      </c>
      <c r="I15" s="118"/>
      <c r="J15" s="121" t="s">
        <v>143</v>
      </c>
    </row>
    <row r="16" customHeight="1" spans="1:10">
      <c r="A16" s="125" t="s">
        <v>144</v>
      </c>
      <c r="B16" s="117">
        <v>5</v>
      </c>
      <c r="C16" s="117"/>
      <c r="D16" s="124"/>
      <c r="E16" s="126" t="s">
        <v>145</v>
      </c>
      <c r="F16" s="122"/>
      <c r="G16" s="119" t="s">
        <v>146</v>
      </c>
      <c r="H16" s="120">
        <v>1</v>
      </c>
      <c r="I16" s="118"/>
      <c r="J16" s="123" t="s">
        <v>147</v>
      </c>
    </row>
    <row r="17" customHeight="1" spans="1:10">
      <c r="A17" s="125" t="s">
        <v>148</v>
      </c>
      <c r="B17" s="117">
        <v>1</v>
      </c>
      <c r="C17" s="117"/>
      <c r="D17" s="124"/>
      <c r="E17" s="126" t="s">
        <v>149</v>
      </c>
      <c r="F17" s="122"/>
      <c r="G17" s="119" t="s">
        <v>150</v>
      </c>
      <c r="H17" s="120">
        <v>1</v>
      </c>
      <c r="I17" s="118"/>
      <c r="J17" s="123" t="s">
        <v>151</v>
      </c>
    </row>
    <row r="18" customHeight="1" spans="1:10">
      <c r="A18" s="125" t="s">
        <v>152</v>
      </c>
      <c r="B18" s="117"/>
      <c r="C18" s="117">
        <v>1</v>
      </c>
      <c r="D18" s="124"/>
      <c r="E18" s="126" t="s">
        <v>153</v>
      </c>
      <c r="F18" s="122"/>
      <c r="G18" s="119" t="s">
        <v>154</v>
      </c>
      <c r="H18" s="120">
        <v>94</v>
      </c>
      <c r="I18" s="118"/>
      <c r="J18" s="123" t="s">
        <v>155</v>
      </c>
    </row>
    <row r="19" customHeight="1" spans="1:10">
      <c r="A19" s="125" t="s">
        <v>156</v>
      </c>
      <c r="B19" s="117">
        <v>1</v>
      </c>
      <c r="C19" s="117"/>
      <c r="D19" s="124"/>
      <c r="E19" s="126" t="s">
        <v>157</v>
      </c>
      <c r="F19" s="122"/>
      <c r="G19" s="119" t="s">
        <v>88</v>
      </c>
      <c r="H19" s="120">
        <v>5</v>
      </c>
      <c r="I19" s="118"/>
      <c r="J19" s="123" t="s">
        <v>158</v>
      </c>
    </row>
    <row r="20" customHeight="1" spans="1:10">
      <c r="A20" s="125" t="s">
        <v>88</v>
      </c>
      <c r="B20" s="117">
        <v>5</v>
      </c>
      <c r="C20" s="117"/>
      <c r="D20" s="124"/>
      <c r="E20" s="126" t="s">
        <v>158</v>
      </c>
      <c r="F20" s="122"/>
      <c r="G20" s="119" t="s">
        <v>159</v>
      </c>
      <c r="H20" s="120">
        <v>1</v>
      </c>
      <c r="I20" s="118"/>
      <c r="J20" s="123" t="s">
        <v>160</v>
      </c>
    </row>
    <row r="21" customHeight="1" spans="1:10">
      <c r="A21" s="125" t="s">
        <v>161</v>
      </c>
      <c r="B21" s="117">
        <v>3</v>
      </c>
      <c r="C21" s="117"/>
      <c r="D21" s="124"/>
      <c r="E21" s="126" t="s">
        <v>162</v>
      </c>
      <c r="F21" s="122"/>
      <c r="G21" s="119" t="s">
        <v>103</v>
      </c>
      <c r="H21" s="120">
        <v>1</v>
      </c>
      <c r="I21" s="118"/>
      <c r="J21" s="123" t="s">
        <v>163</v>
      </c>
    </row>
    <row r="22" customHeight="1" spans="1:10">
      <c r="A22" s="125" t="s">
        <v>164</v>
      </c>
      <c r="B22" s="117">
        <v>1</v>
      </c>
      <c r="C22" s="117"/>
      <c r="D22" s="124"/>
      <c r="E22" s="126" t="s">
        <v>165</v>
      </c>
      <c r="F22" s="122"/>
      <c r="G22" s="119" t="s">
        <v>166</v>
      </c>
      <c r="H22" s="120">
        <v>8</v>
      </c>
      <c r="I22" s="118"/>
      <c r="J22" s="123" t="s">
        <v>167</v>
      </c>
    </row>
    <row r="23" customHeight="1" spans="1:10">
      <c r="A23" s="125" t="s">
        <v>168</v>
      </c>
      <c r="B23" s="117">
        <v>2</v>
      </c>
      <c r="C23" s="117"/>
      <c r="D23" s="124"/>
      <c r="E23" s="126" t="s">
        <v>169</v>
      </c>
      <c r="F23" s="122"/>
      <c r="G23" s="119" t="s">
        <v>170</v>
      </c>
      <c r="H23" s="120">
        <v>12</v>
      </c>
      <c r="I23" s="118"/>
      <c r="J23" s="123" t="s">
        <v>171</v>
      </c>
    </row>
    <row r="24" customHeight="1" spans="1:10">
      <c r="A24" s="125"/>
      <c r="B24" s="117"/>
      <c r="C24" s="117"/>
      <c r="D24" s="124"/>
      <c r="E24" s="126"/>
      <c r="F24" s="122"/>
      <c r="G24" s="119" t="s">
        <v>172</v>
      </c>
      <c r="H24" s="120">
        <v>8</v>
      </c>
      <c r="I24" s="118"/>
      <c r="J24" s="123" t="s">
        <v>173</v>
      </c>
    </row>
    <row r="25" customHeight="1" spans="1:10">
      <c r="A25" s="125"/>
      <c r="B25" s="117"/>
      <c r="C25" s="117"/>
      <c r="D25" s="124"/>
      <c r="E25" s="126"/>
      <c r="F25" s="122"/>
      <c r="G25" s="125" t="s">
        <v>164</v>
      </c>
      <c r="H25" s="117">
        <v>1</v>
      </c>
      <c r="I25" s="118"/>
      <c r="J25" s="126" t="s">
        <v>165</v>
      </c>
    </row>
    <row r="26" customHeight="1" spans="1:10">
      <c r="A26" s="125"/>
      <c r="B26" s="117"/>
      <c r="C26" s="117"/>
      <c r="D26" s="124"/>
      <c r="E26" s="126"/>
      <c r="F26" s="122"/>
      <c r="G26" s="125" t="s">
        <v>168</v>
      </c>
      <c r="H26" s="120">
        <v>2</v>
      </c>
      <c r="I26" s="118"/>
      <c r="J26" s="126" t="s">
        <v>169</v>
      </c>
    </row>
    <row r="27" customHeight="1" spans="1:10">
      <c r="A27" s="127"/>
      <c r="B27" s="128"/>
      <c r="C27" s="128"/>
      <c r="D27" s="129"/>
      <c r="E27" s="130"/>
      <c r="F27" s="122"/>
      <c r="G27" s="125"/>
      <c r="H27" s="120"/>
      <c r="I27" s="131"/>
      <c r="J27" s="132"/>
    </row>
    <row r="28" customHeight="1" spans="1:10">
      <c r="A28" s="133" t="s">
        <v>55</v>
      </c>
      <c r="B28" s="134">
        <f>SUM(B6:B27)</f>
        <v>71</v>
      </c>
      <c r="C28" s="134">
        <f>SUM(C6:C27)</f>
        <v>6</v>
      </c>
      <c r="D28" s="134">
        <f>SUM(D6:D27)</f>
        <v>0</v>
      </c>
      <c r="E28" s="135"/>
      <c r="F28" s="122"/>
      <c r="G28" s="136"/>
      <c r="H28" s="134">
        <f>SUM(H6:H27)</f>
        <v>167</v>
      </c>
      <c r="I28" s="137"/>
      <c r="J28" s="138"/>
    </row>
    <row r="30" customHeight="1" spans="1:10">
      <c r="A30" s="17" t="s">
        <v>56</v>
      </c>
      <c r="B30" s="18"/>
      <c r="C30" s="18"/>
      <c r="D30" s="18"/>
      <c r="E30" s="19"/>
    </row>
    <row r="31" customHeight="1" spans="1:10">
      <c r="A31" s="24" t="s">
        <v>7</v>
      </c>
      <c r="B31" s="25" t="s">
        <v>57</v>
      </c>
      <c r="C31" s="26" t="s">
        <v>11</v>
      </c>
      <c r="D31" s="26" t="s">
        <v>10</v>
      </c>
      <c r="E31" s="27" t="s">
        <v>6</v>
      </c>
    </row>
    <row r="32" customHeight="1" spans="1:10">
      <c r="A32" s="150"/>
      <c r="B32" s="151"/>
      <c r="C32" s="152"/>
      <c r="D32" s="152"/>
      <c r="E32" s="144"/>
    </row>
    <row r="33" customHeight="1" spans="1:5">
      <c r="A33" s="150"/>
      <c r="B33" s="151"/>
      <c r="C33" s="152"/>
      <c r="D33" s="152"/>
      <c r="E33" s="144"/>
    </row>
    <row r="34" customHeight="1" spans="1:5">
      <c r="A34" s="150"/>
      <c r="B34" s="153"/>
      <c r="C34" s="31"/>
      <c r="D34" s="31"/>
      <c r="E34" s="115"/>
    </row>
    <row r="35" customHeight="1" spans="1:5">
      <c r="A35" s="150"/>
      <c r="B35" s="153"/>
      <c r="C35" s="31"/>
      <c r="D35" s="31"/>
      <c r="E35" s="126"/>
    </row>
    <row r="36" customHeight="1" spans="1:5">
      <c r="A36" s="114"/>
      <c r="B36" s="166"/>
      <c r="C36" s="152"/>
      <c r="D36" s="152"/>
      <c r="E36" s="115"/>
    </row>
    <row r="37" customHeight="1" spans="1:5">
      <c r="A37" s="150"/>
      <c r="B37" s="151"/>
      <c r="C37" s="152"/>
      <c r="D37" s="152"/>
      <c r="E37" s="144"/>
    </row>
    <row r="38" customHeight="1" spans="1:5">
      <c r="A38" s="45" t="s">
        <v>55</v>
      </c>
      <c r="B38" s="46"/>
      <c r="C38" s="46">
        <f>SUM(C32:C37)</f>
        <v>0</v>
      </c>
      <c r="D38" s="46">
        <f>SUM(D32:D37)</f>
        <v>0</v>
      </c>
      <c r="E38" s="47"/>
    </row>
  </sheetData>
  <mergeCells count="5">
    <mergeCell ref="A1:J1"/>
    <mergeCell ref="A4:D4"/>
    <mergeCell ref="G4:I4"/>
    <mergeCell ref="A30:D30"/>
    <mergeCell ref="J4:J5"/>
  </mergeCells>
  <pageMargins left="0.7" right="0.7" top="0.75" bottom="0.75" header="0.3" footer="0.3"/>
  <pageSetup paperSize="1" scale="42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6"/>
  <sheetViews>
    <sheetView zoomScale="40" zoomScaleNormal="40" topLeftCell="A8" workbookViewId="0">
      <selection activeCell="I18" sqref="I18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46308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ht="31" customHeight="1" spans="1:10">
      <c r="A6" s="143" t="s">
        <v>174</v>
      </c>
      <c r="B6" s="109"/>
      <c r="C6" s="109">
        <v>1</v>
      </c>
      <c r="D6" s="110"/>
      <c r="E6" s="126" t="s">
        <v>175</v>
      </c>
      <c r="F6" s="102"/>
      <c r="G6" s="156" t="s">
        <v>176</v>
      </c>
      <c r="H6" s="109">
        <v>5</v>
      </c>
      <c r="I6" s="105"/>
      <c r="J6" s="106" t="s">
        <v>177</v>
      </c>
    </row>
    <row r="7" customHeight="1" spans="1:10">
      <c r="A7" s="98" t="s">
        <v>178</v>
      </c>
      <c r="B7" s="109">
        <v>1</v>
      </c>
      <c r="C7" s="109"/>
      <c r="D7" s="110"/>
      <c r="E7" s="101" t="s">
        <v>179</v>
      </c>
      <c r="F7" s="107"/>
      <c r="G7" s="156" t="s">
        <v>180</v>
      </c>
      <c r="H7" s="104">
        <v>9</v>
      </c>
      <c r="I7" s="105"/>
      <c r="J7" s="106" t="s">
        <v>181</v>
      </c>
    </row>
    <row r="8" customHeight="1" spans="1:10">
      <c r="A8" s="149" t="s">
        <v>182</v>
      </c>
      <c r="B8" s="109">
        <v>1</v>
      </c>
      <c r="C8" s="109"/>
      <c r="D8" s="110"/>
      <c r="E8" s="101" t="s">
        <v>183</v>
      </c>
      <c r="F8" s="107"/>
      <c r="G8" s="164" t="s">
        <v>182</v>
      </c>
      <c r="H8" s="104">
        <v>1</v>
      </c>
      <c r="I8" s="105"/>
      <c r="J8" s="106" t="s">
        <v>183</v>
      </c>
    </row>
    <row r="9" customHeight="1" spans="1:10">
      <c r="A9" s="114" t="s">
        <v>22</v>
      </c>
      <c r="B9" s="109">
        <v>2</v>
      </c>
      <c r="C9" s="109"/>
      <c r="D9" s="110"/>
      <c r="E9" s="101" t="s">
        <v>184</v>
      </c>
      <c r="F9" s="107"/>
      <c r="G9" s="157" t="s">
        <v>185</v>
      </c>
      <c r="H9" s="146">
        <v>10</v>
      </c>
      <c r="I9" s="147"/>
      <c r="J9" s="148" t="s">
        <v>186</v>
      </c>
    </row>
    <row r="10" customHeight="1" spans="1:10">
      <c r="A10" s="114" t="s">
        <v>185</v>
      </c>
      <c r="B10" s="109">
        <v>10</v>
      </c>
      <c r="C10" s="109"/>
      <c r="D10" s="110"/>
      <c r="E10" s="115" t="s">
        <v>186</v>
      </c>
      <c r="F10" s="107"/>
      <c r="G10" s="159" t="s">
        <v>187</v>
      </c>
      <c r="H10" s="109">
        <v>1</v>
      </c>
      <c r="I10" s="110"/>
      <c r="J10" s="111" t="s">
        <v>188</v>
      </c>
    </row>
    <row r="11" customHeight="1" spans="1:10">
      <c r="A11" s="114" t="s">
        <v>187</v>
      </c>
      <c r="B11" s="109">
        <v>1</v>
      </c>
      <c r="C11" s="109"/>
      <c r="D11" s="110"/>
      <c r="E11" s="115" t="s">
        <v>188</v>
      </c>
      <c r="F11" s="107"/>
      <c r="G11" s="159" t="s">
        <v>189</v>
      </c>
      <c r="H11" s="109">
        <v>2</v>
      </c>
      <c r="I11" s="110"/>
      <c r="J11" s="112" t="s">
        <v>190</v>
      </c>
    </row>
    <row r="12" customHeight="1" spans="1:10">
      <c r="A12" s="114" t="s">
        <v>189</v>
      </c>
      <c r="B12" s="109">
        <v>2</v>
      </c>
      <c r="C12" s="109"/>
      <c r="D12" s="110"/>
      <c r="E12" s="115" t="s">
        <v>190</v>
      </c>
      <c r="F12" s="107"/>
      <c r="G12" s="159" t="s">
        <v>191</v>
      </c>
      <c r="H12" s="109">
        <v>1</v>
      </c>
      <c r="I12" s="110"/>
      <c r="J12" s="113" t="s">
        <v>192</v>
      </c>
    </row>
    <row r="13" customHeight="1" spans="1:10">
      <c r="A13" s="114" t="s">
        <v>193</v>
      </c>
      <c r="B13" s="109">
        <v>2</v>
      </c>
      <c r="C13" s="109"/>
      <c r="D13" s="110"/>
      <c r="E13" s="115" t="s">
        <v>194</v>
      </c>
      <c r="F13" s="107"/>
      <c r="G13" s="108" t="s">
        <v>195</v>
      </c>
      <c r="H13" s="109">
        <v>3</v>
      </c>
      <c r="I13" s="110"/>
      <c r="J13" s="113" t="s">
        <v>196</v>
      </c>
    </row>
    <row r="14" customHeight="1" spans="1:10">
      <c r="A14" s="114" t="s">
        <v>111</v>
      </c>
      <c r="B14" s="117"/>
      <c r="C14" s="117">
        <v>1</v>
      </c>
      <c r="D14" s="124"/>
      <c r="E14" s="115" t="s">
        <v>197</v>
      </c>
      <c r="F14" s="160"/>
      <c r="G14" s="119" t="s">
        <v>198</v>
      </c>
      <c r="H14" s="120">
        <v>2</v>
      </c>
      <c r="I14" s="118"/>
      <c r="J14" s="123" t="s">
        <v>199</v>
      </c>
    </row>
    <row r="15" customHeight="1" spans="1:10">
      <c r="A15" s="125" t="s">
        <v>191</v>
      </c>
      <c r="B15" s="117">
        <v>1</v>
      </c>
      <c r="C15" s="117"/>
      <c r="D15" s="124"/>
      <c r="E15" s="126" t="s">
        <v>192</v>
      </c>
      <c r="F15" s="122"/>
      <c r="G15" s="119" t="s">
        <v>200</v>
      </c>
      <c r="H15" s="120">
        <v>3</v>
      </c>
      <c r="I15" s="118"/>
      <c r="J15" s="121" t="s">
        <v>201</v>
      </c>
    </row>
    <row r="16" customHeight="1" spans="1:10">
      <c r="A16" s="125" t="s">
        <v>202</v>
      </c>
      <c r="B16" s="117">
        <v>2</v>
      </c>
      <c r="C16" s="117"/>
      <c r="D16" s="124"/>
      <c r="E16" s="126" t="s">
        <v>203</v>
      </c>
      <c r="F16" s="122"/>
      <c r="G16" s="119" t="s">
        <v>96</v>
      </c>
      <c r="H16" s="120">
        <v>1</v>
      </c>
      <c r="I16" s="118"/>
      <c r="J16" s="121" t="s">
        <v>204</v>
      </c>
    </row>
    <row r="17" customHeight="1" spans="1:10">
      <c r="A17" s="125" t="s">
        <v>96</v>
      </c>
      <c r="B17" s="117">
        <v>1</v>
      </c>
      <c r="C17" s="117"/>
      <c r="D17" s="124"/>
      <c r="E17" s="126" t="s">
        <v>204</v>
      </c>
      <c r="F17" s="122"/>
      <c r="G17" s="119" t="s">
        <v>205</v>
      </c>
      <c r="H17" s="120">
        <v>2</v>
      </c>
      <c r="I17" s="118"/>
      <c r="J17" s="123" t="s">
        <v>206</v>
      </c>
    </row>
    <row r="18" customHeight="1" spans="1:10">
      <c r="A18" s="125" t="s">
        <v>205</v>
      </c>
      <c r="B18" s="117"/>
      <c r="C18" s="117">
        <v>2</v>
      </c>
      <c r="D18" s="124"/>
      <c r="E18" s="126" t="s">
        <v>206</v>
      </c>
      <c r="F18" s="122"/>
      <c r="G18" s="125" t="s">
        <v>207</v>
      </c>
      <c r="H18" s="120">
        <v>3</v>
      </c>
      <c r="I18" s="118"/>
      <c r="J18" s="123" t="s">
        <v>208</v>
      </c>
    </row>
    <row r="19" customHeight="1" spans="1:10">
      <c r="A19" s="125" t="s">
        <v>207</v>
      </c>
      <c r="B19" s="117">
        <v>3</v>
      </c>
      <c r="C19" s="117"/>
      <c r="D19" s="124"/>
      <c r="E19" s="123" t="s">
        <v>208</v>
      </c>
      <c r="F19" s="122"/>
      <c r="G19" s="114" t="s">
        <v>209</v>
      </c>
      <c r="H19" s="117">
        <v>1</v>
      </c>
      <c r="I19" s="118"/>
      <c r="J19" s="126" t="s">
        <v>210</v>
      </c>
    </row>
    <row r="20" customHeight="1" spans="1:10">
      <c r="A20" s="114" t="s">
        <v>209</v>
      </c>
      <c r="B20" s="117">
        <v>1</v>
      </c>
      <c r="C20" s="117"/>
      <c r="D20" s="124"/>
      <c r="E20" s="126" t="s">
        <v>210</v>
      </c>
      <c r="F20" s="122"/>
      <c r="G20" s="98" t="s">
        <v>178</v>
      </c>
      <c r="H20" s="109">
        <v>1</v>
      </c>
      <c r="I20" s="118"/>
      <c r="J20" s="101" t="s">
        <v>179</v>
      </c>
    </row>
    <row r="21" customHeight="1" spans="1:10">
      <c r="A21" s="125" t="s">
        <v>211</v>
      </c>
      <c r="B21" s="117">
        <v>104</v>
      </c>
      <c r="C21" s="117"/>
      <c r="D21" s="124"/>
      <c r="E21" s="123" t="s">
        <v>212</v>
      </c>
      <c r="F21" s="122"/>
      <c r="G21" s="125" t="s">
        <v>211</v>
      </c>
      <c r="H21" s="117">
        <v>104</v>
      </c>
      <c r="I21" s="118"/>
      <c r="J21" s="123" t="s">
        <v>212</v>
      </c>
    </row>
    <row r="22" customHeight="1" spans="1:10">
      <c r="A22" s="114"/>
      <c r="B22" s="117"/>
      <c r="C22" s="117"/>
      <c r="D22" s="124"/>
      <c r="E22" s="126"/>
      <c r="F22" s="122"/>
      <c r="G22" s="174"/>
      <c r="H22" s="120"/>
      <c r="I22" s="118"/>
      <c r="J22" s="123"/>
    </row>
    <row r="23" customHeight="1" spans="1:10">
      <c r="A23" s="125"/>
      <c r="B23" s="117"/>
      <c r="C23" s="117"/>
      <c r="D23" s="124"/>
      <c r="E23" s="126"/>
      <c r="F23" s="122"/>
      <c r="G23" s="174"/>
      <c r="H23" s="120"/>
      <c r="I23" s="118"/>
      <c r="J23" s="123"/>
    </row>
    <row r="24" customHeight="1" spans="1:10">
      <c r="A24" s="125"/>
      <c r="B24" s="117"/>
      <c r="C24" s="117"/>
      <c r="D24" s="124"/>
      <c r="E24" s="126"/>
      <c r="F24" s="122"/>
      <c r="G24" s="174"/>
      <c r="H24" s="120"/>
      <c r="I24" s="118"/>
      <c r="J24" s="123"/>
    </row>
    <row r="25" customHeight="1" spans="1:10">
      <c r="A25" s="127"/>
      <c r="B25" s="128"/>
      <c r="C25" s="128"/>
      <c r="D25" s="129"/>
      <c r="E25" s="130"/>
      <c r="F25" s="122"/>
      <c r="G25" s="125"/>
      <c r="H25" s="120"/>
      <c r="I25" s="131"/>
      <c r="J25" s="132"/>
    </row>
    <row r="26" customHeight="1" spans="1:10">
      <c r="A26" s="133" t="s">
        <v>55</v>
      </c>
      <c r="B26" s="134">
        <f>SUM(B6:B25)</f>
        <v>131</v>
      </c>
      <c r="C26" s="134">
        <f>SUM(C6:C25)</f>
        <v>4</v>
      </c>
      <c r="D26" s="134">
        <f>SUM(D6:D25)</f>
        <v>0</v>
      </c>
      <c r="E26" s="135"/>
      <c r="F26" s="122"/>
      <c r="G26" s="136"/>
      <c r="H26" s="134">
        <f>SUM(H6:H25)</f>
        <v>149</v>
      </c>
      <c r="I26" s="137"/>
      <c r="J26" s="138"/>
    </row>
    <row r="28" customHeight="1" spans="1:10">
      <c r="A28" s="17" t="s">
        <v>56</v>
      </c>
      <c r="B28" s="18"/>
      <c r="C28" s="18"/>
      <c r="D28" s="18"/>
      <c r="E28" s="19"/>
    </row>
    <row r="29" customHeight="1" spans="1:10">
      <c r="A29" s="24" t="s">
        <v>7</v>
      </c>
      <c r="B29" s="25" t="s">
        <v>57</v>
      </c>
      <c r="C29" s="26" t="s">
        <v>11</v>
      </c>
      <c r="D29" s="26" t="s">
        <v>10</v>
      </c>
      <c r="E29" s="27" t="s">
        <v>6</v>
      </c>
    </row>
    <row r="30" customHeight="1" spans="1:10">
      <c r="A30" s="150"/>
      <c r="B30" s="151"/>
      <c r="C30" s="152"/>
      <c r="D30" s="152"/>
      <c r="E30" s="144"/>
    </row>
    <row r="31" customHeight="1" spans="1:10">
      <c r="A31" s="150"/>
      <c r="B31" s="151"/>
      <c r="C31" s="152"/>
      <c r="D31" s="152"/>
      <c r="E31" s="144"/>
    </row>
    <row r="32" customHeight="1" spans="1:10">
      <c r="A32" s="150"/>
      <c r="B32" s="153"/>
      <c r="C32" s="31"/>
      <c r="D32" s="31"/>
      <c r="E32" s="115"/>
    </row>
    <row r="33" customHeight="1" spans="1:5">
      <c r="A33" s="150"/>
      <c r="B33" s="153"/>
      <c r="C33" s="31"/>
      <c r="D33" s="31"/>
      <c r="E33" s="126"/>
    </row>
    <row r="34" customHeight="1" spans="1:5">
      <c r="A34" s="114"/>
      <c r="B34" s="166"/>
      <c r="C34" s="152"/>
      <c r="D34" s="152"/>
      <c r="E34" s="115"/>
    </row>
    <row r="35" customHeight="1" spans="1:5">
      <c r="A35" s="150"/>
      <c r="B35" s="151"/>
      <c r="C35" s="152"/>
      <c r="D35" s="152"/>
      <c r="E35" s="144"/>
    </row>
    <row r="36" customHeight="1" spans="1:5">
      <c r="A36" s="45" t="s">
        <v>55</v>
      </c>
      <c r="B36" s="46"/>
      <c r="C36" s="46">
        <f>SUM(C30:C35)</f>
        <v>0</v>
      </c>
      <c r="D36" s="46">
        <f>SUM(D30:D35)</f>
        <v>0</v>
      </c>
      <c r="E36" s="47"/>
    </row>
  </sheetData>
  <mergeCells count="5">
    <mergeCell ref="A1:J1"/>
    <mergeCell ref="A4:D4"/>
    <mergeCell ref="G4:I4"/>
    <mergeCell ref="A28:D28"/>
    <mergeCell ref="J4:J5"/>
  </mergeCells>
  <pageMargins left="0.7" right="0.7" top="0.75" bottom="0.75" header="0.3" footer="0.3"/>
  <pageSetup paperSize="1" scale="42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5"/>
  <sheetViews>
    <sheetView zoomScale="40" zoomScaleNormal="40" topLeftCell="A12" workbookViewId="0">
      <selection activeCell="G11" sqref="G11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46307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ht="31" customHeight="1" spans="1:10">
      <c r="A6" s="143" t="s">
        <v>213</v>
      </c>
      <c r="B6" s="109">
        <v>39</v>
      </c>
      <c r="C6" s="109">
        <v>4</v>
      </c>
      <c r="D6" s="110"/>
      <c r="E6" s="126" t="s">
        <v>214</v>
      </c>
      <c r="F6" s="102"/>
      <c r="G6" s="143" t="s">
        <v>215</v>
      </c>
      <c r="H6" s="109">
        <v>34</v>
      </c>
      <c r="I6" s="105"/>
      <c r="J6" s="106" t="s">
        <v>216</v>
      </c>
    </row>
    <row r="7" customHeight="1" spans="1:10">
      <c r="A7" s="143" t="s">
        <v>215</v>
      </c>
      <c r="B7" s="109">
        <v>34</v>
      </c>
      <c r="C7" s="109"/>
      <c r="D7" s="110"/>
      <c r="E7" s="101" t="s">
        <v>217</v>
      </c>
      <c r="F7" s="107"/>
      <c r="G7" s="169" t="s">
        <v>218</v>
      </c>
      <c r="H7" s="104">
        <v>5</v>
      </c>
      <c r="I7" s="105"/>
      <c r="J7" s="106" t="s">
        <v>219</v>
      </c>
    </row>
    <row r="8" customHeight="1" spans="1:10">
      <c r="A8" s="149" t="s">
        <v>107</v>
      </c>
      <c r="B8" s="109"/>
      <c r="C8" s="109">
        <v>1</v>
      </c>
      <c r="D8" s="110"/>
      <c r="E8" s="101" t="s">
        <v>220</v>
      </c>
      <c r="F8" s="107"/>
      <c r="G8" s="145" t="s">
        <v>221</v>
      </c>
      <c r="H8" s="146">
        <v>8</v>
      </c>
      <c r="I8" s="147"/>
      <c r="J8" s="148" t="s">
        <v>222</v>
      </c>
    </row>
    <row r="9" customHeight="1" spans="1:10">
      <c r="A9" s="149" t="s">
        <v>223</v>
      </c>
      <c r="B9" s="109">
        <v>2</v>
      </c>
      <c r="C9" s="109"/>
      <c r="D9" s="110"/>
      <c r="E9" s="101" t="s">
        <v>224</v>
      </c>
      <c r="F9" s="107"/>
      <c r="G9" s="108" t="s">
        <v>225</v>
      </c>
      <c r="H9" s="109">
        <v>1</v>
      </c>
      <c r="I9" s="110"/>
      <c r="J9" s="111" t="s">
        <v>226</v>
      </c>
    </row>
    <row r="10" customHeight="1" spans="1:10">
      <c r="A10" s="114" t="s">
        <v>227</v>
      </c>
      <c r="B10" s="109">
        <v>31</v>
      </c>
      <c r="C10" s="109"/>
      <c r="D10" s="110"/>
      <c r="E10" s="101" t="s">
        <v>228</v>
      </c>
      <c r="F10" s="107"/>
      <c r="G10" s="108" t="s">
        <v>229</v>
      </c>
      <c r="H10" s="109">
        <v>11</v>
      </c>
      <c r="I10" s="110"/>
      <c r="J10" s="112" t="s">
        <v>230</v>
      </c>
    </row>
    <row r="11" customHeight="1" spans="1:10">
      <c r="A11" s="114" t="s">
        <v>231</v>
      </c>
      <c r="B11" s="109">
        <v>1</v>
      </c>
      <c r="C11" s="109"/>
      <c r="D11" s="110"/>
      <c r="E11" s="115" t="s">
        <v>232</v>
      </c>
      <c r="F11" s="107"/>
      <c r="G11" s="108" t="s">
        <v>80</v>
      </c>
      <c r="H11" s="109">
        <v>6</v>
      </c>
      <c r="I11" s="110"/>
      <c r="J11" s="113" t="s">
        <v>233</v>
      </c>
    </row>
    <row r="12" customHeight="1" spans="1:10">
      <c r="A12" s="114" t="s">
        <v>234</v>
      </c>
      <c r="B12" s="109">
        <v>14</v>
      </c>
      <c r="C12" s="109"/>
      <c r="D12" s="110"/>
      <c r="E12" s="115" t="s">
        <v>235</v>
      </c>
      <c r="F12" s="107"/>
      <c r="G12" s="108" t="s">
        <v>236</v>
      </c>
      <c r="H12" s="109">
        <v>1</v>
      </c>
      <c r="I12" s="110"/>
      <c r="J12" s="113" t="s">
        <v>237</v>
      </c>
    </row>
    <row r="13" customHeight="1" spans="1:10">
      <c r="A13" s="114" t="s">
        <v>238</v>
      </c>
      <c r="B13" s="109">
        <v>3</v>
      </c>
      <c r="C13" s="109"/>
      <c r="D13" s="110"/>
      <c r="E13" s="115" t="s">
        <v>235</v>
      </c>
      <c r="F13" s="107"/>
      <c r="G13" s="119" t="s">
        <v>239</v>
      </c>
      <c r="H13" s="120">
        <v>1</v>
      </c>
      <c r="I13" s="118"/>
      <c r="J13" s="123" t="s">
        <v>240</v>
      </c>
    </row>
    <row r="14" customHeight="1" spans="1:10">
      <c r="A14" s="114" t="s">
        <v>241</v>
      </c>
      <c r="B14" s="109">
        <v>28</v>
      </c>
      <c r="C14" s="109"/>
      <c r="D14" s="110"/>
      <c r="E14" s="115" t="s">
        <v>242</v>
      </c>
      <c r="F14" s="160"/>
      <c r="G14" s="119" t="s">
        <v>243</v>
      </c>
      <c r="H14" s="120">
        <v>1</v>
      </c>
      <c r="I14" s="118"/>
      <c r="J14" s="121" t="s">
        <v>244</v>
      </c>
    </row>
    <row r="15" customHeight="1" spans="1:10">
      <c r="A15" s="114" t="s">
        <v>80</v>
      </c>
      <c r="B15" s="117">
        <v>6</v>
      </c>
      <c r="C15" s="117"/>
      <c r="D15" s="124"/>
      <c r="E15" s="115" t="s">
        <v>233</v>
      </c>
      <c r="F15" s="122"/>
      <c r="G15" s="119" t="s">
        <v>18</v>
      </c>
      <c r="H15" s="120">
        <v>2</v>
      </c>
      <c r="I15" s="118"/>
      <c r="J15" s="123" t="s">
        <v>245</v>
      </c>
    </row>
    <row r="16" customHeight="1" spans="1:10">
      <c r="A16" s="125" t="s">
        <v>236</v>
      </c>
      <c r="B16" s="117"/>
      <c r="C16" s="117">
        <v>1</v>
      </c>
      <c r="D16" s="124"/>
      <c r="E16" s="126" t="s">
        <v>237</v>
      </c>
      <c r="F16" s="122"/>
      <c r="G16" s="119" t="s">
        <v>82</v>
      </c>
      <c r="H16" s="120">
        <v>1</v>
      </c>
      <c r="I16" s="118"/>
      <c r="J16" s="123" t="s">
        <v>246</v>
      </c>
    </row>
    <row r="17" customHeight="1" spans="1:10">
      <c r="A17" s="125" t="s">
        <v>239</v>
      </c>
      <c r="B17" s="117">
        <v>1</v>
      </c>
      <c r="C17" s="117"/>
      <c r="D17" s="124"/>
      <c r="E17" s="126" t="s">
        <v>240</v>
      </c>
      <c r="F17" s="122"/>
      <c r="G17" s="125" t="s">
        <v>247</v>
      </c>
      <c r="H17" s="120">
        <v>1</v>
      </c>
      <c r="I17" s="118"/>
      <c r="J17" s="126" t="s">
        <v>248</v>
      </c>
    </row>
    <row r="18" customHeight="1" spans="1:10">
      <c r="A18" s="125" t="s">
        <v>18</v>
      </c>
      <c r="B18" s="117">
        <v>2</v>
      </c>
      <c r="C18" s="117"/>
      <c r="D18" s="124"/>
      <c r="E18" s="126" t="s">
        <v>245</v>
      </c>
      <c r="F18" s="122"/>
      <c r="G18" s="125" t="s">
        <v>249</v>
      </c>
      <c r="H18" s="120">
        <v>8</v>
      </c>
      <c r="I18" s="118"/>
      <c r="J18" s="123" t="s">
        <v>250</v>
      </c>
    </row>
    <row r="19" customHeight="1" spans="1:10">
      <c r="A19" s="125" t="s">
        <v>18</v>
      </c>
      <c r="B19" s="117">
        <v>1</v>
      </c>
      <c r="C19" s="117"/>
      <c r="D19" s="124"/>
      <c r="E19" s="126" t="s">
        <v>251</v>
      </c>
      <c r="F19" s="122"/>
      <c r="G19" s="125" t="s">
        <v>252</v>
      </c>
      <c r="H19" s="120">
        <v>1</v>
      </c>
      <c r="I19" s="118"/>
      <c r="J19" s="126" t="s">
        <v>253</v>
      </c>
    </row>
    <row r="20" customHeight="1" spans="1:10">
      <c r="A20" s="125" t="s">
        <v>254</v>
      </c>
      <c r="B20" s="117">
        <v>29</v>
      </c>
      <c r="C20" s="117"/>
      <c r="D20" s="124"/>
      <c r="E20" s="126" t="s">
        <v>255</v>
      </c>
      <c r="F20" s="122"/>
      <c r="G20" s="125" t="s">
        <v>256</v>
      </c>
      <c r="H20" s="120">
        <v>1</v>
      </c>
      <c r="I20" s="118"/>
      <c r="J20" s="126" t="s">
        <v>257</v>
      </c>
    </row>
    <row r="21" customHeight="1" spans="1:10">
      <c r="A21" s="125" t="s">
        <v>82</v>
      </c>
      <c r="B21" s="117">
        <v>1</v>
      </c>
      <c r="C21" s="117"/>
      <c r="D21" s="124"/>
      <c r="E21" s="126" t="s">
        <v>246</v>
      </c>
      <c r="F21" s="122"/>
      <c r="G21" s="174" t="s">
        <v>258</v>
      </c>
      <c r="H21" s="120">
        <v>2</v>
      </c>
      <c r="I21" s="118"/>
      <c r="J21" s="123" t="s">
        <v>250</v>
      </c>
    </row>
    <row r="22" customHeight="1" spans="1:10">
      <c r="A22" s="125" t="s">
        <v>259</v>
      </c>
      <c r="B22" s="117"/>
      <c r="C22" s="117">
        <v>1</v>
      </c>
      <c r="D22" s="124"/>
      <c r="E22" s="126" t="s">
        <v>260</v>
      </c>
      <c r="F22" s="122"/>
      <c r="G22" s="174" t="s">
        <v>261</v>
      </c>
      <c r="H22" s="120">
        <v>8</v>
      </c>
      <c r="I22" s="118"/>
      <c r="J22" s="123" t="s">
        <v>250</v>
      </c>
    </row>
    <row r="23" customHeight="1" spans="1:10">
      <c r="A23" s="125" t="s">
        <v>262</v>
      </c>
      <c r="B23" s="117">
        <v>8</v>
      </c>
      <c r="C23" s="117"/>
      <c r="D23" s="124"/>
      <c r="E23" s="126" t="s">
        <v>263</v>
      </c>
      <c r="F23" s="122"/>
      <c r="G23" s="174" t="s">
        <v>264</v>
      </c>
      <c r="H23" s="120">
        <v>8</v>
      </c>
      <c r="I23" s="118"/>
      <c r="J23" s="123" t="s">
        <v>250</v>
      </c>
    </row>
    <row r="24" customHeight="1" spans="1:10">
      <c r="A24" s="125" t="s">
        <v>265</v>
      </c>
      <c r="B24" s="117">
        <v>1</v>
      </c>
      <c r="C24" s="117"/>
      <c r="D24" s="124"/>
      <c r="E24" s="126" t="s">
        <v>266</v>
      </c>
      <c r="F24" s="122"/>
      <c r="G24" s="174" t="s">
        <v>267</v>
      </c>
      <c r="H24" s="120">
        <v>2</v>
      </c>
      <c r="I24" s="118"/>
      <c r="J24" s="123" t="s">
        <v>250</v>
      </c>
    </row>
    <row r="25" customHeight="1" spans="1:10">
      <c r="A25" s="125" t="s">
        <v>268</v>
      </c>
      <c r="B25" s="117">
        <v>1</v>
      </c>
      <c r="C25" s="117"/>
      <c r="D25" s="124"/>
      <c r="E25" s="126" t="s">
        <v>269</v>
      </c>
      <c r="F25" s="122"/>
      <c r="G25" s="127" t="s">
        <v>270</v>
      </c>
      <c r="H25" s="120">
        <v>3</v>
      </c>
      <c r="I25" s="118"/>
      <c r="J25" s="130" t="s">
        <v>271</v>
      </c>
    </row>
    <row r="26" customHeight="1" spans="1:10">
      <c r="A26" s="125" t="s">
        <v>272</v>
      </c>
      <c r="B26" s="117">
        <v>11</v>
      </c>
      <c r="C26" s="117">
        <v>3</v>
      </c>
      <c r="D26" s="124"/>
      <c r="E26" s="126" t="s">
        <v>273</v>
      </c>
      <c r="F26" s="122"/>
      <c r="G26" s="119"/>
      <c r="H26" s="120"/>
      <c r="I26" s="118"/>
      <c r="J26" s="123"/>
    </row>
    <row r="27" customHeight="1" spans="1:10">
      <c r="A27" s="125" t="s">
        <v>274</v>
      </c>
      <c r="B27" s="117">
        <v>3</v>
      </c>
      <c r="C27" s="117"/>
      <c r="D27" s="124"/>
      <c r="E27" s="126" t="s">
        <v>275</v>
      </c>
      <c r="F27" s="122"/>
      <c r="G27" s="119"/>
      <c r="H27" s="120"/>
      <c r="I27" s="118"/>
      <c r="J27" s="123"/>
    </row>
    <row r="28" customHeight="1" spans="1:10">
      <c r="A28" s="125" t="s">
        <v>276</v>
      </c>
      <c r="B28" s="117">
        <v>10</v>
      </c>
      <c r="C28" s="117"/>
      <c r="D28" s="124"/>
      <c r="E28" s="126" t="s">
        <v>277</v>
      </c>
      <c r="F28" s="122"/>
      <c r="G28" s="119"/>
      <c r="H28" s="120"/>
      <c r="I28" s="118"/>
      <c r="J28" s="123"/>
    </row>
    <row r="29" customHeight="1" spans="1:10">
      <c r="A29" s="125" t="s">
        <v>247</v>
      </c>
      <c r="B29" s="117"/>
      <c r="C29" s="117">
        <v>1</v>
      </c>
      <c r="D29" s="124"/>
      <c r="E29" s="126" t="s">
        <v>248</v>
      </c>
      <c r="F29" s="122"/>
      <c r="G29" s="143"/>
      <c r="H29" s="120"/>
      <c r="I29" s="118"/>
      <c r="J29" s="144"/>
    </row>
    <row r="30" customHeight="1" spans="1:10">
      <c r="A30" s="125" t="s">
        <v>249</v>
      </c>
      <c r="B30" s="117">
        <v>8</v>
      </c>
      <c r="C30" s="117"/>
      <c r="D30" s="124"/>
      <c r="E30" s="123" t="s">
        <v>250</v>
      </c>
      <c r="F30" s="122"/>
      <c r="G30" s="143"/>
      <c r="H30" s="120"/>
      <c r="I30" s="118"/>
      <c r="J30" s="101"/>
    </row>
    <row r="31" customHeight="1" spans="1:10">
      <c r="A31" s="125" t="s">
        <v>252</v>
      </c>
      <c r="B31" s="117"/>
      <c r="C31" s="117">
        <v>1</v>
      </c>
      <c r="D31" s="124"/>
      <c r="E31" s="126" t="s">
        <v>253</v>
      </c>
      <c r="F31" s="122"/>
      <c r="G31" s="173"/>
      <c r="H31" s="120"/>
      <c r="I31" s="118"/>
      <c r="J31" s="144"/>
    </row>
    <row r="32" customHeight="1" spans="1:10">
      <c r="A32" s="125" t="s">
        <v>278</v>
      </c>
      <c r="B32" s="117"/>
      <c r="C32" s="117">
        <v>1</v>
      </c>
      <c r="D32" s="124"/>
      <c r="E32" s="126" t="s">
        <v>279</v>
      </c>
      <c r="F32" s="122"/>
      <c r="G32" s="173"/>
      <c r="H32" s="120"/>
      <c r="I32" s="118"/>
      <c r="J32" s="144"/>
    </row>
    <row r="33" customHeight="1" spans="1:10">
      <c r="A33" s="125" t="s">
        <v>256</v>
      </c>
      <c r="B33" s="117"/>
      <c r="C33" s="117">
        <v>1</v>
      </c>
      <c r="D33" s="124"/>
      <c r="E33" s="126" t="s">
        <v>257</v>
      </c>
      <c r="F33" s="122"/>
      <c r="G33" s="173"/>
      <c r="H33" s="120"/>
      <c r="I33" s="118"/>
      <c r="J33" s="144"/>
    </row>
    <row r="34" customHeight="1" spans="1:10">
      <c r="A34" s="127" t="s">
        <v>270</v>
      </c>
      <c r="B34" s="128"/>
      <c r="C34" s="128">
        <v>3</v>
      </c>
      <c r="D34" s="129"/>
      <c r="E34" s="130" t="s">
        <v>271</v>
      </c>
      <c r="F34" s="122"/>
      <c r="G34" s="125"/>
      <c r="H34" s="120"/>
      <c r="I34" s="131"/>
      <c r="J34" s="132"/>
    </row>
    <row r="35" customHeight="1" spans="1:10">
      <c r="A35" s="133" t="s">
        <v>55</v>
      </c>
      <c r="B35" s="134">
        <f>SUM(B6:B34)</f>
        <v>234</v>
      </c>
      <c r="C35" s="134">
        <f>SUM(C6:C34)</f>
        <v>17</v>
      </c>
      <c r="D35" s="134">
        <f>SUM(D6:D34)</f>
        <v>0</v>
      </c>
      <c r="E35" s="135"/>
      <c r="F35" s="122"/>
      <c r="G35" s="136"/>
      <c r="H35" s="134">
        <f>SUM(H6:H34)</f>
        <v>105</v>
      </c>
      <c r="I35" s="137"/>
      <c r="J35" s="138"/>
    </row>
    <row r="37" customHeight="1" spans="1:10">
      <c r="A37" s="17" t="s">
        <v>56</v>
      </c>
      <c r="B37" s="18"/>
      <c r="C37" s="18"/>
      <c r="D37" s="18"/>
      <c r="E37" s="19"/>
    </row>
    <row r="38" customHeight="1" spans="1:10">
      <c r="A38" s="24" t="s">
        <v>7</v>
      </c>
      <c r="B38" s="25" t="s">
        <v>57</v>
      </c>
      <c r="C38" s="26" t="s">
        <v>11</v>
      </c>
      <c r="D38" s="26" t="s">
        <v>10</v>
      </c>
      <c r="E38" s="27" t="s">
        <v>6</v>
      </c>
    </row>
    <row r="39" customHeight="1" spans="1:10">
      <c r="A39" s="150"/>
      <c r="B39" s="151"/>
      <c r="C39" s="152"/>
      <c r="D39" s="152"/>
      <c r="E39" s="144"/>
    </row>
    <row r="40" customHeight="1" spans="1:10">
      <c r="A40" s="150"/>
      <c r="B40" s="151"/>
      <c r="C40" s="152"/>
      <c r="D40" s="152"/>
      <c r="E40" s="144"/>
    </row>
    <row r="41" customHeight="1" spans="1:10">
      <c r="A41" s="150"/>
      <c r="B41" s="153"/>
      <c r="C41" s="31"/>
      <c r="D41" s="31"/>
      <c r="E41" s="115"/>
    </row>
    <row r="42" customHeight="1" spans="1:10">
      <c r="A42" s="150"/>
      <c r="B42" s="153"/>
      <c r="C42" s="31"/>
      <c r="D42" s="31"/>
      <c r="E42" s="126"/>
    </row>
    <row r="43" customHeight="1" spans="1:10">
      <c r="A43" s="114"/>
      <c r="B43" s="166"/>
      <c r="C43" s="152"/>
      <c r="D43" s="152"/>
      <c r="E43" s="115"/>
    </row>
    <row r="44" customHeight="1" spans="1:10">
      <c r="A44" s="150"/>
      <c r="B44" s="151"/>
      <c r="C44" s="152"/>
      <c r="D44" s="152"/>
      <c r="E44" s="144"/>
    </row>
    <row r="45" customHeight="1" spans="1:10">
      <c r="A45" s="45" t="s">
        <v>55</v>
      </c>
      <c r="B45" s="46"/>
      <c r="C45" s="46">
        <f>SUM(C39:C44)</f>
        <v>0</v>
      </c>
      <c r="D45" s="46">
        <f>SUM(D39:D44)</f>
        <v>0</v>
      </c>
      <c r="E45" s="47"/>
    </row>
  </sheetData>
  <mergeCells count="5">
    <mergeCell ref="A1:J1"/>
    <mergeCell ref="A4:D4"/>
    <mergeCell ref="G4:I4"/>
    <mergeCell ref="A37:D37"/>
    <mergeCell ref="J4:J5"/>
  </mergeCells>
  <pageMargins left="0.7" right="0.7" top="0.75" bottom="0.75" header="0.3" footer="0.3"/>
  <pageSetup paperSize="1" scale="42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3"/>
  <sheetViews>
    <sheetView zoomScale="40" zoomScaleNormal="40" topLeftCell="A14" workbookViewId="0">
      <selection activeCell="O25" sqref="O25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46304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ht="31" customHeight="1" spans="1:10">
      <c r="A6" s="143" t="s">
        <v>280</v>
      </c>
      <c r="B6" s="109"/>
      <c r="C6" s="109">
        <v>1</v>
      </c>
      <c r="D6" s="110"/>
      <c r="E6" s="144" t="s">
        <v>281</v>
      </c>
      <c r="F6" s="102"/>
      <c r="G6" s="114" t="s">
        <v>282</v>
      </c>
      <c r="H6" s="109">
        <v>3</v>
      </c>
      <c r="I6" s="105"/>
      <c r="J6" s="101" t="s">
        <v>283</v>
      </c>
    </row>
    <row r="7" customHeight="1" spans="1:10">
      <c r="A7" s="143" t="s">
        <v>284</v>
      </c>
      <c r="B7" s="109"/>
      <c r="C7" s="109">
        <v>1</v>
      </c>
      <c r="D7" s="110"/>
      <c r="E7" s="101" t="s">
        <v>285</v>
      </c>
      <c r="F7" s="107"/>
      <c r="G7" s="169" t="s">
        <v>286</v>
      </c>
      <c r="H7" s="104">
        <v>1</v>
      </c>
      <c r="I7" s="105"/>
      <c r="J7" s="106" t="s">
        <v>287</v>
      </c>
    </row>
    <row r="8" customHeight="1" spans="1:10">
      <c r="A8" s="149" t="s">
        <v>288</v>
      </c>
      <c r="B8" s="109">
        <v>1</v>
      </c>
      <c r="C8" s="109"/>
      <c r="D8" s="110"/>
      <c r="E8" s="101" t="s">
        <v>289</v>
      </c>
      <c r="F8" s="107"/>
      <c r="G8" s="145" t="s">
        <v>92</v>
      </c>
      <c r="H8" s="146">
        <v>1</v>
      </c>
      <c r="I8" s="147"/>
      <c r="J8" s="148" t="s">
        <v>290</v>
      </c>
    </row>
    <row r="9" customHeight="1" spans="1:10">
      <c r="A9" s="114" t="s">
        <v>291</v>
      </c>
      <c r="B9" s="109">
        <v>1</v>
      </c>
      <c r="C9" s="109"/>
      <c r="D9" s="110"/>
      <c r="E9" s="101" t="s">
        <v>292</v>
      </c>
      <c r="F9" s="107"/>
      <c r="G9" s="108" t="s">
        <v>293</v>
      </c>
      <c r="H9" s="109">
        <v>1</v>
      </c>
      <c r="I9" s="110"/>
      <c r="J9" s="111" t="s">
        <v>294</v>
      </c>
    </row>
    <row r="10" customHeight="1" spans="1:10">
      <c r="A10" s="114" t="s">
        <v>286</v>
      </c>
      <c r="B10" s="109">
        <v>1</v>
      </c>
      <c r="C10" s="109"/>
      <c r="D10" s="110"/>
      <c r="E10" s="115" t="s">
        <v>287</v>
      </c>
      <c r="F10" s="107"/>
      <c r="G10" s="108" t="s">
        <v>295</v>
      </c>
      <c r="H10" s="109">
        <v>1</v>
      </c>
      <c r="I10" s="110"/>
      <c r="J10" s="112" t="s">
        <v>296</v>
      </c>
    </row>
    <row r="11" customHeight="1" spans="1:10">
      <c r="A11" s="114" t="s">
        <v>243</v>
      </c>
      <c r="B11" s="109">
        <v>1</v>
      </c>
      <c r="C11" s="109"/>
      <c r="D11" s="110"/>
      <c r="E11" s="115" t="s">
        <v>297</v>
      </c>
      <c r="F11" s="107"/>
      <c r="G11" s="108" t="s">
        <v>298</v>
      </c>
      <c r="H11" s="109">
        <v>1</v>
      </c>
      <c r="I11" s="110"/>
      <c r="J11" s="113" t="s">
        <v>299</v>
      </c>
    </row>
    <row r="12" customHeight="1" spans="1:10">
      <c r="A12" s="114" t="s">
        <v>92</v>
      </c>
      <c r="B12" s="109">
        <v>1</v>
      </c>
      <c r="C12" s="109"/>
      <c r="D12" s="110"/>
      <c r="E12" s="115" t="s">
        <v>290</v>
      </c>
      <c r="F12" s="107"/>
      <c r="G12" s="108" t="s">
        <v>300</v>
      </c>
      <c r="H12" s="109">
        <v>1</v>
      </c>
      <c r="I12" s="110"/>
      <c r="J12" s="113" t="s">
        <v>301</v>
      </c>
    </row>
    <row r="13" customHeight="1" spans="1:10">
      <c r="A13" s="114" t="s">
        <v>14</v>
      </c>
      <c r="B13" s="109">
        <v>2</v>
      </c>
      <c r="C13" s="109"/>
      <c r="D13" s="110"/>
      <c r="E13" s="115" t="s">
        <v>302</v>
      </c>
      <c r="F13" s="107"/>
      <c r="G13" s="119" t="s">
        <v>303</v>
      </c>
      <c r="H13" s="120">
        <v>2</v>
      </c>
      <c r="I13" s="118"/>
      <c r="J13" s="123" t="s">
        <v>304</v>
      </c>
    </row>
    <row r="14" customHeight="1" spans="1:10">
      <c r="A14" s="114" t="s">
        <v>295</v>
      </c>
      <c r="B14" s="117">
        <v>1</v>
      </c>
      <c r="C14" s="117"/>
      <c r="D14" s="124"/>
      <c r="E14" s="115" t="s">
        <v>296</v>
      </c>
      <c r="F14" s="160"/>
      <c r="G14" s="119" t="s">
        <v>305</v>
      </c>
      <c r="H14" s="120">
        <v>2</v>
      </c>
      <c r="I14" s="118"/>
      <c r="J14" s="121" t="s">
        <v>306</v>
      </c>
    </row>
    <row r="15" customHeight="1" spans="1:10">
      <c r="A15" s="125" t="s">
        <v>307</v>
      </c>
      <c r="B15" s="117">
        <v>1</v>
      </c>
      <c r="C15" s="117"/>
      <c r="D15" s="124"/>
      <c r="E15" s="126" t="s">
        <v>308</v>
      </c>
      <c r="F15" s="122"/>
      <c r="G15" s="119" t="s">
        <v>307</v>
      </c>
      <c r="H15" s="120">
        <v>1</v>
      </c>
      <c r="I15" s="118"/>
      <c r="J15" s="123" t="s">
        <v>308</v>
      </c>
    </row>
    <row r="16" customHeight="1" spans="1:10">
      <c r="A16" s="125" t="s">
        <v>309</v>
      </c>
      <c r="B16" s="117">
        <v>1</v>
      </c>
      <c r="C16" s="117"/>
      <c r="D16" s="124"/>
      <c r="E16" s="126" t="s">
        <v>310</v>
      </c>
      <c r="F16" s="122"/>
      <c r="G16" s="119" t="s">
        <v>309</v>
      </c>
      <c r="H16" s="120">
        <v>1</v>
      </c>
      <c r="I16" s="118"/>
      <c r="J16" s="123" t="s">
        <v>310</v>
      </c>
    </row>
    <row r="17" customHeight="1" spans="1:10">
      <c r="A17" s="125" t="s">
        <v>311</v>
      </c>
      <c r="B17" s="117">
        <v>4</v>
      </c>
      <c r="C17" s="117"/>
      <c r="D17" s="124"/>
      <c r="E17" s="126" t="s">
        <v>312</v>
      </c>
      <c r="F17" s="122"/>
      <c r="G17" s="119" t="s">
        <v>311</v>
      </c>
      <c r="H17" s="120">
        <v>4</v>
      </c>
      <c r="I17" s="118"/>
      <c r="J17" s="123" t="s">
        <v>312</v>
      </c>
    </row>
    <row r="18" customHeight="1" spans="1:10">
      <c r="A18" s="125" t="s">
        <v>313</v>
      </c>
      <c r="B18" s="117">
        <v>1</v>
      </c>
      <c r="C18" s="117"/>
      <c r="D18" s="124"/>
      <c r="E18" s="126" t="s">
        <v>314</v>
      </c>
      <c r="F18" s="122"/>
      <c r="G18" s="119" t="s">
        <v>313</v>
      </c>
      <c r="H18" s="120">
        <v>1</v>
      </c>
      <c r="I18" s="118"/>
      <c r="J18" s="123" t="s">
        <v>314</v>
      </c>
    </row>
    <row r="19" customHeight="1" spans="1:10">
      <c r="A19" s="125" t="s">
        <v>272</v>
      </c>
      <c r="B19" s="117">
        <v>11</v>
      </c>
      <c r="C19" s="117">
        <v>3</v>
      </c>
      <c r="D19" s="124"/>
      <c r="E19" s="126" t="s">
        <v>315</v>
      </c>
      <c r="F19" s="122"/>
      <c r="G19" s="119" t="s">
        <v>316</v>
      </c>
      <c r="H19" s="120">
        <v>4</v>
      </c>
      <c r="I19" s="118"/>
      <c r="J19" s="123" t="s">
        <v>317</v>
      </c>
    </row>
    <row r="20" customHeight="1" spans="1:10">
      <c r="A20" s="125" t="s">
        <v>318</v>
      </c>
      <c r="B20" s="117"/>
      <c r="C20" s="117">
        <v>5</v>
      </c>
      <c r="D20" s="124"/>
      <c r="E20" s="126" t="s">
        <v>319</v>
      </c>
      <c r="F20" s="122"/>
      <c r="G20" s="119" t="s">
        <v>272</v>
      </c>
      <c r="H20" s="120">
        <v>14</v>
      </c>
      <c r="I20" s="118"/>
      <c r="J20" s="123" t="s">
        <v>315</v>
      </c>
    </row>
    <row r="21" customHeight="1" spans="1:10">
      <c r="A21" s="125" t="s">
        <v>320</v>
      </c>
      <c r="B21" s="117">
        <v>1</v>
      </c>
      <c r="C21" s="117"/>
      <c r="D21" s="124"/>
      <c r="E21" s="126" t="s">
        <v>321</v>
      </c>
      <c r="F21" s="122"/>
      <c r="G21" s="119" t="s">
        <v>318</v>
      </c>
      <c r="H21" s="120">
        <v>5</v>
      </c>
      <c r="I21" s="118"/>
      <c r="J21" s="123" t="s">
        <v>319</v>
      </c>
    </row>
    <row r="22" customHeight="1" spans="1:10">
      <c r="A22" s="125" t="s">
        <v>322</v>
      </c>
      <c r="B22" s="117">
        <v>3</v>
      </c>
      <c r="C22" s="117"/>
      <c r="D22" s="124"/>
      <c r="E22" s="126" t="s">
        <v>323</v>
      </c>
      <c r="F22" s="122"/>
      <c r="G22" s="119" t="s">
        <v>320</v>
      </c>
      <c r="H22" s="120">
        <v>1</v>
      </c>
      <c r="I22" s="118"/>
      <c r="J22" s="123" t="s">
        <v>321</v>
      </c>
    </row>
    <row r="23" customHeight="1" spans="1:10">
      <c r="A23" s="125" t="s">
        <v>123</v>
      </c>
      <c r="B23" s="117">
        <v>6</v>
      </c>
      <c r="C23" s="117"/>
      <c r="D23" s="124"/>
      <c r="E23" s="126" t="s">
        <v>324</v>
      </c>
      <c r="F23" s="122"/>
      <c r="G23" s="119" t="s">
        <v>325</v>
      </c>
      <c r="H23" s="120">
        <v>4</v>
      </c>
      <c r="I23" s="118"/>
      <c r="J23" s="123" t="s">
        <v>326</v>
      </c>
    </row>
    <row r="24" customHeight="1" spans="1:10">
      <c r="A24" s="125"/>
      <c r="B24" s="117"/>
      <c r="C24" s="117"/>
      <c r="D24" s="124"/>
      <c r="E24" s="126"/>
      <c r="F24" s="122"/>
      <c r="G24" s="119" t="s">
        <v>327</v>
      </c>
      <c r="H24" s="120">
        <v>18</v>
      </c>
      <c r="I24" s="118"/>
      <c r="J24" s="123" t="s">
        <v>328</v>
      </c>
    </row>
    <row r="25" customHeight="1" spans="1:10">
      <c r="A25" s="125"/>
      <c r="B25" s="117"/>
      <c r="C25" s="117"/>
      <c r="D25" s="124"/>
      <c r="E25" s="126"/>
      <c r="F25" s="122"/>
      <c r="G25" s="119" t="s">
        <v>329</v>
      </c>
      <c r="H25" s="120">
        <v>1</v>
      </c>
      <c r="I25" s="118"/>
      <c r="J25" s="123" t="s">
        <v>330</v>
      </c>
    </row>
    <row r="26" customHeight="1" spans="1:10">
      <c r="A26" s="125"/>
      <c r="B26" s="117"/>
      <c r="C26" s="117"/>
      <c r="D26" s="124"/>
      <c r="E26" s="126"/>
      <c r="F26" s="122"/>
      <c r="G26" s="119" t="s">
        <v>331</v>
      </c>
      <c r="H26" s="120">
        <v>1</v>
      </c>
      <c r="I26" s="118"/>
      <c r="J26" s="123" t="s">
        <v>332</v>
      </c>
    </row>
    <row r="27" customHeight="1" spans="1:10">
      <c r="A27" s="125"/>
      <c r="B27" s="117"/>
      <c r="C27" s="117"/>
      <c r="D27" s="124"/>
      <c r="E27" s="126"/>
      <c r="F27" s="122"/>
      <c r="G27" s="119" t="s">
        <v>333</v>
      </c>
      <c r="H27" s="120">
        <v>1</v>
      </c>
      <c r="I27" s="118"/>
      <c r="J27" s="123" t="s">
        <v>334</v>
      </c>
    </row>
    <row r="28" customHeight="1" spans="1:10">
      <c r="A28" s="125"/>
      <c r="B28" s="117"/>
      <c r="C28" s="117"/>
      <c r="D28" s="124"/>
      <c r="E28" s="126"/>
      <c r="F28" s="122"/>
      <c r="G28" s="119" t="s">
        <v>291</v>
      </c>
      <c r="H28" s="120">
        <v>1</v>
      </c>
      <c r="I28" s="118"/>
      <c r="J28" s="123" t="s">
        <v>335</v>
      </c>
    </row>
    <row r="29" customHeight="1" spans="1:10">
      <c r="A29" s="125"/>
      <c r="B29" s="117"/>
      <c r="C29" s="117"/>
      <c r="D29" s="124"/>
      <c r="E29" s="126"/>
      <c r="F29" s="122"/>
      <c r="G29" s="143" t="s">
        <v>280</v>
      </c>
      <c r="H29" s="120">
        <v>1</v>
      </c>
      <c r="I29" s="118"/>
      <c r="J29" s="144" t="s">
        <v>281</v>
      </c>
    </row>
    <row r="30" customHeight="1" spans="1:10">
      <c r="A30" s="125"/>
      <c r="B30" s="117"/>
      <c r="C30" s="117"/>
      <c r="D30" s="124"/>
      <c r="E30" s="126"/>
      <c r="F30" s="122"/>
      <c r="G30" s="143" t="s">
        <v>284</v>
      </c>
      <c r="H30" s="120">
        <v>1</v>
      </c>
      <c r="I30" s="118"/>
      <c r="J30" s="101" t="s">
        <v>285</v>
      </c>
    </row>
    <row r="31" customHeight="1" spans="1:10">
      <c r="A31" s="125"/>
      <c r="B31" s="117"/>
      <c r="C31" s="117"/>
      <c r="D31" s="124"/>
      <c r="E31" s="126"/>
      <c r="F31" s="122"/>
      <c r="G31" s="173"/>
      <c r="H31" s="120"/>
      <c r="I31" s="118"/>
      <c r="J31" s="144"/>
    </row>
    <row r="32" customHeight="1" spans="1:10">
      <c r="A32" s="127"/>
      <c r="B32" s="128"/>
      <c r="C32" s="128"/>
      <c r="D32" s="129"/>
      <c r="E32" s="130"/>
      <c r="F32" s="122"/>
      <c r="G32" s="125"/>
      <c r="H32" s="120"/>
      <c r="I32" s="131"/>
      <c r="J32" s="132"/>
    </row>
    <row r="33" customHeight="1" spans="1:10">
      <c r="A33" s="133" t="s">
        <v>55</v>
      </c>
      <c r="B33" s="134">
        <f>SUM(B6:B32)</f>
        <v>36</v>
      </c>
      <c r="C33" s="134">
        <f>SUM(C6:C32)</f>
        <v>10</v>
      </c>
      <c r="D33" s="134">
        <f>SUM(D6:D32)</f>
        <v>0</v>
      </c>
      <c r="E33" s="135"/>
      <c r="F33" s="122"/>
      <c r="G33" s="136"/>
      <c r="H33" s="134">
        <f>SUM(H6:H32)</f>
        <v>72</v>
      </c>
      <c r="I33" s="137"/>
      <c r="J33" s="138"/>
    </row>
    <row r="35" customHeight="1" spans="1:10">
      <c r="A35" s="17" t="s">
        <v>56</v>
      </c>
      <c r="B35" s="18"/>
      <c r="C35" s="18"/>
      <c r="D35" s="18"/>
      <c r="E35" s="19"/>
    </row>
    <row r="36" customHeight="1" spans="1:10">
      <c r="A36" s="24" t="s">
        <v>7</v>
      </c>
      <c r="B36" s="25" t="s">
        <v>57</v>
      </c>
      <c r="C36" s="26" t="s">
        <v>11</v>
      </c>
      <c r="D36" s="26" t="s">
        <v>10</v>
      </c>
      <c r="E36" s="27" t="s">
        <v>6</v>
      </c>
    </row>
    <row r="37" customHeight="1" spans="1:10">
      <c r="A37" s="150" t="s">
        <v>258</v>
      </c>
      <c r="B37" s="151">
        <v>46279</v>
      </c>
      <c r="C37" s="152">
        <v>2</v>
      </c>
      <c r="D37" s="152">
        <v>2</v>
      </c>
      <c r="E37" s="144" t="s">
        <v>336</v>
      </c>
    </row>
    <row r="38" customHeight="1" spans="1:10">
      <c r="A38" s="150" t="s">
        <v>261</v>
      </c>
      <c r="B38" s="151">
        <v>46279</v>
      </c>
      <c r="C38" s="152">
        <v>8</v>
      </c>
      <c r="D38" s="152">
        <v>8</v>
      </c>
      <c r="E38" s="144" t="s">
        <v>337</v>
      </c>
    </row>
    <row r="39" customHeight="1" spans="1:10">
      <c r="A39" s="150" t="s">
        <v>264</v>
      </c>
      <c r="B39" s="153">
        <v>46286</v>
      </c>
      <c r="C39" s="31">
        <v>8</v>
      </c>
      <c r="D39" s="31">
        <v>8</v>
      </c>
      <c r="E39" s="115" t="s">
        <v>338</v>
      </c>
    </row>
    <row r="40" customHeight="1" spans="1:10">
      <c r="A40" s="150" t="s">
        <v>267</v>
      </c>
      <c r="B40" s="153">
        <v>46288</v>
      </c>
      <c r="C40" s="31">
        <v>2</v>
      </c>
      <c r="D40" s="31">
        <v>2</v>
      </c>
      <c r="E40" s="126" t="s">
        <v>339</v>
      </c>
    </row>
    <row r="41" customHeight="1" spans="1:10">
      <c r="A41" s="114"/>
      <c r="B41" s="166"/>
      <c r="C41" s="152"/>
      <c r="D41" s="152"/>
      <c r="E41" s="115"/>
    </row>
    <row r="42" customHeight="1" spans="1:10">
      <c r="A42" s="150"/>
      <c r="B42" s="151"/>
      <c r="C42" s="152"/>
      <c r="D42" s="152"/>
      <c r="E42" s="144"/>
    </row>
    <row r="43" customHeight="1" spans="1:10">
      <c r="A43" s="45" t="s">
        <v>55</v>
      </c>
      <c r="B43" s="46"/>
      <c r="C43" s="46">
        <f>SUM(C37:C42)</f>
        <v>20</v>
      </c>
      <c r="D43" s="46">
        <f>SUM(D37:D42)</f>
        <v>20</v>
      </c>
      <c r="E43" s="47"/>
    </row>
  </sheetData>
  <mergeCells count="5">
    <mergeCell ref="A1:J1"/>
    <mergeCell ref="A4:D4"/>
    <mergeCell ref="G4:I4"/>
    <mergeCell ref="A35:D35"/>
    <mergeCell ref="J4:J5"/>
  </mergeCells>
  <pageMargins left="0.7" right="0.7" top="0.75" bottom="0.75" header="0.3" footer="0.3"/>
  <pageSetup paperSize="1" scale="42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0"/>
  <sheetViews>
    <sheetView zoomScale="40" zoomScaleNormal="40" topLeftCell="A7" workbookViewId="0">
      <selection activeCell="D24" sqref="D24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46303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265</v>
      </c>
      <c r="B6" s="109">
        <v>1</v>
      </c>
      <c r="C6" s="109"/>
      <c r="D6" s="110"/>
      <c r="E6" s="144" t="s">
        <v>340</v>
      </c>
      <c r="F6" s="102"/>
      <c r="G6" s="143" t="s">
        <v>265</v>
      </c>
      <c r="H6" s="109">
        <v>1</v>
      </c>
      <c r="I6" s="105"/>
      <c r="J6" s="144" t="s">
        <v>340</v>
      </c>
    </row>
    <row r="7" customHeight="1" spans="1:10">
      <c r="A7" s="149" t="s">
        <v>341</v>
      </c>
      <c r="B7" s="109">
        <v>8</v>
      </c>
      <c r="C7" s="109"/>
      <c r="D7" s="110"/>
      <c r="E7" s="101" t="s">
        <v>342</v>
      </c>
      <c r="F7" s="107"/>
      <c r="G7" s="169" t="s">
        <v>343</v>
      </c>
      <c r="H7" s="104">
        <v>18</v>
      </c>
      <c r="I7" s="105"/>
      <c r="J7" s="106" t="s">
        <v>344</v>
      </c>
    </row>
    <row r="8" customHeight="1" spans="1:10">
      <c r="A8" s="114" t="s">
        <v>345</v>
      </c>
      <c r="B8" s="109">
        <v>3</v>
      </c>
      <c r="C8" s="109"/>
      <c r="D8" s="110"/>
      <c r="E8" s="101" t="s">
        <v>346</v>
      </c>
      <c r="F8" s="107"/>
      <c r="G8" s="145" t="s">
        <v>347</v>
      </c>
      <c r="H8" s="146">
        <v>1</v>
      </c>
      <c r="I8" s="147"/>
      <c r="J8" s="148" t="s">
        <v>348</v>
      </c>
    </row>
    <row r="9" customHeight="1" spans="1:10">
      <c r="A9" s="114" t="s">
        <v>349</v>
      </c>
      <c r="B9" s="109">
        <v>1</v>
      </c>
      <c r="C9" s="109"/>
      <c r="D9" s="110"/>
      <c r="E9" s="115" t="s">
        <v>350</v>
      </c>
      <c r="F9" s="107"/>
      <c r="G9" s="108" t="s">
        <v>351</v>
      </c>
      <c r="H9" s="109">
        <v>1</v>
      </c>
      <c r="I9" s="110"/>
      <c r="J9" s="111" t="s">
        <v>352</v>
      </c>
    </row>
    <row r="10" customHeight="1" spans="1:10">
      <c r="A10" s="114" t="s">
        <v>343</v>
      </c>
      <c r="B10" s="109">
        <v>18</v>
      </c>
      <c r="C10" s="109"/>
      <c r="D10" s="110"/>
      <c r="E10" s="115" t="s">
        <v>344</v>
      </c>
      <c r="F10" s="107"/>
      <c r="G10" s="108" t="s">
        <v>353</v>
      </c>
      <c r="H10" s="109">
        <v>1</v>
      </c>
      <c r="I10" s="110"/>
      <c r="J10" s="112" t="s">
        <v>354</v>
      </c>
    </row>
    <row r="11" customHeight="1" spans="1:10">
      <c r="A11" s="114" t="s">
        <v>355</v>
      </c>
      <c r="B11" s="109">
        <v>3</v>
      </c>
      <c r="C11" s="109"/>
      <c r="D11" s="110"/>
      <c r="E11" s="115" t="s">
        <v>356</v>
      </c>
      <c r="F11" s="107"/>
      <c r="G11" s="108" t="s">
        <v>357</v>
      </c>
      <c r="H11" s="109">
        <v>5</v>
      </c>
      <c r="I11" s="110"/>
      <c r="J11" s="113" t="s">
        <v>358</v>
      </c>
    </row>
    <row r="12" customHeight="1" spans="1:10">
      <c r="A12" s="114" t="s">
        <v>347</v>
      </c>
      <c r="B12" s="109">
        <v>1</v>
      </c>
      <c r="C12" s="109"/>
      <c r="D12" s="110"/>
      <c r="E12" s="115" t="s">
        <v>348</v>
      </c>
      <c r="F12" s="107"/>
      <c r="G12" s="108" t="s">
        <v>359</v>
      </c>
      <c r="H12" s="109">
        <v>2</v>
      </c>
      <c r="I12" s="110"/>
      <c r="J12" s="113" t="s">
        <v>360</v>
      </c>
    </row>
    <row r="13" customHeight="1" spans="1:10">
      <c r="A13" s="114" t="s">
        <v>351</v>
      </c>
      <c r="B13" s="117">
        <v>1</v>
      </c>
      <c r="C13" s="117"/>
      <c r="D13" s="124"/>
      <c r="E13" s="115" t="s">
        <v>352</v>
      </c>
      <c r="F13" s="107"/>
      <c r="G13" s="119" t="s">
        <v>361</v>
      </c>
      <c r="H13" s="120">
        <v>11</v>
      </c>
      <c r="I13" s="118"/>
      <c r="J13" s="123" t="s">
        <v>362</v>
      </c>
    </row>
    <row r="14" customHeight="1" spans="1:10">
      <c r="A14" s="125" t="s">
        <v>363</v>
      </c>
      <c r="B14" s="117">
        <v>1</v>
      </c>
      <c r="C14" s="117"/>
      <c r="D14" s="124"/>
      <c r="E14" s="126" t="s">
        <v>364</v>
      </c>
      <c r="F14" s="160"/>
      <c r="G14" s="119" t="s">
        <v>365</v>
      </c>
      <c r="H14" s="120">
        <v>1</v>
      </c>
      <c r="I14" s="118"/>
      <c r="J14" s="121" t="s">
        <v>366</v>
      </c>
    </row>
    <row r="15" customHeight="1" spans="1:10">
      <c r="A15" s="125" t="s">
        <v>353</v>
      </c>
      <c r="B15" s="117">
        <v>1</v>
      </c>
      <c r="C15" s="117"/>
      <c r="D15" s="124"/>
      <c r="E15" s="126" t="s">
        <v>354</v>
      </c>
      <c r="F15" s="122"/>
      <c r="G15" s="119" t="s">
        <v>367</v>
      </c>
      <c r="H15" s="120">
        <v>2</v>
      </c>
      <c r="I15" s="118"/>
      <c r="J15" s="123" t="s">
        <v>368</v>
      </c>
    </row>
    <row r="16" customHeight="1" spans="1:10">
      <c r="A16" s="125" t="s">
        <v>359</v>
      </c>
      <c r="B16" s="117"/>
      <c r="C16" s="117">
        <v>2</v>
      </c>
      <c r="D16" s="124"/>
      <c r="E16" s="126" t="s">
        <v>360</v>
      </c>
      <c r="F16" s="122"/>
      <c r="G16" s="119" t="s">
        <v>268</v>
      </c>
      <c r="H16" s="120">
        <v>1</v>
      </c>
      <c r="I16" s="118"/>
      <c r="J16" s="123" t="s">
        <v>369</v>
      </c>
    </row>
    <row r="17" customHeight="1" spans="1:10">
      <c r="A17" s="125" t="s">
        <v>361</v>
      </c>
      <c r="B17" s="117"/>
      <c r="C17" s="117">
        <v>11</v>
      </c>
      <c r="D17" s="124"/>
      <c r="E17" s="126" t="s">
        <v>362</v>
      </c>
      <c r="F17" s="122"/>
      <c r="G17" s="119" t="s">
        <v>370</v>
      </c>
      <c r="H17" s="120">
        <v>2</v>
      </c>
      <c r="I17" s="118"/>
      <c r="J17" s="123" t="s">
        <v>371</v>
      </c>
    </row>
    <row r="18" customHeight="1" spans="1:10">
      <c r="A18" s="125" t="s">
        <v>365</v>
      </c>
      <c r="B18" s="117">
        <v>1</v>
      </c>
      <c r="C18" s="117"/>
      <c r="D18" s="124"/>
      <c r="E18" s="126" t="s">
        <v>366</v>
      </c>
      <c r="F18" s="122"/>
      <c r="G18" s="119" t="s">
        <v>372</v>
      </c>
      <c r="H18" s="120">
        <v>2</v>
      </c>
      <c r="I18" s="118"/>
      <c r="J18" s="123" t="s">
        <v>373</v>
      </c>
    </row>
    <row r="19" customHeight="1" spans="1:10">
      <c r="A19" s="125" t="s">
        <v>52</v>
      </c>
      <c r="B19" s="117">
        <v>20</v>
      </c>
      <c r="C19" s="117"/>
      <c r="D19" s="124"/>
      <c r="E19" s="126" t="s">
        <v>374</v>
      </c>
      <c r="F19" s="122"/>
      <c r="G19" s="125" t="s">
        <v>375</v>
      </c>
      <c r="H19" s="120">
        <v>126</v>
      </c>
      <c r="I19" s="118"/>
      <c r="J19" s="126" t="s">
        <v>376</v>
      </c>
    </row>
    <row r="20" customHeight="1" spans="1:10">
      <c r="A20" s="125" t="s">
        <v>331</v>
      </c>
      <c r="B20" s="117">
        <v>1</v>
      </c>
      <c r="C20" s="117"/>
      <c r="D20" s="124"/>
      <c r="E20" s="126" t="s">
        <v>377</v>
      </c>
      <c r="F20" s="122"/>
      <c r="G20" s="125" t="s">
        <v>378</v>
      </c>
      <c r="H20" s="120">
        <v>26</v>
      </c>
      <c r="I20" s="118"/>
      <c r="J20" s="126" t="s">
        <v>379</v>
      </c>
    </row>
    <row r="21" customHeight="1" spans="1:10">
      <c r="A21" s="125" t="s">
        <v>367</v>
      </c>
      <c r="B21" s="117">
        <v>2</v>
      </c>
      <c r="C21" s="117"/>
      <c r="D21" s="124"/>
      <c r="E21" s="126" t="s">
        <v>368</v>
      </c>
      <c r="F21" s="122"/>
      <c r="G21" s="114"/>
      <c r="H21" s="120"/>
      <c r="I21" s="118"/>
      <c r="J21" s="121"/>
    </row>
    <row r="22" customHeight="1" spans="1:10">
      <c r="A22" s="125" t="s">
        <v>268</v>
      </c>
      <c r="B22" s="117">
        <v>1</v>
      </c>
      <c r="C22" s="117"/>
      <c r="D22" s="124"/>
      <c r="E22" s="126" t="s">
        <v>369</v>
      </c>
      <c r="F22" s="122"/>
      <c r="G22" s="119"/>
      <c r="H22" s="120"/>
      <c r="I22" s="118"/>
      <c r="J22" s="123"/>
    </row>
    <row r="23" customHeight="1" spans="1:10">
      <c r="A23" s="125" t="s">
        <v>333</v>
      </c>
      <c r="B23" s="117">
        <v>2</v>
      </c>
      <c r="C23" s="117"/>
      <c r="D23" s="124"/>
      <c r="E23" s="126" t="s">
        <v>380</v>
      </c>
      <c r="F23" s="122"/>
      <c r="G23" s="143"/>
      <c r="H23" s="120"/>
      <c r="I23" s="118"/>
      <c r="J23" s="101"/>
    </row>
    <row r="24" customHeight="1" spans="1:10">
      <c r="A24" s="125" t="s">
        <v>333</v>
      </c>
      <c r="B24" s="117">
        <v>1</v>
      </c>
      <c r="C24" s="117"/>
      <c r="D24" s="124"/>
      <c r="E24" s="126" t="s">
        <v>381</v>
      </c>
      <c r="F24" s="122"/>
      <c r="G24" s="119"/>
      <c r="H24" s="120"/>
      <c r="I24" s="118"/>
      <c r="J24" s="123"/>
    </row>
    <row r="25" customHeight="1" spans="1:10">
      <c r="A25" s="125" t="s">
        <v>375</v>
      </c>
      <c r="B25" s="117">
        <v>126</v>
      </c>
      <c r="C25" s="117"/>
      <c r="D25" s="124"/>
      <c r="E25" s="126" t="s">
        <v>376</v>
      </c>
      <c r="F25" s="122"/>
      <c r="G25" s="119"/>
      <c r="H25" s="120"/>
      <c r="I25" s="118"/>
      <c r="J25" s="123"/>
    </row>
    <row r="26" customHeight="1" spans="1:10">
      <c r="A26" s="125" t="s">
        <v>378</v>
      </c>
      <c r="B26" s="117">
        <v>26</v>
      </c>
      <c r="C26" s="117"/>
      <c r="D26" s="124"/>
      <c r="E26" s="126"/>
      <c r="F26" s="122"/>
      <c r="G26" s="125"/>
      <c r="H26" s="117"/>
      <c r="I26" s="118"/>
      <c r="J26" s="123"/>
    </row>
    <row r="27" customHeight="1" spans="1:10">
      <c r="A27" s="125"/>
      <c r="B27" s="117"/>
      <c r="C27" s="117"/>
      <c r="D27" s="124"/>
      <c r="E27" s="126"/>
      <c r="F27" s="122"/>
      <c r="G27" s="143"/>
      <c r="H27" s="109"/>
      <c r="I27" s="118"/>
      <c r="J27" s="101"/>
    </row>
    <row r="28" customHeight="1" spans="1:10">
      <c r="A28" s="125"/>
      <c r="B28" s="117"/>
      <c r="C28" s="117"/>
      <c r="D28" s="124"/>
      <c r="E28" s="126"/>
      <c r="F28" s="122"/>
      <c r="G28" s="119"/>
      <c r="H28" s="120"/>
      <c r="I28" s="118"/>
      <c r="J28" s="123"/>
    </row>
    <row r="29" customHeight="1" spans="1:10">
      <c r="A29" s="127"/>
      <c r="B29" s="128"/>
      <c r="C29" s="128"/>
      <c r="D29" s="129"/>
      <c r="E29" s="130"/>
      <c r="F29" s="122"/>
      <c r="G29" s="125"/>
      <c r="H29" s="120"/>
      <c r="I29" s="131"/>
      <c r="J29" s="132"/>
    </row>
    <row r="30" customHeight="1" spans="1:10">
      <c r="A30" s="133" t="s">
        <v>55</v>
      </c>
      <c r="B30" s="134">
        <f>SUM(B6:B29)</f>
        <v>218</v>
      </c>
      <c r="C30" s="134">
        <f t="shared" ref="C30:H30" si="0">SUM(C6:C29)</f>
        <v>13</v>
      </c>
      <c r="D30" s="134">
        <f t="shared" si="0"/>
        <v>0</v>
      </c>
      <c r="E30" s="135"/>
      <c r="F30" s="122"/>
      <c r="G30" s="136"/>
      <c r="H30" s="134">
        <f t="shared" si="0"/>
        <v>200</v>
      </c>
      <c r="I30" s="137"/>
      <c r="J30" s="138"/>
    </row>
    <row r="32" customHeight="1" spans="1:10">
      <c r="A32" s="17" t="s">
        <v>56</v>
      </c>
      <c r="B32" s="18"/>
      <c r="C32" s="18"/>
      <c r="D32" s="18"/>
      <c r="E32" s="19"/>
    </row>
    <row r="33" customHeight="1" spans="1:5">
      <c r="A33" s="24" t="s">
        <v>7</v>
      </c>
      <c r="B33" s="25" t="s">
        <v>57</v>
      </c>
      <c r="C33" s="26" t="s">
        <v>11</v>
      </c>
      <c r="D33" s="26" t="s">
        <v>10</v>
      </c>
      <c r="E33" s="27" t="s">
        <v>6</v>
      </c>
    </row>
    <row r="34" customHeight="1" spans="1:5">
      <c r="A34" s="150" t="s">
        <v>258</v>
      </c>
      <c r="B34" s="151">
        <v>46279</v>
      </c>
      <c r="C34" s="152">
        <v>2</v>
      </c>
      <c r="D34" s="152">
        <v>2</v>
      </c>
      <c r="E34" s="144" t="s">
        <v>336</v>
      </c>
    </row>
    <row r="35" customHeight="1" spans="1:5">
      <c r="A35" s="150" t="s">
        <v>261</v>
      </c>
      <c r="B35" s="151">
        <v>46279</v>
      </c>
      <c r="C35" s="152">
        <v>8</v>
      </c>
      <c r="D35" s="152">
        <v>8</v>
      </c>
      <c r="E35" s="144" t="s">
        <v>337</v>
      </c>
    </row>
    <row r="36" customHeight="1" spans="1:5">
      <c r="A36" s="150" t="s">
        <v>264</v>
      </c>
      <c r="B36" s="153">
        <v>46286</v>
      </c>
      <c r="C36" s="31">
        <v>8</v>
      </c>
      <c r="D36" s="31">
        <v>8</v>
      </c>
      <c r="E36" s="115" t="s">
        <v>338</v>
      </c>
    </row>
    <row r="37" customHeight="1" spans="1:5">
      <c r="A37" s="150" t="s">
        <v>267</v>
      </c>
      <c r="B37" s="153">
        <v>46288</v>
      </c>
      <c r="C37" s="31">
        <v>2</v>
      </c>
      <c r="D37" s="31">
        <v>2</v>
      </c>
      <c r="E37" s="126" t="s">
        <v>339</v>
      </c>
    </row>
    <row r="38" customHeight="1" spans="1:5">
      <c r="A38" s="114"/>
      <c r="B38" s="166"/>
      <c r="C38" s="152"/>
      <c r="D38" s="152"/>
      <c r="E38" s="115"/>
    </row>
    <row r="39" customHeight="1" spans="1:5">
      <c r="A39" s="150"/>
      <c r="B39" s="151"/>
      <c r="C39" s="152"/>
      <c r="D39" s="152"/>
      <c r="E39" s="144"/>
    </row>
    <row r="40" customHeight="1" spans="1:5">
      <c r="A40" s="45" t="s">
        <v>55</v>
      </c>
      <c r="B40" s="46"/>
      <c r="C40" s="46">
        <f>SUM(C34:C39)</f>
        <v>20</v>
      </c>
      <c r="D40" s="46">
        <f>SUM(D34:D39)</f>
        <v>20</v>
      </c>
      <c r="E40" s="47"/>
    </row>
  </sheetData>
  <mergeCells count="5">
    <mergeCell ref="A1:J1"/>
    <mergeCell ref="A4:D4"/>
    <mergeCell ref="G4:I4"/>
    <mergeCell ref="A32:D32"/>
    <mergeCell ref="J4:J5"/>
  </mergeCells>
  <pageMargins left="0.7" right="0.7" top="0.75" bottom="0.75" header="0.3" footer="0.3"/>
  <pageSetup paperSize="1" scale="42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0"/>
  <sheetViews>
    <sheetView zoomScale="40" zoomScaleNormal="40" topLeftCell="A12" workbookViewId="0">
      <selection activeCell="A25" sqref="A25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46302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382</v>
      </c>
      <c r="B6" s="109"/>
      <c r="C6" s="109">
        <v>1</v>
      </c>
      <c r="D6" s="110"/>
      <c r="E6" s="144" t="s">
        <v>383</v>
      </c>
      <c r="F6" s="102"/>
      <c r="G6" s="103" t="s">
        <v>384</v>
      </c>
      <c r="H6" s="104">
        <v>1</v>
      </c>
      <c r="I6" s="105"/>
      <c r="J6" s="106" t="s">
        <v>385</v>
      </c>
    </row>
    <row r="7" customHeight="1" spans="1:10">
      <c r="A7" s="143" t="s">
        <v>386</v>
      </c>
      <c r="B7" s="109">
        <v>1</v>
      </c>
      <c r="C7" s="109"/>
      <c r="D7" s="110"/>
      <c r="E7" s="101" t="s">
        <v>387</v>
      </c>
      <c r="F7" s="107"/>
      <c r="G7" s="145" t="s">
        <v>329</v>
      </c>
      <c r="H7" s="146">
        <v>1</v>
      </c>
      <c r="I7" s="147"/>
      <c r="J7" s="148" t="s">
        <v>388</v>
      </c>
    </row>
    <row r="8" customHeight="1" spans="1:10">
      <c r="A8" s="143" t="s">
        <v>389</v>
      </c>
      <c r="B8" s="109"/>
      <c r="C8" s="109">
        <v>1</v>
      </c>
      <c r="D8" s="110"/>
      <c r="E8" s="115" t="s">
        <v>390</v>
      </c>
      <c r="F8" s="107"/>
      <c r="G8" s="108" t="s">
        <v>391</v>
      </c>
      <c r="H8" s="109">
        <v>1</v>
      </c>
      <c r="I8" s="110"/>
      <c r="J8" s="111" t="s">
        <v>392</v>
      </c>
    </row>
    <row r="9" customHeight="1" spans="1:10">
      <c r="A9" s="149" t="s">
        <v>384</v>
      </c>
      <c r="B9" s="109">
        <v>1</v>
      </c>
      <c r="C9" s="109"/>
      <c r="D9" s="110"/>
      <c r="E9" s="101" t="s">
        <v>385</v>
      </c>
      <c r="F9" s="107"/>
      <c r="G9" s="108" t="s">
        <v>393</v>
      </c>
      <c r="H9" s="109">
        <v>1</v>
      </c>
      <c r="I9" s="110"/>
      <c r="J9" s="112" t="s">
        <v>394</v>
      </c>
    </row>
    <row r="10" customHeight="1" spans="1:10">
      <c r="A10" s="114" t="s">
        <v>395</v>
      </c>
      <c r="B10" s="109">
        <v>2</v>
      </c>
      <c r="C10" s="109"/>
      <c r="D10" s="110"/>
      <c r="E10" s="101" t="s">
        <v>396</v>
      </c>
      <c r="F10" s="107"/>
      <c r="G10" s="108" t="s">
        <v>397</v>
      </c>
      <c r="H10" s="109">
        <v>6</v>
      </c>
      <c r="I10" s="110"/>
      <c r="J10" s="113" t="s">
        <v>398</v>
      </c>
    </row>
    <row r="11" customHeight="1" spans="1:10">
      <c r="A11" s="114" t="s">
        <v>329</v>
      </c>
      <c r="B11" s="109">
        <v>1</v>
      </c>
      <c r="C11" s="109"/>
      <c r="D11" s="110"/>
      <c r="E11" s="115" t="s">
        <v>388</v>
      </c>
      <c r="F11" s="107"/>
      <c r="G11" s="108" t="s">
        <v>399</v>
      </c>
      <c r="H11" s="109">
        <v>4</v>
      </c>
      <c r="I11" s="110"/>
      <c r="J11" s="113" t="s">
        <v>400</v>
      </c>
    </row>
    <row r="12" customHeight="1" spans="1:10">
      <c r="A12" s="114" t="s">
        <v>262</v>
      </c>
      <c r="B12" s="109">
        <v>8</v>
      </c>
      <c r="C12" s="109"/>
      <c r="D12" s="110"/>
      <c r="E12" s="115" t="s">
        <v>401</v>
      </c>
      <c r="F12" s="107"/>
      <c r="G12" s="119" t="s">
        <v>402</v>
      </c>
      <c r="H12" s="120">
        <v>1</v>
      </c>
      <c r="I12" s="118"/>
      <c r="J12" s="123" t="s">
        <v>403</v>
      </c>
    </row>
    <row r="13" customHeight="1" spans="1:10">
      <c r="A13" s="114" t="s">
        <v>404</v>
      </c>
      <c r="B13" s="109">
        <v>6</v>
      </c>
      <c r="C13" s="109"/>
      <c r="D13" s="110"/>
      <c r="E13" s="115" t="s">
        <v>405</v>
      </c>
      <c r="F13" s="107"/>
      <c r="G13" s="119" t="s">
        <v>262</v>
      </c>
      <c r="H13" s="120">
        <v>8</v>
      </c>
      <c r="I13" s="118"/>
      <c r="J13" s="121" t="s">
        <v>401</v>
      </c>
    </row>
    <row r="14" customHeight="1" spans="1:10">
      <c r="A14" s="114" t="s">
        <v>404</v>
      </c>
      <c r="B14" s="109">
        <v>5</v>
      </c>
      <c r="C14" s="109"/>
      <c r="D14" s="110"/>
      <c r="E14" s="115" t="s">
        <v>406</v>
      </c>
      <c r="F14" s="160"/>
      <c r="G14" s="119" t="s">
        <v>404</v>
      </c>
      <c r="H14" s="120">
        <v>6</v>
      </c>
      <c r="I14" s="118"/>
      <c r="J14" s="121" t="s">
        <v>405</v>
      </c>
    </row>
    <row r="15" customHeight="1" spans="1:10">
      <c r="A15" s="114" t="s">
        <v>407</v>
      </c>
      <c r="B15" s="117">
        <v>1</v>
      </c>
      <c r="C15" s="117"/>
      <c r="D15" s="124"/>
      <c r="E15" s="115" t="s">
        <v>406</v>
      </c>
      <c r="F15" s="122"/>
      <c r="G15" s="119" t="s">
        <v>408</v>
      </c>
      <c r="H15" s="120">
        <v>10</v>
      </c>
      <c r="I15" s="118"/>
      <c r="J15" s="123" t="s">
        <v>409</v>
      </c>
    </row>
    <row r="16" customHeight="1" spans="1:10">
      <c r="A16" s="125" t="s">
        <v>410</v>
      </c>
      <c r="B16" s="117">
        <v>3</v>
      </c>
      <c r="C16" s="117"/>
      <c r="D16" s="124"/>
      <c r="E16" s="126" t="s">
        <v>411</v>
      </c>
      <c r="F16" s="122"/>
      <c r="G16" s="119" t="s">
        <v>412</v>
      </c>
      <c r="H16" s="120">
        <v>1</v>
      </c>
      <c r="I16" s="118"/>
      <c r="J16" s="123" t="s">
        <v>413</v>
      </c>
    </row>
    <row r="17" customHeight="1" spans="1:10">
      <c r="A17" s="125" t="s">
        <v>410</v>
      </c>
      <c r="B17" s="117">
        <v>1</v>
      </c>
      <c r="C17" s="117"/>
      <c r="D17" s="124"/>
      <c r="E17" s="126" t="s">
        <v>414</v>
      </c>
      <c r="F17" s="122"/>
      <c r="G17" s="119" t="s">
        <v>415</v>
      </c>
      <c r="H17" s="120">
        <v>1</v>
      </c>
      <c r="I17" s="118"/>
      <c r="J17" s="123" t="s">
        <v>416</v>
      </c>
    </row>
    <row r="18" customHeight="1" spans="1:10">
      <c r="A18" s="125" t="s">
        <v>412</v>
      </c>
      <c r="B18" s="117"/>
      <c r="C18" s="117">
        <v>1</v>
      </c>
      <c r="D18" s="124"/>
      <c r="E18" s="126" t="s">
        <v>413</v>
      </c>
      <c r="F18" s="122"/>
      <c r="G18" s="125" t="s">
        <v>417</v>
      </c>
      <c r="H18" s="120">
        <v>3</v>
      </c>
      <c r="I18" s="118"/>
      <c r="J18" s="126" t="s">
        <v>418</v>
      </c>
    </row>
    <row r="19" customHeight="1" spans="1:10">
      <c r="A19" s="125" t="s">
        <v>419</v>
      </c>
      <c r="B19" s="117"/>
      <c r="C19" s="117">
        <v>1</v>
      </c>
      <c r="D19" s="124"/>
      <c r="E19" s="126" t="s">
        <v>420</v>
      </c>
      <c r="F19" s="122"/>
      <c r="G19" s="125" t="s">
        <v>421</v>
      </c>
      <c r="H19" s="120">
        <v>1</v>
      </c>
      <c r="I19" s="118"/>
      <c r="J19" s="126" t="s">
        <v>422</v>
      </c>
    </row>
    <row r="20" customHeight="1" spans="1:10">
      <c r="A20" s="125" t="s">
        <v>415</v>
      </c>
      <c r="B20" s="117">
        <v>1</v>
      </c>
      <c r="C20" s="117"/>
      <c r="D20" s="124"/>
      <c r="E20" s="126" t="s">
        <v>416</v>
      </c>
      <c r="F20" s="122"/>
      <c r="G20" s="125" t="s">
        <v>423</v>
      </c>
      <c r="H20" s="120">
        <v>18</v>
      </c>
      <c r="I20" s="118"/>
      <c r="J20" s="126" t="s">
        <v>424</v>
      </c>
    </row>
    <row r="21" customHeight="1" spans="1:10">
      <c r="A21" s="125" t="s">
        <v>215</v>
      </c>
      <c r="B21" s="117">
        <v>34</v>
      </c>
      <c r="C21" s="117"/>
      <c r="D21" s="124"/>
      <c r="E21" s="126" t="s">
        <v>425</v>
      </c>
      <c r="F21" s="122"/>
      <c r="G21" s="114" t="s">
        <v>426</v>
      </c>
      <c r="H21" s="120">
        <v>11</v>
      </c>
      <c r="I21" s="118"/>
      <c r="J21" s="121" t="s">
        <v>427</v>
      </c>
    </row>
    <row r="22" customHeight="1" spans="1:10">
      <c r="A22" s="125" t="s">
        <v>428</v>
      </c>
      <c r="B22" s="117"/>
      <c r="C22" s="117">
        <v>1</v>
      </c>
      <c r="D22" s="124"/>
      <c r="E22" s="126" t="s">
        <v>429</v>
      </c>
      <c r="F22" s="122"/>
      <c r="G22" s="119" t="s">
        <v>430</v>
      </c>
      <c r="H22" s="120">
        <v>1</v>
      </c>
      <c r="I22" s="118"/>
      <c r="J22" s="123" t="s">
        <v>431</v>
      </c>
    </row>
    <row r="23" customHeight="1" spans="1:10">
      <c r="A23" s="125" t="s">
        <v>417</v>
      </c>
      <c r="B23" s="117"/>
      <c r="C23" s="117">
        <v>3</v>
      </c>
      <c r="D23" s="124"/>
      <c r="E23" s="126" t="s">
        <v>418</v>
      </c>
      <c r="F23" s="122"/>
      <c r="G23" s="143" t="s">
        <v>386</v>
      </c>
      <c r="H23" s="120">
        <v>1</v>
      </c>
      <c r="I23" s="118"/>
      <c r="J23" s="101" t="s">
        <v>387</v>
      </c>
    </row>
    <row r="24" customHeight="1" spans="1:10">
      <c r="A24" s="125" t="s">
        <v>421</v>
      </c>
      <c r="B24" s="117"/>
      <c r="C24" s="117">
        <v>1</v>
      </c>
      <c r="D24" s="124"/>
      <c r="E24" s="126" t="s">
        <v>422</v>
      </c>
      <c r="F24" s="122"/>
      <c r="G24" s="119"/>
      <c r="H24" s="120"/>
      <c r="I24" s="118"/>
      <c r="J24" s="123"/>
    </row>
    <row r="25" customHeight="1" spans="1:10">
      <c r="A25" s="125" t="s">
        <v>423</v>
      </c>
      <c r="B25" s="117">
        <v>18</v>
      </c>
      <c r="C25" s="117"/>
      <c r="D25" s="124"/>
      <c r="E25" s="126" t="s">
        <v>424</v>
      </c>
      <c r="F25" s="122"/>
      <c r="G25" s="119"/>
      <c r="H25" s="120"/>
      <c r="I25" s="118"/>
      <c r="J25" s="123"/>
    </row>
    <row r="26" customHeight="1" spans="1:10">
      <c r="A26" s="125"/>
      <c r="B26" s="117"/>
      <c r="C26" s="117"/>
      <c r="D26" s="124"/>
      <c r="E26" s="126"/>
      <c r="F26" s="122"/>
      <c r="G26" s="125"/>
      <c r="H26" s="117"/>
      <c r="I26" s="118"/>
      <c r="J26" s="123"/>
    </row>
    <row r="27" customHeight="1" spans="1:10">
      <c r="A27" s="125"/>
      <c r="B27" s="117"/>
      <c r="C27" s="117"/>
      <c r="D27" s="124"/>
      <c r="E27" s="126"/>
      <c r="F27" s="122"/>
      <c r="G27" s="143"/>
      <c r="H27" s="109"/>
      <c r="I27" s="118"/>
      <c r="J27" s="101"/>
    </row>
    <row r="28" customHeight="1" spans="1:10">
      <c r="A28" s="125"/>
      <c r="B28" s="117"/>
      <c r="C28" s="117"/>
      <c r="D28" s="124"/>
      <c r="E28" s="126"/>
      <c r="F28" s="122"/>
      <c r="G28" s="119"/>
      <c r="H28" s="120"/>
      <c r="I28" s="118"/>
      <c r="J28" s="123"/>
    </row>
    <row r="29" customHeight="1" spans="1:10">
      <c r="A29" s="127"/>
      <c r="B29" s="128"/>
      <c r="C29" s="128"/>
      <c r="D29" s="129"/>
      <c r="E29" s="130"/>
      <c r="F29" s="122"/>
      <c r="G29" s="125"/>
      <c r="H29" s="120"/>
      <c r="I29" s="131"/>
      <c r="J29" s="132"/>
    </row>
    <row r="30" customHeight="1" spans="1:10">
      <c r="A30" s="133" t="s">
        <v>55</v>
      </c>
      <c r="B30" s="134">
        <f>SUM(B6:B29)</f>
        <v>82</v>
      </c>
      <c r="C30" s="134">
        <f>SUM(C6:C29)</f>
        <v>9</v>
      </c>
      <c r="D30" s="134">
        <f>SUM(D6:D29)</f>
        <v>0</v>
      </c>
      <c r="E30" s="135"/>
      <c r="F30" s="122"/>
      <c r="G30" s="136"/>
      <c r="H30" s="134">
        <f>SUM(H6:H29)</f>
        <v>76</v>
      </c>
      <c r="I30" s="137"/>
      <c r="J30" s="138"/>
    </row>
    <row r="32" customHeight="1" spans="1:10">
      <c r="A32" s="17" t="s">
        <v>56</v>
      </c>
      <c r="B32" s="18"/>
      <c r="C32" s="18"/>
      <c r="D32" s="18"/>
      <c r="E32" s="19"/>
    </row>
    <row r="33" customHeight="1" spans="1:5">
      <c r="A33" s="24" t="s">
        <v>7</v>
      </c>
      <c r="B33" s="25" t="s">
        <v>57</v>
      </c>
      <c r="C33" s="26" t="s">
        <v>11</v>
      </c>
      <c r="D33" s="26" t="s">
        <v>10</v>
      </c>
      <c r="E33" s="27" t="s">
        <v>6</v>
      </c>
    </row>
    <row r="34" customHeight="1" spans="1:5">
      <c r="A34" s="150" t="s">
        <v>258</v>
      </c>
      <c r="B34" s="151">
        <v>46279</v>
      </c>
      <c r="C34" s="152">
        <v>2</v>
      </c>
      <c r="D34" s="152">
        <v>2</v>
      </c>
      <c r="E34" s="144" t="s">
        <v>336</v>
      </c>
    </row>
    <row r="35" customHeight="1" spans="1:5">
      <c r="A35" s="150" t="s">
        <v>261</v>
      </c>
      <c r="B35" s="151">
        <v>46279</v>
      </c>
      <c r="C35" s="152">
        <v>8</v>
      </c>
      <c r="D35" s="152">
        <v>8</v>
      </c>
      <c r="E35" s="144" t="s">
        <v>337</v>
      </c>
    </row>
    <row r="36" customHeight="1" spans="1:5">
      <c r="A36" s="150" t="s">
        <v>264</v>
      </c>
      <c r="B36" s="153">
        <v>46286</v>
      </c>
      <c r="C36" s="31">
        <v>8</v>
      </c>
      <c r="D36" s="31">
        <v>8</v>
      </c>
      <c r="E36" s="115" t="s">
        <v>338</v>
      </c>
    </row>
    <row r="37" customHeight="1" spans="1:5">
      <c r="A37" s="150" t="s">
        <v>267</v>
      </c>
      <c r="B37" s="153">
        <v>46288</v>
      </c>
      <c r="C37" s="31">
        <v>2</v>
      </c>
      <c r="D37" s="31">
        <v>2</v>
      </c>
      <c r="E37" s="126" t="s">
        <v>339</v>
      </c>
    </row>
    <row r="38" customHeight="1" spans="1:5">
      <c r="A38" s="114"/>
      <c r="B38" s="166"/>
      <c r="C38" s="152"/>
      <c r="D38" s="152"/>
      <c r="E38" s="115"/>
    </row>
    <row r="39" customHeight="1" spans="1:5">
      <c r="A39" s="150"/>
      <c r="B39" s="151"/>
      <c r="C39" s="152"/>
      <c r="D39" s="152"/>
      <c r="E39" s="144"/>
    </row>
    <row r="40" customHeight="1" spans="1:5">
      <c r="A40" s="45" t="s">
        <v>55</v>
      </c>
      <c r="B40" s="46"/>
      <c r="C40" s="46">
        <f>SUM(C34:C39)</f>
        <v>20</v>
      </c>
      <c r="D40" s="46">
        <f>SUM(D34:D39)</f>
        <v>20</v>
      </c>
      <c r="E40" s="47"/>
    </row>
  </sheetData>
  <mergeCells count="5">
    <mergeCell ref="A1:J1"/>
    <mergeCell ref="A4:D4"/>
    <mergeCell ref="G4:I4"/>
    <mergeCell ref="A32:D32"/>
    <mergeCell ref="J4:J5"/>
  </mergeCells>
  <pageMargins left="0.7" right="0.7" top="0.75" bottom="0.75" header="0.3" footer="0.3"/>
  <pageSetup paperSize="1" scale="42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8"/>
  <sheetViews>
    <sheetView zoomScale="40" zoomScaleNormal="40" topLeftCell="A22" workbookViewId="0">
      <selection activeCell="P16" sqref="P16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46301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432</v>
      </c>
      <c r="B6" s="109">
        <v>28</v>
      </c>
      <c r="C6" s="109"/>
      <c r="D6" s="110"/>
      <c r="E6" s="144" t="s">
        <v>433</v>
      </c>
      <c r="F6" s="102"/>
      <c r="G6" s="143" t="s">
        <v>432</v>
      </c>
      <c r="H6" s="109">
        <v>28</v>
      </c>
      <c r="I6" s="105"/>
      <c r="J6" s="106" t="s">
        <v>434</v>
      </c>
    </row>
    <row r="7" customHeight="1" spans="1:10">
      <c r="A7" s="143" t="s">
        <v>435</v>
      </c>
      <c r="B7" s="109">
        <v>8</v>
      </c>
      <c r="C7" s="109"/>
      <c r="D7" s="110"/>
      <c r="E7" s="101" t="s">
        <v>436</v>
      </c>
      <c r="F7" s="107"/>
      <c r="G7" s="103" t="s">
        <v>437</v>
      </c>
      <c r="H7" s="104">
        <v>1</v>
      </c>
      <c r="I7" s="105"/>
      <c r="J7" s="106" t="s">
        <v>438</v>
      </c>
    </row>
    <row r="8" customHeight="1" spans="1:10">
      <c r="A8" s="114" t="s">
        <v>439</v>
      </c>
      <c r="B8" s="109"/>
      <c r="C8" s="109">
        <v>1</v>
      </c>
      <c r="D8" s="110"/>
      <c r="E8" s="115" t="s">
        <v>440</v>
      </c>
      <c r="F8" s="107"/>
      <c r="G8" s="145" t="s">
        <v>441</v>
      </c>
      <c r="H8" s="146">
        <v>1</v>
      </c>
      <c r="I8" s="147"/>
      <c r="J8" s="148" t="s">
        <v>442</v>
      </c>
    </row>
    <row r="9" customHeight="1" spans="1:10">
      <c r="A9" s="114" t="s">
        <v>443</v>
      </c>
      <c r="B9" s="109"/>
      <c r="C9" s="109">
        <v>1</v>
      </c>
      <c r="D9" s="110"/>
      <c r="E9" s="115" t="s">
        <v>444</v>
      </c>
      <c r="F9" s="107"/>
      <c r="G9" s="108" t="s">
        <v>445</v>
      </c>
      <c r="H9" s="109">
        <v>1</v>
      </c>
      <c r="I9" s="110"/>
      <c r="J9" s="111" t="s">
        <v>446</v>
      </c>
    </row>
    <row r="10" customHeight="1" spans="1:10">
      <c r="A10" s="114" t="s">
        <v>447</v>
      </c>
      <c r="B10" s="109"/>
      <c r="C10" s="109">
        <v>1</v>
      </c>
      <c r="D10" s="110"/>
      <c r="E10" s="115" t="s">
        <v>448</v>
      </c>
      <c r="F10" s="107"/>
      <c r="G10" s="108" t="s">
        <v>449</v>
      </c>
      <c r="H10" s="109">
        <v>1</v>
      </c>
      <c r="I10" s="110"/>
      <c r="J10" s="112" t="s">
        <v>450</v>
      </c>
    </row>
    <row r="11" customHeight="1" spans="1:10">
      <c r="A11" s="119" t="s">
        <v>229</v>
      </c>
      <c r="B11" s="109">
        <v>11</v>
      </c>
      <c r="C11" s="109"/>
      <c r="D11" s="110"/>
      <c r="E11" s="101" t="s">
        <v>451</v>
      </c>
      <c r="F11" s="107"/>
      <c r="G11" s="108" t="s">
        <v>452</v>
      </c>
      <c r="H11" s="109">
        <v>18</v>
      </c>
      <c r="I11" s="110"/>
      <c r="J11" s="113" t="s">
        <v>453</v>
      </c>
    </row>
    <row r="12" customHeight="1" spans="1:10">
      <c r="A12" s="114" t="s">
        <v>454</v>
      </c>
      <c r="B12" s="109"/>
      <c r="C12" s="109">
        <v>1</v>
      </c>
      <c r="D12" s="110"/>
      <c r="E12" s="115" t="s">
        <v>455</v>
      </c>
      <c r="F12" s="107"/>
      <c r="G12" s="108" t="s">
        <v>456</v>
      </c>
      <c r="H12" s="109">
        <v>1</v>
      </c>
      <c r="I12" s="110"/>
      <c r="J12" s="113" t="s">
        <v>457</v>
      </c>
    </row>
    <row r="13" customHeight="1" spans="1:10">
      <c r="A13" s="167" t="s">
        <v>437</v>
      </c>
      <c r="B13" s="109"/>
      <c r="C13" s="109">
        <v>1</v>
      </c>
      <c r="D13" s="110"/>
      <c r="E13" s="168" t="s">
        <v>438</v>
      </c>
      <c r="F13" s="107"/>
      <c r="G13" s="119" t="s">
        <v>458</v>
      </c>
      <c r="H13" s="120">
        <v>65</v>
      </c>
      <c r="I13" s="118"/>
      <c r="J13" s="123" t="s">
        <v>459</v>
      </c>
    </row>
    <row r="14" customHeight="1" spans="1:10">
      <c r="A14" s="169" t="s">
        <v>460</v>
      </c>
      <c r="B14" s="109">
        <v>1</v>
      </c>
      <c r="C14" s="109"/>
      <c r="D14" s="110"/>
      <c r="E14" s="168" t="s">
        <v>461</v>
      </c>
      <c r="F14" s="160"/>
      <c r="G14" s="119" t="s">
        <v>462</v>
      </c>
      <c r="H14" s="120">
        <v>1</v>
      </c>
      <c r="I14" s="118"/>
      <c r="J14" s="121" t="s">
        <v>463</v>
      </c>
    </row>
    <row r="15" customHeight="1" spans="1:10">
      <c r="A15" s="169" t="s">
        <v>441</v>
      </c>
      <c r="B15" s="109">
        <v>1</v>
      </c>
      <c r="C15" s="109"/>
      <c r="D15" s="110"/>
      <c r="E15" s="170" t="s">
        <v>442</v>
      </c>
      <c r="F15" s="122"/>
      <c r="G15" s="119" t="s">
        <v>464</v>
      </c>
      <c r="H15" s="120">
        <v>1</v>
      </c>
      <c r="I15" s="118"/>
      <c r="J15" s="121" t="s">
        <v>465</v>
      </c>
    </row>
    <row r="16" customHeight="1" spans="1:10">
      <c r="A16" s="116" t="s">
        <v>282</v>
      </c>
      <c r="B16" s="109">
        <v>3</v>
      </c>
      <c r="C16" s="109"/>
      <c r="D16" s="110"/>
      <c r="E16" s="170" t="s">
        <v>466</v>
      </c>
      <c r="F16" s="122"/>
      <c r="G16" s="119" t="s">
        <v>467</v>
      </c>
      <c r="H16" s="120">
        <v>21</v>
      </c>
      <c r="I16" s="118"/>
      <c r="J16" s="123" t="s">
        <v>468</v>
      </c>
    </row>
    <row r="17" customHeight="1" spans="1:10">
      <c r="A17" s="116" t="s">
        <v>456</v>
      </c>
      <c r="B17" s="109">
        <v>1</v>
      </c>
      <c r="C17" s="109"/>
      <c r="D17" s="110"/>
      <c r="E17" s="170" t="s">
        <v>457</v>
      </c>
      <c r="F17" s="122"/>
      <c r="G17" s="119" t="s">
        <v>469</v>
      </c>
      <c r="H17" s="120">
        <v>1</v>
      </c>
      <c r="I17" s="118"/>
      <c r="J17" s="123" t="s">
        <v>470</v>
      </c>
    </row>
    <row r="18" customHeight="1" spans="1:10">
      <c r="A18" s="116" t="s">
        <v>471</v>
      </c>
      <c r="B18" s="109"/>
      <c r="C18" s="109">
        <v>1</v>
      </c>
      <c r="D18" s="110"/>
      <c r="E18" s="170" t="s">
        <v>472</v>
      </c>
      <c r="F18" s="122"/>
      <c r="G18" s="119" t="s">
        <v>473</v>
      </c>
      <c r="H18" s="120">
        <v>13</v>
      </c>
      <c r="I18" s="118"/>
      <c r="J18" s="123" t="s">
        <v>474</v>
      </c>
    </row>
    <row r="19" customHeight="1" spans="1:10">
      <c r="A19" s="116" t="s">
        <v>475</v>
      </c>
      <c r="B19" s="117">
        <v>1</v>
      </c>
      <c r="C19" s="117"/>
      <c r="D19" s="124"/>
      <c r="E19" s="170" t="s">
        <v>476</v>
      </c>
      <c r="F19" s="122"/>
      <c r="G19" s="119" t="s">
        <v>28</v>
      </c>
      <c r="H19" s="120">
        <v>3</v>
      </c>
      <c r="I19" s="118"/>
      <c r="J19" s="123" t="s">
        <v>477</v>
      </c>
    </row>
    <row r="20" customHeight="1" spans="1:10">
      <c r="A20" s="171" t="s">
        <v>462</v>
      </c>
      <c r="B20" s="117">
        <v>1</v>
      </c>
      <c r="C20" s="117"/>
      <c r="D20" s="124"/>
      <c r="E20" s="172" t="s">
        <v>463</v>
      </c>
      <c r="F20" s="122"/>
      <c r="G20" s="119" t="s">
        <v>478</v>
      </c>
      <c r="H20" s="120">
        <v>58</v>
      </c>
      <c r="I20" s="118"/>
      <c r="J20" s="123" t="s">
        <v>479</v>
      </c>
    </row>
    <row r="21" customHeight="1" spans="1:10">
      <c r="A21" s="171" t="s">
        <v>464</v>
      </c>
      <c r="B21" s="117">
        <v>1</v>
      </c>
      <c r="C21" s="117"/>
      <c r="D21" s="124"/>
      <c r="E21" s="172" t="s">
        <v>465</v>
      </c>
      <c r="F21" s="122"/>
      <c r="G21" s="119" t="s">
        <v>480</v>
      </c>
      <c r="H21" s="120">
        <v>68</v>
      </c>
      <c r="I21" s="118"/>
      <c r="J21" s="123" t="s">
        <v>481</v>
      </c>
    </row>
    <row r="22" customHeight="1" spans="1:10">
      <c r="A22" s="171" t="s">
        <v>467</v>
      </c>
      <c r="B22" s="117">
        <v>21</v>
      </c>
      <c r="C22" s="117"/>
      <c r="D22" s="124"/>
      <c r="E22" s="172" t="s">
        <v>468</v>
      </c>
      <c r="F22" s="122"/>
      <c r="G22" s="119" t="s">
        <v>482</v>
      </c>
      <c r="H22" s="120">
        <v>1</v>
      </c>
      <c r="I22" s="118"/>
      <c r="J22" s="123" t="s">
        <v>483</v>
      </c>
    </row>
    <row r="23" customHeight="1" spans="1:10">
      <c r="A23" s="171" t="s">
        <v>469</v>
      </c>
      <c r="B23" s="117">
        <v>1</v>
      </c>
      <c r="C23" s="117"/>
      <c r="D23" s="124"/>
      <c r="E23" s="172" t="s">
        <v>470</v>
      </c>
      <c r="F23" s="122"/>
      <c r="G23" s="119" t="s">
        <v>484</v>
      </c>
      <c r="H23" s="120">
        <v>4</v>
      </c>
      <c r="I23" s="118"/>
      <c r="J23" s="123" t="s">
        <v>485</v>
      </c>
    </row>
    <row r="24" customHeight="1" spans="1:10">
      <c r="A24" s="171" t="s">
        <v>103</v>
      </c>
      <c r="B24" s="117"/>
      <c r="C24" s="117">
        <v>1</v>
      </c>
      <c r="D24" s="124"/>
      <c r="E24" s="172" t="s">
        <v>486</v>
      </c>
      <c r="F24" s="122"/>
      <c r="G24" s="119" t="s">
        <v>487</v>
      </c>
      <c r="H24" s="120">
        <v>2</v>
      </c>
      <c r="I24" s="118"/>
      <c r="J24" s="123" t="s">
        <v>488</v>
      </c>
    </row>
    <row r="25" customHeight="1" spans="1:10">
      <c r="A25" s="171" t="s">
        <v>478</v>
      </c>
      <c r="B25" s="117">
        <v>58</v>
      </c>
      <c r="C25" s="117"/>
      <c r="D25" s="124"/>
      <c r="E25" s="172" t="s">
        <v>479</v>
      </c>
      <c r="F25" s="122"/>
      <c r="G25" s="119" t="s">
        <v>489</v>
      </c>
      <c r="H25" s="120">
        <v>2</v>
      </c>
      <c r="I25" s="118"/>
      <c r="J25" s="123" t="s">
        <v>490</v>
      </c>
    </row>
    <row r="26" customHeight="1" spans="1:10">
      <c r="A26" s="171" t="s">
        <v>491</v>
      </c>
      <c r="B26" s="117"/>
      <c r="C26" s="117">
        <v>1</v>
      </c>
      <c r="D26" s="124"/>
      <c r="E26" s="172" t="s">
        <v>492</v>
      </c>
      <c r="F26" s="122"/>
      <c r="G26" s="125" t="s">
        <v>493</v>
      </c>
      <c r="H26" s="117">
        <v>2</v>
      </c>
      <c r="I26" s="118"/>
      <c r="J26" s="123" t="s">
        <v>494</v>
      </c>
    </row>
    <row r="27" customHeight="1" spans="1:10">
      <c r="A27" s="171" t="s">
        <v>480</v>
      </c>
      <c r="B27" s="117">
        <v>68</v>
      </c>
      <c r="C27" s="117"/>
      <c r="D27" s="124"/>
      <c r="E27" s="172" t="s">
        <v>481</v>
      </c>
      <c r="F27" s="122"/>
      <c r="G27" s="143" t="s">
        <v>435</v>
      </c>
      <c r="H27" s="109">
        <v>8</v>
      </c>
      <c r="I27" s="118"/>
      <c r="J27" s="101" t="s">
        <v>436</v>
      </c>
    </row>
    <row r="28" customHeight="1" spans="1:10">
      <c r="A28" s="125" t="s">
        <v>493</v>
      </c>
      <c r="B28" s="117">
        <v>2</v>
      </c>
      <c r="C28" s="117"/>
      <c r="D28" s="124"/>
      <c r="E28" s="126" t="s">
        <v>494</v>
      </c>
      <c r="F28" s="122"/>
      <c r="G28" s="114" t="s">
        <v>454</v>
      </c>
      <c r="H28" s="120">
        <v>1</v>
      </c>
      <c r="I28" s="118"/>
      <c r="J28" s="115" t="s">
        <v>455</v>
      </c>
    </row>
    <row r="29" customHeight="1" spans="1:10">
      <c r="A29" s="125"/>
      <c r="B29" s="117"/>
      <c r="C29" s="117"/>
      <c r="D29" s="124"/>
      <c r="E29" s="126"/>
      <c r="F29" s="122"/>
      <c r="G29" s="119"/>
      <c r="H29" s="120"/>
      <c r="I29" s="118"/>
      <c r="J29" s="123"/>
    </row>
    <row r="30" customHeight="1" spans="1:10">
      <c r="A30" s="125"/>
      <c r="B30" s="117"/>
      <c r="C30" s="117"/>
      <c r="D30" s="124"/>
      <c r="E30" s="126"/>
      <c r="F30" s="122"/>
      <c r="G30" s="119"/>
      <c r="H30" s="120"/>
      <c r="I30" s="118"/>
      <c r="J30" s="123"/>
    </row>
    <row r="31" customHeight="1" spans="1:10">
      <c r="A31" s="125"/>
      <c r="B31" s="117"/>
      <c r="C31" s="117"/>
      <c r="D31" s="124"/>
      <c r="E31" s="126"/>
      <c r="F31" s="122"/>
      <c r="G31" s="119"/>
      <c r="H31" s="120"/>
      <c r="I31" s="118"/>
      <c r="J31" s="123"/>
    </row>
    <row r="32" customHeight="1" spans="1:10">
      <c r="A32" s="125"/>
      <c r="B32" s="117"/>
      <c r="C32" s="117"/>
      <c r="D32" s="124"/>
      <c r="E32" s="126"/>
      <c r="F32" s="122"/>
      <c r="G32" s="119"/>
      <c r="H32" s="120"/>
      <c r="I32" s="118"/>
      <c r="J32" s="123"/>
    </row>
    <row r="33" customHeight="1" spans="1:10">
      <c r="A33" s="127"/>
      <c r="B33" s="128"/>
      <c r="C33" s="128"/>
      <c r="D33" s="129"/>
      <c r="E33" s="130"/>
      <c r="F33" s="122"/>
      <c r="G33" s="125"/>
      <c r="H33" s="120"/>
      <c r="I33" s="131"/>
      <c r="J33" s="132"/>
    </row>
    <row r="34" customHeight="1" spans="1:10">
      <c r="A34" s="133" t="s">
        <v>55</v>
      </c>
      <c r="B34" s="134">
        <f>SUM(B6:B33)</f>
        <v>206</v>
      </c>
      <c r="C34" s="134">
        <f>SUM(C6:C33)</f>
        <v>8</v>
      </c>
      <c r="D34" s="134">
        <f>SUM(D6:D33)</f>
        <v>0</v>
      </c>
      <c r="E34" s="135"/>
      <c r="F34" s="122"/>
      <c r="G34" s="136"/>
      <c r="H34" s="134">
        <f>SUM(H6:H33)</f>
        <v>302</v>
      </c>
      <c r="I34" s="137"/>
      <c r="J34" s="138"/>
    </row>
    <row r="36" customHeight="1" spans="1:10">
      <c r="A36" s="17" t="s">
        <v>56</v>
      </c>
      <c r="B36" s="18"/>
      <c r="C36" s="18"/>
      <c r="D36" s="18"/>
      <c r="E36" s="19"/>
    </row>
    <row r="37" customHeight="1" spans="1:10">
      <c r="A37" s="24" t="s">
        <v>7</v>
      </c>
      <c r="B37" s="25" t="s">
        <v>57</v>
      </c>
      <c r="C37" s="26" t="s">
        <v>11</v>
      </c>
      <c r="D37" s="26" t="s">
        <v>10</v>
      </c>
      <c r="E37" s="27" t="s">
        <v>6</v>
      </c>
    </row>
    <row r="38" customHeight="1" spans="1:10">
      <c r="A38" s="150" t="s">
        <v>258</v>
      </c>
      <c r="B38" s="151">
        <v>46279</v>
      </c>
      <c r="C38" s="152">
        <v>2</v>
      </c>
      <c r="D38" s="152">
        <v>2</v>
      </c>
      <c r="E38" s="144" t="s">
        <v>336</v>
      </c>
    </row>
    <row r="39" customHeight="1" spans="1:10">
      <c r="A39" s="150" t="s">
        <v>261</v>
      </c>
      <c r="B39" s="151">
        <v>46279</v>
      </c>
      <c r="C39" s="152">
        <v>8</v>
      </c>
      <c r="D39" s="152">
        <v>8</v>
      </c>
      <c r="E39" s="144" t="s">
        <v>337</v>
      </c>
    </row>
    <row r="40" customHeight="1" spans="1:10">
      <c r="A40" s="150" t="s">
        <v>264</v>
      </c>
      <c r="B40" s="153">
        <v>46286</v>
      </c>
      <c r="C40" s="31">
        <v>8</v>
      </c>
      <c r="D40" s="31">
        <v>8</v>
      </c>
      <c r="E40" s="115" t="s">
        <v>338</v>
      </c>
    </row>
    <row r="41" customHeight="1" spans="1:10">
      <c r="A41" s="150" t="s">
        <v>267</v>
      </c>
      <c r="B41" s="153">
        <v>46288</v>
      </c>
      <c r="C41" s="31">
        <v>2</v>
      </c>
      <c r="D41" s="31">
        <v>2</v>
      </c>
      <c r="E41" s="126" t="s">
        <v>339</v>
      </c>
    </row>
    <row r="42" customHeight="1" spans="1:10">
      <c r="A42" s="114" t="s">
        <v>426</v>
      </c>
      <c r="B42" s="166">
        <v>46295</v>
      </c>
      <c r="C42" s="152">
        <v>11</v>
      </c>
      <c r="D42" s="152">
        <v>11</v>
      </c>
      <c r="E42" s="115" t="s">
        <v>427</v>
      </c>
    </row>
    <row r="43" customHeight="1" spans="1:10">
      <c r="A43" s="114" t="s">
        <v>495</v>
      </c>
      <c r="B43" s="166">
        <v>46296</v>
      </c>
      <c r="C43" s="152">
        <v>1</v>
      </c>
      <c r="D43" s="152">
        <v>1</v>
      </c>
      <c r="E43" s="115" t="s">
        <v>496</v>
      </c>
    </row>
    <row r="44" customHeight="1" spans="1:10">
      <c r="A44" s="125" t="s">
        <v>430</v>
      </c>
      <c r="B44" s="166">
        <v>46296</v>
      </c>
      <c r="C44" s="152">
        <v>1</v>
      </c>
      <c r="D44" s="152">
        <v>1</v>
      </c>
      <c r="E44" s="126" t="s">
        <v>497</v>
      </c>
    </row>
    <row r="45" customHeight="1" spans="1:10">
      <c r="A45" s="125" t="s">
        <v>498</v>
      </c>
      <c r="B45" s="166">
        <v>46296</v>
      </c>
      <c r="C45" s="152">
        <v>3</v>
      </c>
      <c r="D45" s="152">
        <v>3</v>
      </c>
      <c r="E45" s="126" t="s">
        <v>499</v>
      </c>
    </row>
    <row r="46" customHeight="1" spans="1:10">
      <c r="A46" s="125"/>
      <c r="B46" s="153"/>
      <c r="C46" s="152"/>
      <c r="D46" s="152"/>
      <c r="E46" s="126"/>
    </row>
    <row r="47" customHeight="1" spans="1:10">
      <c r="A47" s="150"/>
      <c r="B47" s="151"/>
      <c r="C47" s="152"/>
      <c r="D47" s="152"/>
      <c r="E47" s="144"/>
    </row>
    <row r="48" customHeight="1" spans="1:10">
      <c r="A48" s="45" t="s">
        <v>55</v>
      </c>
      <c r="B48" s="46"/>
      <c r="C48" s="46">
        <f>SUM(C38:C47)</f>
        <v>36</v>
      </c>
      <c r="D48" s="46">
        <f>SUM(D38:D47)</f>
        <v>36</v>
      </c>
      <c r="E48" s="47"/>
    </row>
  </sheetData>
  <mergeCells count="5">
    <mergeCell ref="A1:J1"/>
    <mergeCell ref="A4:D4"/>
    <mergeCell ref="G4:I4"/>
    <mergeCell ref="A36:D36"/>
    <mergeCell ref="J4:J5"/>
  </mergeCells>
  <pageMargins left="0.7" right="0.7" top="0.75" bottom="0.75" header="0.3" footer="0.3"/>
  <pageSetup paperSize="1" scale="42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5"/>
  <sheetViews>
    <sheetView zoomScale="40" zoomScaleNormal="40" topLeftCell="A19" workbookViewId="0">
      <selection activeCell="A33" sqref="A33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46300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500</v>
      </c>
      <c r="B6" s="109">
        <v>18</v>
      </c>
      <c r="C6" s="109"/>
      <c r="D6" s="110"/>
      <c r="E6" s="144" t="s">
        <v>501</v>
      </c>
      <c r="F6" s="102"/>
      <c r="G6" s="103" t="s">
        <v>502</v>
      </c>
      <c r="H6" s="104">
        <v>2</v>
      </c>
      <c r="I6" s="105"/>
      <c r="J6" s="106" t="s">
        <v>503</v>
      </c>
    </row>
    <row r="7" customHeight="1" spans="1:10">
      <c r="A7" s="143" t="s">
        <v>38</v>
      </c>
      <c r="B7" s="109">
        <v>1</v>
      </c>
      <c r="C7" s="109"/>
      <c r="D7" s="110"/>
      <c r="E7" s="101" t="s">
        <v>504</v>
      </c>
      <c r="F7" s="107"/>
      <c r="G7" s="103" t="s">
        <v>505</v>
      </c>
      <c r="H7" s="104">
        <v>21</v>
      </c>
      <c r="I7" s="105"/>
      <c r="J7" s="106" t="s">
        <v>506</v>
      </c>
    </row>
    <row r="8" customHeight="1" spans="1:10">
      <c r="A8" s="114" t="s">
        <v>198</v>
      </c>
      <c r="B8" s="109">
        <v>2</v>
      </c>
      <c r="C8" s="109"/>
      <c r="D8" s="110"/>
      <c r="E8" s="101" t="s">
        <v>507</v>
      </c>
      <c r="F8" s="107"/>
      <c r="G8" s="103" t="s">
        <v>508</v>
      </c>
      <c r="H8" s="104">
        <v>1</v>
      </c>
      <c r="I8" s="105"/>
      <c r="J8" s="106" t="s">
        <v>509</v>
      </c>
    </row>
    <row r="9" customHeight="1" spans="1:10">
      <c r="A9" s="114" t="s">
        <v>489</v>
      </c>
      <c r="B9" s="109">
        <v>2</v>
      </c>
      <c r="C9" s="109"/>
      <c r="D9" s="110"/>
      <c r="E9" s="115" t="s">
        <v>510</v>
      </c>
      <c r="F9" s="107"/>
      <c r="G9" s="145" t="s">
        <v>511</v>
      </c>
      <c r="H9" s="146">
        <v>1</v>
      </c>
      <c r="I9" s="147"/>
      <c r="J9" s="148" t="s">
        <v>512</v>
      </c>
    </row>
    <row r="10" customHeight="1" spans="1:10">
      <c r="A10" s="114" t="s">
        <v>372</v>
      </c>
      <c r="B10" s="109">
        <v>2</v>
      </c>
      <c r="C10" s="109"/>
      <c r="D10" s="110"/>
      <c r="E10" s="115" t="s">
        <v>513</v>
      </c>
      <c r="F10" s="107"/>
      <c r="G10" s="108" t="s">
        <v>514</v>
      </c>
      <c r="H10" s="109">
        <v>1</v>
      </c>
      <c r="I10" s="110"/>
      <c r="J10" s="111" t="s">
        <v>515</v>
      </c>
    </row>
    <row r="11" customHeight="1" spans="1:10">
      <c r="A11" s="149" t="s">
        <v>34</v>
      </c>
      <c r="B11" s="109">
        <v>3</v>
      </c>
      <c r="C11" s="109"/>
      <c r="D11" s="110"/>
      <c r="E11" s="101" t="s">
        <v>516</v>
      </c>
      <c r="F11" s="107"/>
      <c r="G11" s="108" t="s">
        <v>517</v>
      </c>
      <c r="H11" s="109">
        <v>1</v>
      </c>
      <c r="I11" s="110"/>
      <c r="J11" s="112" t="s">
        <v>518</v>
      </c>
    </row>
    <row r="12" customHeight="1" spans="1:10">
      <c r="A12" s="114" t="s">
        <v>402</v>
      </c>
      <c r="B12" s="109">
        <v>1</v>
      </c>
      <c r="C12" s="109"/>
      <c r="D12" s="110"/>
      <c r="E12" s="101" t="s">
        <v>519</v>
      </c>
      <c r="F12" s="107"/>
      <c r="G12" s="108" t="s">
        <v>520</v>
      </c>
      <c r="H12" s="109">
        <v>1</v>
      </c>
      <c r="I12" s="110"/>
      <c r="J12" s="113" t="s">
        <v>521</v>
      </c>
    </row>
    <row r="13" customHeight="1" spans="1:10">
      <c r="A13" s="114" t="s">
        <v>508</v>
      </c>
      <c r="B13" s="109"/>
      <c r="C13" s="109">
        <v>1</v>
      </c>
      <c r="D13" s="110"/>
      <c r="E13" s="115" t="s">
        <v>509</v>
      </c>
      <c r="F13" s="107"/>
      <c r="G13" s="108" t="s">
        <v>522</v>
      </c>
      <c r="H13" s="109">
        <v>1</v>
      </c>
      <c r="I13" s="110"/>
      <c r="J13" s="113" t="s">
        <v>523</v>
      </c>
    </row>
    <row r="14" customHeight="1" spans="1:10">
      <c r="A14" s="114" t="s">
        <v>511</v>
      </c>
      <c r="B14" s="109"/>
      <c r="C14" s="109">
        <v>1</v>
      </c>
      <c r="D14" s="110"/>
      <c r="E14" s="115" t="s">
        <v>512</v>
      </c>
      <c r="F14" s="160"/>
      <c r="G14" s="119" t="s">
        <v>524</v>
      </c>
      <c r="H14" s="120">
        <v>1</v>
      </c>
      <c r="I14" s="118"/>
      <c r="J14" s="123" t="s">
        <v>525</v>
      </c>
    </row>
    <row r="15" customHeight="1" spans="1:10">
      <c r="A15" s="114" t="s">
        <v>370</v>
      </c>
      <c r="B15" s="109">
        <v>2</v>
      </c>
      <c r="C15" s="109"/>
      <c r="D15" s="110"/>
      <c r="E15" s="115" t="s">
        <v>526</v>
      </c>
      <c r="F15" s="122"/>
      <c r="G15" s="119" t="s">
        <v>527</v>
      </c>
      <c r="H15" s="120">
        <v>1</v>
      </c>
      <c r="I15" s="118"/>
      <c r="J15" s="121" t="s">
        <v>528</v>
      </c>
    </row>
    <row r="16" customHeight="1" spans="1:10">
      <c r="A16" s="114" t="s">
        <v>514</v>
      </c>
      <c r="B16" s="109">
        <v>1</v>
      </c>
      <c r="C16" s="109"/>
      <c r="D16" s="110"/>
      <c r="E16" s="115" t="s">
        <v>515</v>
      </c>
      <c r="F16" s="122"/>
      <c r="G16" s="119" t="s">
        <v>529</v>
      </c>
      <c r="H16" s="120">
        <v>1</v>
      </c>
      <c r="I16" s="118"/>
      <c r="J16" s="121" t="s">
        <v>530</v>
      </c>
    </row>
    <row r="17" customHeight="1" spans="1:10">
      <c r="A17" s="114" t="s">
        <v>517</v>
      </c>
      <c r="B17" s="117">
        <v>1</v>
      </c>
      <c r="C17" s="117"/>
      <c r="D17" s="124"/>
      <c r="E17" s="115" t="s">
        <v>518</v>
      </c>
      <c r="F17" s="122"/>
      <c r="G17" s="119" t="s">
        <v>531</v>
      </c>
      <c r="H17" s="120">
        <v>1</v>
      </c>
      <c r="I17" s="118"/>
      <c r="J17" s="123" t="s">
        <v>532</v>
      </c>
    </row>
    <row r="18" customHeight="1" spans="1:10">
      <c r="A18" s="125" t="s">
        <v>533</v>
      </c>
      <c r="B18" s="117"/>
      <c r="C18" s="117">
        <v>1</v>
      </c>
      <c r="D18" s="124"/>
      <c r="E18" s="126" t="s">
        <v>534</v>
      </c>
      <c r="F18" s="122"/>
      <c r="G18" s="119" t="s">
        <v>535</v>
      </c>
      <c r="H18" s="120">
        <v>1</v>
      </c>
      <c r="I18" s="118"/>
      <c r="J18" s="123" t="s">
        <v>536</v>
      </c>
    </row>
    <row r="19" customHeight="1" spans="1:10">
      <c r="A19" s="125" t="s">
        <v>520</v>
      </c>
      <c r="B19" s="117">
        <v>1</v>
      </c>
      <c r="C19" s="117"/>
      <c r="D19" s="124"/>
      <c r="E19" s="126" t="s">
        <v>521</v>
      </c>
      <c r="F19" s="122"/>
      <c r="G19" s="119" t="s">
        <v>537</v>
      </c>
      <c r="H19" s="120">
        <v>1</v>
      </c>
      <c r="I19" s="118"/>
      <c r="J19" s="123" t="s">
        <v>538</v>
      </c>
    </row>
    <row r="20" customHeight="1" spans="1:10">
      <c r="A20" s="125" t="s">
        <v>170</v>
      </c>
      <c r="B20" s="117">
        <v>9</v>
      </c>
      <c r="C20" s="117">
        <v>3</v>
      </c>
      <c r="D20" s="124"/>
      <c r="E20" s="126" t="s">
        <v>539</v>
      </c>
      <c r="F20" s="122"/>
      <c r="G20" s="119" t="s">
        <v>229</v>
      </c>
      <c r="H20" s="120">
        <v>11</v>
      </c>
      <c r="I20" s="118"/>
      <c r="J20" s="123" t="s">
        <v>540</v>
      </c>
    </row>
    <row r="21" customHeight="1" spans="1:10">
      <c r="A21" s="125" t="s">
        <v>541</v>
      </c>
      <c r="B21" s="117">
        <v>25</v>
      </c>
      <c r="C21" s="117"/>
      <c r="D21" s="124"/>
      <c r="E21" s="126" t="s">
        <v>542</v>
      </c>
      <c r="F21" s="122"/>
      <c r="G21" s="119" t="s">
        <v>543</v>
      </c>
      <c r="H21" s="120">
        <v>1</v>
      </c>
      <c r="I21" s="118"/>
      <c r="J21" s="123" t="s">
        <v>544</v>
      </c>
    </row>
    <row r="22" customHeight="1" spans="1:10">
      <c r="A22" s="125" t="s">
        <v>545</v>
      </c>
      <c r="B22" s="117">
        <v>1</v>
      </c>
      <c r="C22" s="117"/>
      <c r="D22" s="124"/>
      <c r="E22" s="126" t="s">
        <v>546</v>
      </c>
      <c r="F22" s="122"/>
      <c r="G22" s="119" t="s">
        <v>547</v>
      </c>
      <c r="H22" s="120">
        <v>1</v>
      </c>
      <c r="I22" s="118"/>
      <c r="J22" s="123" t="s">
        <v>548</v>
      </c>
    </row>
    <row r="23" customHeight="1" spans="1:10">
      <c r="A23" s="125" t="s">
        <v>549</v>
      </c>
      <c r="B23" s="117">
        <v>1</v>
      </c>
      <c r="C23" s="117"/>
      <c r="D23" s="124"/>
      <c r="E23" s="126" t="s">
        <v>550</v>
      </c>
      <c r="F23" s="122"/>
      <c r="G23" s="119" t="s">
        <v>549</v>
      </c>
      <c r="H23" s="120">
        <v>1</v>
      </c>
      <c r="I23" s="118"/>
      <c r="J23" s="123" t="s">
        <v>550</v>
      </c>
    </row>
    <row r="24" customHeight="1" spans="1:10">
      <c r="A24" s="125" t="s">
        <v>551</v>
      </c>
      <c r="B24" s="117">
        <v>1</v>
      </c>
      <c r="C24" s="117"/>
      <c r="D24" s="124"/>
      <c r="E24" s="126" t="s">
        <v>552</v>
      </c>
      <c r="F24" s="122"/>
      <c r="G24" s="119" t="s">
        <v>551</v>
      </c>
      <c r="H24" s="120">
        <v>1</v>
      </c>
      <c r="I24" s="118"/>
      <c r="J24" s="123" t="s">
        <v>552</v>
      </c>
    </row>
    <row r="25" customHeight="1" spans="1:10">
      <c r="A25" s="125" t="s">
        <v>553</v>
      </c>
      <c r="B25" s="117">
        <v>3</v>
      </c>
      <c r="C25" s="117"/>
      <c r="D25" s="124"/>
      <c r="E25" s="126" t="s">
        <v>554</v>
      </c>
      <c r="F25" s="122"/>
      <c r="G25" s="119" t="s">
        <v>555</v>
      </c>
      <c r="H25" s="120">
        <v>1</v>
      </c>
      <c r="I25" s="118"/>
      <c r="J25" s="123" t="s">
        <v>556</v>
      </c>
    </row>
    <row r="26" customHeight="1" spans="1:10">
      <c r="A26" s="125" t="s">
        <v>557</v>
      </c>
      <c r="B26" s="117">
        <v>9</v>
      </c>
      <c r="C26" s="117"/>
      <c r="D26" s="124"/>
      <c r="E26" s="126" t="s">
        <v>558</v>
      </c>
      <c r="F26" s="122"/>
      <c r="G26" s="119" t="s">
        <v>559</v>
      </c>
      <c r="H26" s="120">
        <v>6</v>
      </c>
      <c r="I26" s="118"/>
      <c r="J26" s="123" t="s">
        <v>560</v>
      </c>
    </row>
    <row r="27" customHeight="1" spans="1:10">
      <c r="A27" s="125" t="s">
        <v>378</v>
      </c>
      <c r="B27" s="117">
        <v>26</v>
      </c>
      <c r="C27" s="117"/>
      <c r="D27" s="124"/>
      <c r="E27" s="126" t="s">
        <v>561</v>
      </c>
      <c r="F27" s="122"/>
      <c r="G27" s="119" t="s">
        <v>562</v>
      </c>
      <c r="H27" s="120">
        <v>8</v>
      </c>
      <c r="I27" s="118"/>
      <c r="J27" s="123" t="s">
        <v>563</v>
      </c>
    </row>
    <row r="28" customHeight="1" spans="1:10">
      <c r="A28" s="125" t="s">
        <v>564</v>
      </c>
      <c r="B28" s="117">
        <v>3</v>
      </c>
      <c r="C28" s="117"/>
      <c r="D28" s="124"/>
      <c r="E28" s="126" t="s">
        <v>565</v>
      </c>
      <c r="F28" s="122"/>
      <c r="G28" s="119" t="s">
        <v>557</v>
      </c>
      <c r="H28" s="120">
        <v>9</v>
      </c>
      <c r="I28" s="118"/>
      <c r="J28" s="123" t="s">
        <v>558</v>
      </c>
    </row>
    <row r="29" customHeight="1" spans="1:10">
      <c r="A29" s="125" t="s">
        <v>127</v>
      </c>
      <c r="B29" s="117">
        <v>14</v>
      </c>
      <c r="C29" s="117"/>
      <c r="D29" s="124"/>
      <c r="E29" s="126" t="s">
        <v>566</v>
      </c>
      <c r="F29" s="122"/>
      <c r="G29" s="119" t="s">
        <v>567</v>
      </c>
      <c r="H29" s="120">
        <v>2</v>
      </c>
      <c r="I29" s="118"/>
      <c r="J29" s="123" t="s">
        <v>568</v>
      </c>
    </row>
    <row r="30" customHeight="1" spans="1:10">
      <c r="A30" s="125" t="s">
        <v>569</v>
      </c>
      <c r="B30" s="117">
        <v>68</v>
      </c>
      <c r="C30" s="117"/>
      <c r="D30" s="124"/>
      <c r="E30" s="126" t="s">
        <v>570</v>
      </c>
      <c r="F30" s="122"/>
      <c r="G30" s="119" t="s">
        <v>564</v>
      </c>
      <c r="H30" s="120">
        <v>3</v>
      </c>
      <c r="I30" s="118"/>
      <c r="J30" s="123" t="s">
        <v>565</v>
      </c>
    </row>
    <row r="31" customHeight="1" spans="1:10">
      <c r="A31" s="125" t="s">
        <v>571</v>
      </c>
      <c r="B31" s="117"/>
      <c r="C31" s="117">
        <v>6</v>
      </c>
      <c r="D31" s="124"/>
      <c r="E31" s="126" t="s">
        <v>572</v>
      </c>
      <c r="F31" s="122"/>
      <c r="G31" s="119" t="s">
        <v>573</v>
      </c>
      <c r="H31" s="120">
        <v>2</v>
      </c>
      <c r="I31" s="118"/>
      <c r="J31" s="123" t="s">
        <v>574</v>
      </c>
    </row>
    <row r="32" customHeight="1" spans="1:10">
      <c r="A32" s="125" t="s">
        <v>259</v>
      </c>
      <c r="B32" s="117"/>
      <c r="C32" s="117">
        <v>1</v>
      </c>
      <c r="D32" s="124"/>
      <c r="E32" s="126" t="s">
        <v>575</v>
      </c>
      <c r="F32" s="122"/>
      <c r="G32" s="119" t="s">
        <v>576</v>
      </c>
      <c r="H32" s="120">
        <v>1</v>
      </c>
      <c r="I32" s="118"/>
      <c r="J32" s="123" t="s">
        <v>577</v>
      </c>
    </row>
    <row r="33" customHeight="1" spans="1:10">
      <c r="A33" s="125"/>
      <c r="B33" s="117"/>
      <c r="C33" s="117"/>
      <c r="D33" s="124"/>
      <c r="E33" s="126"/>
      <c r="F33" s="122"/>
      <c r="G33" s="119" t="s">
        <v>578</v>
      </c>
      <c r="H33" s="120">
        <v>1</v>
      </c>
      <c r="I33" s="118"/>
      <c r="J33" s="123" t="s">
        <v>579</v>
      </c>
    </row>
    <row r="34" customHeight="1" spans="1:10">
      <c r="A34" s="125"/>
      <c r="B34" s="117"/>
      <c r="C34" s="117"/>
      <c r="D34" s="124"/>
      <c r="E34" s="126"/>
      <c r="F34" s="122"/>
      <c r="G34" s="119" t="s">
        <v>580</v>
      </c>
      <c r="H34" s="120">
        <v>1</v>
      </c>
      <c r="I34" s="118"/>
      <c r="J34" s="123" t="s">
        <v>581</v>
      </c>
    </row>
    <row r="35" customHeight="1" spans="1:10">
      <c r="A35" s="125"/>
      <c r="B35" s="117"/>
      <c r="C35" s="117"/>
      <c r="D35" s="124"/>
      <c r="E35" s="126"/>
      <c r="F35" s="122"/>
      <c r="G35" s="119" t="s">
        <v>582</v>
      </c>
      <c r="H35" s="120">
        <v>2</v>
      </c>
      <c r="I35" s="118"/>
      <c r="J35" s="123" t="s">
        <v>583</v>
      </c>
    </row>
    <row r="36" customHeight="1" spans="1:10">
      <c r="A36" s="125"/>
      <c r="B36" s="117"/>
      <c r="C36" s="117"/>
      <c r="D36" s="124"/>
      <c r="E36" s="126"/>
      <c r="F36" s="122"/>
      <c r="G36" s="125" t="s">
        <v>569</v>
      </c>
      <c r="H36" s="117">
        <v>68</v>
      </c>
      <c r="I36" s="118"/>
      <c r="J36" s="126" t="s">
        <v>570</v>
      </c>
    </row>
    <row r="37" customHeight="1" spans="1:10">
      <c r="A37" s="125"/>
      <c r="B37" s="117"/>
      <c r="C37" s="117"/>
      <c r="D37" s="124"/>
      <c r="E37" s="126"/>
      <c r="F37" s="122"/>
      <c r="G37" s="143" t="s">
        <v>500</v>
      </c>
      <c r="H37" s="117">
        <v>18</v>
      </c>
      <c r="I37" s="118"/>
      <c r="J37" s="144" t="s">
        <v>501</v>
      </c>
    </row>
    <row r="38" customHeight="1" spans="1:10">
      <c r="A38" s="125"/>
      <c r="B38" s="117"/>
      <c r="C38" s="117"/>
      <c r="D38" s="124"/>
      <c r="E38" s="126"/>
      <c r="F38" s="122"/>
      <c r="G38" s="125" t="s">
        <v>259</v>
      </c>
      <c r="H38" s="117">
        <v>1</v>
      </c>
      <c r="I38" s="118"/>
      <c r="J38" s="126" t="s">
        <v>575</v>
      </c>
    </row>
    <row r="39" customHeight="1" spans="1:10">
      <c r="A39" s="125"/>
      <c r="B39" s="117"/>
      <c r="C39" s="117"/>
      <c r="D39" s="124"/>
      <c r="E39" s="126"/>
      <c r="F39" s="122"/>
      <c r="G39" s="114"/>
      <c r="H39" s="117"/>
      <c r="I39" s="118"/>
      <c r="J39" s="115"/>
    </row>
    <row r="40" customHeight="1" spans="1:10">
      <c r="A40" s="127"/>
      <c r="B40" s="128"/>
      <c r="C40" s="128"/>
      <c r="D40" s="129"/>
      <c r="E40" s="130"/>
      <c r="F40" s="122"/>
      <c r="G40" s="125"/>
      <c r="H40" s="120"/>
      <c r="I40" s="131"/>
      <c r="J40" s="132"/>
    </row>
    <row r="41" customHeight="1" spans="1:10">
      <c r="A41" s="133" t="s">
        <v>55</v>
      </c>
      <c r="B41" s="134">
        <f>SUM(B6:B40)</f>
        <v>194</v>
      </c>
      <c r="C41" s="134">
        <f>SUM(C6:C40)</f>
        <v>13</v>
      </c>
      <c r="D41" s="134">
        <f>SUM(D6:D40)</f>
        <v>0</v>
      </c>
      <c r="E41" s="135"/>
      <c r="F41" s="122"/>
      <c r="G41" s="136"/>
      <c r="H41" s="134">
        <f>SUM(H6:H40)</f>
        <v>173</v>
      </c>
      <c r="I41" s="137"/>
      <c r="J41" s="138"/>
    </row>
    <row r="43" customHeight="1" spans="1:10">
      <c r="A43" s="17" t="s">
        <v>56</v>
      </c>
      <c r="B43" s="18"/>
      <c r="C43" s="18"/>
      <c r="D43" s="18"/>
      <c r="E43" s="19"/>
    </row>
    <row r="44" customHeight="1" spans="1:10">
      <c r="A44" s="24" t="s">
        <v>7</v>
      </c>
      <c r="B44" s="25" t="s">
        <v>57</v>
      </c>
      <c r="C44" s="26" t="s">
        <v>11</v>
      </c>
      <c r="D44" s="26" t="s">
        <v>10</v>
      </c>
      <c r="E44" s="27" t="s">
        <v>6</v>
      </c>
    </row>
    <row r="45" customHeight="1" spans="1:10">
      <c r="A45" s="150" t="s">
        <v>258</v>
      </c>
      <c r="B45" s="151">
        <v>46279</v>
      </c>
      <c r="C45" s="152">
        <v>2</v>
      </c>
      <c r="D45" s="152">
        <v>2</v>
      </c>
      <c r="E45" s="144" t="s">
        <v>336</v>
      </c>
    </row>
    <row r="46" customHeight="1" spans="1:10">
      <c r="A46" s="150" t="s">
        <v>261</v>
      </c>
      <c r="B46" s="151">
        <v>46279</v>
      </c>
      <c r="C46" s="152">
        <v>8</v>
      </c>
      <c r="D46" s="152">
        <v>8</v>
      </c>
      <c r="E46" s="144" t="s">
        <v>337</v>
      </c>
    </row>
    <row r="47" customHeight="1" spans="1:10">
      <c r="A47" s="150" t="s">
        <v>264</v>
      </c>
      <c r="B47" s="153">
        <v>46286</v>
      </c>
      <c r="C47" s="31">
        <v>8</v>
      </c>
      <c r="D47" s="31">
        <v>8</v>
      </c>
      <c r="E47" s="115" t="s">
        <v>338</v>
      </c>
    </row>
    <row r="48" customHeight="1" spans="1:10">
      <c r="A48" s="150" t="s">
        <v>267</v>
      </c>
      <c r="B48" s="153">
        <v>46288</v>
      </c>
      <c r="C48" s="31">
        <v>2</v>
      </c>
      <c r="D48" s="31">
        <v>2</v>
      </c>
      <c r="E48" s="126" t="s">
        <v>339</v>
      </c>
    </row>
    <row r="49" customHeight="1" spans="1:5">
      <c r="A49" s="114" t="s">
        <v>426</v>
      </c>
      <c r="B49" s="166">
        <v>46295</v>
      </c>
      <c r="C49" s="152">
        <v>11</v>
      </c>
      <c r="D49" s="152">
        <v>11</v>
      </c>
      <c r="E49" s="115" t="s">
        <v>427</v>
      </c>
    </row>
    <row r="50" customHeight="1" spans="1:5">
      <c r="A50" s="114" t="s">
        <v>495</v>
      </c>
      <c r="B50" s="166">
        <v>46296</v>
      </c>
      <c r="C50" s="152">
        <v>1</v>
      </c>
      <c r="D50" s="152">
        <v>1</v>
      </c>
      <c r="E50" s="115" t="s">
        <v>496</v>
      </c>
    </row>
    <row r="51" customHeight="1" spans="1:5">
      <c r="A51" s="125" t="s">
        <v>430</v>
      </c>
      <c r="B51" s="166">
        <v>46296</v>
      </c>
      <c r="C51" s="152">
        <v>1</v>
      </c>
      <c r="D51" s="152">
        <v>1</v>
      </c>
      <c r="E51" s="126" t="s">
        <v>497</v>
      </c>
    </row>
    <row r="52" customHeight="1" spans="1:5">
      <c r="A52" s="125" t="s">
        <v>498</v>
      </c>
      <c r="B52" s="166">
        <v>46296</v>
      </c>
      <c r="C52" s="152">
        <v>3</v>
      </c>
      <c r="D52" s="152">
        <v>3</v>
      </c>
      <c r="E52" s="126" t="s">
        <v>499</v>
      </c>
    </row>
    <row r="53" customHeight="1" spans="1:5">
      <c r="A53" s="125"/>
      <c r="B53" s="153"/>
      <c r="C53" s="152"/>
      <c r="D53" s="152"/>
      <c r="E53" s="126"/>
    </row>
    <row r="54" customHeight="1" spans="1:5">
      <c r="A54" s="150"/>
      <c r="B54" s="151"/>
      <c r="C54" s="152"/>
      <c r="D54" s="152"/>
      <c r="E54" s="144"/>
    </row>
    <row r="55" customHeight="1" spans="1:5">
      <c r="A55" s="45" t="s">
        <v>55</v>
      </c>
      <c r="B55" s="46"/>
      <c r="C55" s="46">
        <f>SUM(C45:C54)</f>
        <v>36</v>
      </c>
      <c r="D55" s="46">
        <f>SUM(D45:D54)</f>
        <v>36</v>
      </c>
      <c r="E55" s="47"/>
    </row>
  </sheetData>
  <mergeCells count="5">
    <mergeCell ref="A1:J1"/>
    <mergeCell ref="A4:D4"/>
    <mergeCell ref="G4:I4"/>
    <mergeCell ref="A43:D43"/>
    <mergeCell ref="J4:J5"/>
  </mergeCells>
  <pageMargins left="0.7" right="0.7" top="0.75" bottom="0.75" header="0.3" footer="0.3"/>
  <pageSetup paperSize="1" scale="42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1"/>
  <sheetViews>
    <sheetView zoomScale="55" zoomScaleNormal="55" topLeftCell="A2" workbookViewId="0">
      <selection activeCell="E7" sqref="E7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46297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584</v>
      </c>
      <c r="B6" s="109"/>
      <c r="C6" s="109">
        <v>1</v>
      </c>
      <c r="D6" s="110"/>
      <c r="E6" s="144" t="s">
        <v>585</v>
      </c>
      <c r="F6" s="102"/>
      <c r="G6" s="103" t="s">
        <v>586</v>
      </c>
      <c r="H6" s="104">
        <v>10</v>
      </c>
      <c r="I6" s="105"/>
      <c r="J6" s="106" t="s">
        <v>587</v>
      </c>
    </row>
    <row r="7" customHeight="1" spans="1:10">
      <c r="A7" s="143" t="s">
        <v>588</v>
      </c>
      <c r="B7" s="109"/>
      <c r="C7" s="109">
        <v>1</v>
      </c>
      <c r="D7" s="110"/>
      <c r="E7" s="101" t="s">
        <v>589</v>
      </c>
      <c r="F7" s="107"/>
      <c r="G7" s="103" t="s">
        <v>590</v>
      </c>
      <c r="H7" s="104">
        <v>1</v>
      </c>
      <c r="I7" s="105"/>
      <c r="J7" s="106" t="s">
        <v>591</v>
      </c>
    </row>
    <row r="8" customHeight="1" spans="1:10">
      <c r="A8" s="149" t="s">
        <v>592</v>
      </c>
      <c r="B8" s="109">
        <v>2</v>
      </c>
      <c r="C8" s="109"/>
      <c r="D8" s="110"/>
      <c r="E8" s="101" t="s">
        <v>593</v>
      </c>
      <c r="F8" s="107"/>
      <c r="G8" s="145" t="s">
        <v>594</v>
      </c>
      <c r="H8" s="146">
        <v>1</v>
      </c>
      <c r="I8" s="147"/>
      <c r="J8" s="148" t="s">
        <v>595</v>
      </c>
    </row>
    <row r="9" customHeight="1" spans="1:10">
      <c r="A9" s="114" t="s">
        <v>590</v>
      </c>
      <c r="B9" s="109">
        <v>1</v>
      </c>
      <c r="C9" s="109"/>
      <c r="D9" s="110"/>
      <c r="E9" s="101" t="s">
        <v>591</v>
      </c>
      <c r="F9" s="107"/>
      <c r="G9" s="108" t="s">
        <v>596</v>
      </c>
      <c r="H9" s="109">
        <v>1</v>
      </c>
      <c r="I9" s="110"/>
      <c r="J9" s="111" t="s">
        <v>597</v>
      </c>
    </row>
    <row r="10" customHeight="1" spans="1:10">
      <c r="A10" s="114" t="s">
        <v>487</v>
      </c>
      <c r="B10" s="109">
        <v>2</v>
      </c>
      <c r="C10" s="109"/>
      <c r="D10" s="110"/>
      <c r="E10" s="115" t="s">
        <v>598</v>
      </c>
      <c r="F10" s="107"/>
      <c r="G10" s="108" t="s">
        <v>599</v>
      </c>
      <c r="H10" s="109">
        <v>1</v>
      </c>
      <c r="I10" s="110"/>
      <c r="J10" s="112" t="s">
        <v>600</v>
      </c>
    </row>
    <row r="11" customHeight="1" spans="1:10">
      <c r="A11" s="114" t="s">
        <v>172</v>
      </c>
      <c r="B11" s="109">
        <v>8</v>
      </c>
      <c r="C11" s="109"/>
      <c r="D11" s="110"/>
      <c r="E11" s="115" t="s">
        <v>601</v>
      </c>
      <c r="F11" s="107"/>
      <c r="G11" s="108" t="s">
        <v>602</v>
      </c>
      <c r="H11" s="109">
        <v>1</v>
      </c>
      <c r="I11" s="110"/>
      <c r="J11" s="113" t="s">
        <v>603</v>
      </c>
    </row>
    <row r="12" customHeight="1" spans="1:10">
      <c r="A12" s="114" t="s">
        <v>166</v>
      </c>
      <c r="B12" s="109">
        <v>8</v>
      </c>
      <c r="C12" s="109"/>
      <c r="D12" s="110"/>
      <c r="E12" s="115" t="s">
        <v>604</v>
      </c>
      <c r="F12" s="107"/>
      <c r="G12" s="108" t="s">
        <v>605</v>
      </c>
      <c r="H12" s="109">
        <v>1</v>
      </c>
      <c r="I12" s="110"/>
      <c r="J12" s="113" t="s">
        <v>606</v>
      </c>
    </row>
    <row r="13" customHeight="1" spans="1:10">
      <c r="A13" s="114" t="s">
        <v>218</v>
      </c>
      <c r="B13" s="109">
        <v>5</v>
      </c>
      <c r="C13" s="109"/>
      <c r="D13" s="110"/>
      <c r="E13" s="115" t="s">
        <v>607</v>
      </c>
      <c r="F13" s="107"/>
      <c r="G13" s="119" t="s">
        <v>608</v>
      </c>
      <c r="H13" s="120">
        <v>1</v>
      </c>
      <c r="I13" s="118"/>
      <c r="J13" s="123" t="s">
        <v>609</v>
      </c>
    </row>
    <row r="14" customHeight="1" spans="1:10">
      <c r="A14" s="114" t="s">
        <v>176</v>
      </c>
      <c r="B14" s="117">
        <v>5</v>
      </c>
      <c r="C14" s="117"/>
      <c r="D14" s="124"/>
      <c r="E14" s="115" t="s">
        <v>610</v>
      </c>
      <c r="F14" s="160"/>
      <c r="G14" s="119" t="s">
        <v>611</v>
      </c>
      <c r="H14" s="120">
        <v>1</v>
      </c>
      <c r="I14" s="118"/>
      <c r="J14" s="121" t="s">
        <v>612</v>
      </c>
    </row>
    <row r="15" customHeight="1" spans="1:10">
      <c r="A15" s="125" t="s">
        <v>180</v>
      </c>
      <c r="B15" s="117">
        <v>8</v>
      </c>
      <c r="C15" s="117">
        <v>1</v>
      </c>
      <c r="D15" s="124"/>
      <c r="E15" s="126" t="s">
        <v>613</v>
      </c>
      <c r="F15" s="122"/>
      <c r="G15" s="119" t="s">
        <v>170</v>
      </c>
      <c r="H15" s="120">
        <v>9</v>
      </c>
      <c r="I15" s="118"/>
      <c r="J15" s="121" t="s">
        <v>614</v>
      </c>
    </row>
    <row r="16" customHeight="1" spans="1:10">
      <c r="A16" s="125" t="s">
        <v>547</v>
      </c>
      <c r="B16" s="117">
        <v>1</v>
      </c>
      <c r="C16" s="117"/>
      <c r="D16" s="124"/>
      <c r="E16" s="126" t="s">
        <v>615</v>
      </c>
      <c r="F16" s="122"/>
      <c r="G16" s="119" t="s">
        <v>327</v>
      </c>
      <c r="H16" s="120">
        <v>1</v>
      </c>
      <c r="I16" s="118"/>
      <c r="J16" s="123" t="s">
        <v>616</v>
      </c>
    </row>
    <row r="17" customHeight="1" spans="1:10">
      <c r="A17" s="125" t="s">
        <v>170</v>
      </c>
      <c r="B17" s="117">
        <v>9</v>
      </c>
      <c r="C17" s="117"/>
      <c r="D17" s="124"/>
      <c r="E17" s="126" t="s">
        <v>614</v>
      </c>
      <c r="F17" s="122"/>
      <c r="G17" s="119" t="s">
        <v>617</v>
      </c>
      <c r="H17" s="120">
        <v>3</v>
      </c>
      <c r="I17" s="118"/>
      <c r="J17" s="123" t="s">
        <v>618</v>
      </c>
    </row>
    <row r="18" customHeight="1" spans="1:10">
      <c r="A18" s="125" t="s">
        <v>617</v>
      </c>
      <c r="B18" s="117">
        <v>3</v>
      </c>
      <c r="C18" s="117"/>
      <c r="D18" s="124"/>
      <c r="E18" s="126" t="s">
        <v>618</v>
      </c>
      <c r="F18" s="122"/>
      <c r="G18" s="114" t="s">
        <v>619</v>
      </c>
      <c r="H18" s="109">
        <v>5</v>
      </c>
      <c r="I18" s="118"/>
      <c r="J18" s="115" t="s">
        <v>620</v>
      </c>
    </row>
    <row r="19" customHeight="1" spans="1:10">
      <c r="A19" s="125" t="s">
        <v>432</v>
      </c>
      <c r="B19" s="117">
        <v>28</v>
      </c>
      <c r="C19" s="117"/>
      <c r="D19" s="124"/>
      <c r="E19" s="126" t="s">
        <v>621</v>
      </c>
      <c r="F19" s="122"/>
      <c r="G19" s="125" t="s">
        <v>622</v>
      </c>
      <c r="H19" s="117">
        <v>1</v>
      </c>
      <c r="I19" s="118"/>
      <c r="J19" s="126" t="s">
        <v>623</v>
      </c>
    </row>
    <row r="20" customHeight="1" spans="1:10">
      <c r="A20" s="114" t="s">
        <v>619</v>
      </c>
      <c r="B20" s="109">
        <v>5</v>
      </c>
      <c r="C20" s="109"/>
      <c r="D20" s="109"/>
      <c r="E20" s="115" t="s">
        <v>620</v>
      </c>
      <c r="F20" s="122"/>
      <c r="G20" s="125" t="s">
        <v>624</v>
      </c>
      <c r="H20" s="117">
        <v>1</v>
      </c>
      <c r="I20" s="118"/>
      <c r="J20" s="126" t="s">
        <v>625</v>
      </c>
    </row>
    <row r="21" customHeight="1" spans="1:10">
      <c r="A21" s="125" t="s">
        <v>543</v>
      </c>
      <c r="B21" s="117">
        <v>1</v>
      </c>
      <c r="C21" s="117"/>
      <c r="D21" s="117"/>
      <c r="E21" s="126" t="s">
        <v>626</v>
      </c>
      <c r="F21" s="122"/>
      <c r="G21" s="143" t="s">
        <v>584</v>
      </c>
      <c r="H21" s="109">
        <v>1</v>
      </c>
      <c r="I21" s="118"/>
      <c r="J21" s="144" t="s">
        <v>585</v>
      </c>
    </row>
    <row r="22" customHeight="1" spans="1:10">
      <c r="A22" s="125" t="s">
        <v>622</v>
      </c>
      <c r="B22" s="117">
        <v>1</v>
      </c>
      <c r="C22" s="117"/>
      <c r="D22" s="117"/>
      <c r="E22" s="126" t="s">
        <v>623</v>
      </c>
      <c r="F22" s="122"/>
      <c r="G22" s="119"/>
      <c r="H22" s="120"/>
      <c r="I22" s="118"/>
      <c r="J22" s="123"/>
    </row>
    <row r="23" customHeight="1" spans="1:10">
      <c r="A23" s="125" t="s">
        <v>624</v>
      </c>
      <c r="B23" s="117">
        <v>1</v>
      </c>
      <c r="C23" s="117"/>
      <c r="D23" s="117"/>
      <c r="E23" s="126" t="s">
        <v>625</v>
      </c>
      <c r="F23" s="122"/>
      <c r="G23" s="125"/>
      <c r="H23" s="117"/>
      <c r="I23" s="118"/>
      <c r="J23" s="165"/>
    </row>
    <row r="24" customHeight="1" spans="1:10">
      <c r="A24" s="125"/>
      <c r="B24" s="117"/>
      <c r="C24" s="117"/>
      <c r="D24" s="117"/>
      <c r="E24" s="126"/>
      <c r="F24" s="122"/>
      <c r="G24" s="125"/>
      <c r="H24" s="117"/>
      <c r="I24" s="118"/>
      <c r="J24" s="165"/>
    </row>
    <row r="25" customHeight="1" spans="1:10">
      <c r="A25" s="125"/>
      <c r="B25" s="117"/>
      <c r="C25" s="117"/>
      <c r="D25" s="117"/>
      <c r="E25" s="126"/>
      <c r="F25" s="122"/>
      <c r="G25" s="125"/>
      <c r="H25" s="117"/>
      <c r="I25" s="118"/>
      <c r="J25" s="165"/>
    </row>
    <row r="26" customHeight="1" spans="1:10">
      <c r="A26" s="127"/>
      <c r="B26" s="128"/>
      <c r="C26" s="128"/>
      <c r="D26" s="129"/>
      <c r="E26" s="130"/>
      <c r="F26" s="122"/>
      <c r="G26" s="125"/>
      <c r="H26" s="120"/>
      <c r="I26" s="131"/>
      <c r="J26" s="132"/>
    </row>
    <row r="27" customHeight="1" spans="1:10">
      <c r="A27" s="133" t="s">
        <v>55</v>
      </c>
      <c r="B27" s="134">
        <f>SUM(B6:B26)</f>
        <v>88</v>
      </c>
      <c r="C27" s="134">
        <f t="shared" ref="C27:H27" si="0">SUM(C6:C26)</f>
        <v>3</v>
      </c>
      <c r="D27" s="134">
        <f t="shared" si="0"/>
        <v>0</v>
      </c>
      <c r="E27" s="135"/>
      <c r="F27" s="122"/>
      <c r="G27" s="136"/>
      <c r="H27" s="134">
        <f t="shared" si="0"/>
        <v>39</v>
      </c>
      <c r="I27" s="137"/>
      <c r="J27" s="138"/>
    </row>
    <row r="29" customHeight="1" spans="1:10">
      <c r="A29" s="17" t="s">
        <v>56</v>
      </c>
      <c r="B29" s="18"/>
      <c r="C29" s="18"/>
      <c r="D29" s="18"/>
      <c r="E29" s="19"/>
    </row>
    <row r="30" customHeight="1" spans="1:10">
      <c r="A30" s="24" t="s">
        <v>7</v>
      </c>
      <c r="B30" s="25" t="s">
        <v>57</v>
      </c>
      <c r="C30" s="26" t="s">
        <v>11</v>
      </c>
      <c r="D30" s="26" t="s">
        <v>10</v>
      </c>
      <c r="E30" s="27" t="s">
        <v>6</v>
      </c>
    </row>
    <row r="31" customHeight="1" spans="1:10">
      <c r="A31" s="150" t="s">
        <v>258</v>
      </c>
      <c r="B31" s="151">
        <v>46279</v>
      </c>
      <c r="C31" s="152">
        <v>2</v>
      </c>
      <c r="D31" s="152">
        <v>2</v>
      </c>
      <c r="E31" s="144" t="s">
        <v>336</v>
      </c>
    </row>
    <row r="32" customHeight="1" spans="1:10">
      <c r="A32" s="150" t="s">
        <v>261</v>
      </c>
      <c r="B32" s="151">
        <v>46279</v>
      </c>
      <c r="C32" s="152">
        <v>8</v>
      </c>
      <c r="D32" s="152">
        <v>8</v>
      </c>
      <c r="E32" s="144" t="s">
        <v>337</v>
      </c>
    </row>
    <row r="33" customHeight="1" spans="1:5">
      <c r="A33" s="150" t="s">
        <v>264</v>
      </c>
      <c r="B33" s="153">
        <v>46286</v>
      </c>
      <c r="C33" s="31">
        <v>8</v>
      </c>
      <c r="D33" s="31">
        <v>8</v>
      </c>
      <c r="E33" s="115" t="s">
        <v>338</v>
      </c>
    </row>
    <row r="34" customHeight="1" spans="1:5">
      <c r="A34" s="150" t="s">
        <v>267</v>
      </c>
      <c r="B34" s="153">
        <v>46288</v>
      </c>
      <c r="C34" s="31">
        <v>2</v>
      </c>
      <c r="D34" s="31">
        <v>2</v>
      </c>
      <c r="E34" s="126" t="s">
        <v>339</v>
      </c>
    </row>
    <row r="35" customHeight="1" spans="1:5">
      <c r="A35" s="114" t="s">
        <v>426</v>
      </c>
      <c r="B35" s="153">
        <v>46295</v>
      </c>
      <c r="C35" s="152">
        <v>11</v>
      </c>
      <c r="D35" s="152">
        <v>11</v>
      </c>
      <c r="E35" s="115" t="s">
        <v>427</v>
      </c>
    </row>
    <row r="36" customHeight="1" spans="1:5">
      <c r="A36" s="114" t="s">
        <v>495</v>
      </c>
      <c r="B36" s="153">
        <v>46296</v>
      </c>
      <c r="C36" s="152">
        <v>1</v>
      </c>
      <c r="D36" s="152">
        <v>1</v>
      </c>
      <c r="E36" s="115" t="s">
        <v>496</v>
      </c>
    </row>
    <row r="37" customHeight="1" spans="1:5">
      <c r="A37" s="125" t="s">
        <v>430</v>
      </c>
      <c r="B37" s="153">
        <v>46296</v>
      </c>
      <c r="C37" s="152">
        <v>1</v>
      </c>
      <c r="D37" s="152">
        <v>1</v>
      </c>
      <c r="E37" s="126" t="s">
        <v>497</v>
      </c>
    </row>
    <row r="38" customHeight="1" spans="1:5">
      <c r="A38" s="125" t="s">
        <v>498</v>
      </c>
      <c r="B38" s="153">
        <v>46296</v>
      </c>
      <c r="C38" s="152">
        <v>3</v>
      </c>
      <c r="D38" s="152">
        <v>3</v>
      </c>
      <c r="E38" s="126" t="s">
        <v>499</v>
      </c>
    </row>
    <row r="39" customHeight="1" spans="1:5">
      <c r="A39" s="125"/>
      <c r="B39" s="153"/>
      <c r="C39" s="152"/>
      <c r="D39" s="152"/>
      <c r="E39" s="126"/>
    </row>
    <row r="40" customHeight="1" spans="1:5">
      <c r="A40" s="150"/>
      <c r="B40" s="151"/>
      <c r="C40" s="152"/>
      <c r="D40" s="152"/>
      <c r="E40" s="144"/>
    </row>
    <row r="41" customHeight="1" spans="1:5">
      <c r="A41" s="45" t="s">
        <v>55</v>
      </c>
      <c r="B41" s="46"/>
      <c r="C41" s="46">
        <f>SUM(C31:C40)</f>
        <v>36</v>
      </c>
      <c r="D41" s="46">
        <f>SUM(D31:D40)</f>
        <v>36</v>
      </c>
      <c r="E41" s="47"/>
    </row>
  </sheetData>
  <mergeCells count="5">
    <mergeCell ref="A1:J1"/>
    <mergeCell ref="A4:D4"/>
    <mergeCell ref="G4:I4"/>
    <mergeCell ref="A29:D29"/>
    <mergeCell ref="J4:J5"/>
  </mergeCells>
  <pageMargins left="0.7" right="0.7" top="0.75" bottom="0.75" header="0.3" footer="0.3"/>
  <pageSetup paperSize="1" scale="42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1"/>
  <sheetViews>
    <sheetView zoomScale="40" zoomScaleNormal="40" workbookViewId="0">
      <selection activeCell="I19" sqref="I19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46296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229</v>
      </c>
      <c r="B6" s="109">
        <v>11</v>
      </c>
      <c r="C6" s="109"/>
      <c r="D6" s="110"/>
      <c r="E6" s="144" t="s">
        <v>627</v>
      </c>
      <c r="F6" s="102"/>
      <c r="G6" s="164" t="s">
        <v>586</v>
      </c>
      <c r="H6" s="104">
        <v>1</v>
      </c>
      <c r="I6" s="105"/>
      <c r="J6" s="106" t="s">
        <v>628</v>
      </c>
    </row>
    <row r="7" customHeight="1" spans="1:10">
      <c r="A7" s="114" t="s">
        <v>629</v>
      </c>
      <c r="B7" s="109"/>
      <c r="C7" s="109">
        <v>1</v>
      </c>
      <c r="D7" s="110"/>
      <c r="E7" s="101" t="s">
        <v>630</v>
      </c>
      <c r="F7" s="107"/>
      <c r="G7" s="157" t="s">
        <v>631</v>
      </c>
      <c r="H7" s="146">
        <v>1</v>
      </c>
      <c r="I7" s="147"/>
      <c r="J7" s="148" t="s">
        <v>632</v>
      </c>
    </row>
    <row r="8" customHeight="1" spans="1:10">
      <c r="A8" s="149" t="s">
        <v>225</v>
      </c>
      <c r="B8" s="109">
        <v>1</v>
      </c>
      <c r="C8" s="109"/>
      <c r="D8" s="110"/>
      <c r="E8" s="101" t="s">
        <v>633</v>
      </c>
      <c r="F8" s="107"/>
      <c r="G8" s="159" t="s">
        <v>180</v>
      </c>
      <c r="H8" s="109">
        <v>9</v>
      </c>
      <c r="I8" s="110"/>
      <c r="J8" s="111" t="s">
        <v>634</v>
      </c>
    </row>
    <row r="9" customHeight="1" spans="1:10">
      <c r="A9" s="114" t="s">
        <v>635</v>
      </c>
      <c r="B9" s="109"/>
      <c r="C9" s="109">
        <v>1</v>
      </c>
      <c r="D9" s="110"/>
      <c r="E9" s="101" t="s">
        <v>636</v>
      </c>
      <c r="F9" s="107"/>
      <c r="G9" s="159" t="s">
        <v>637</v>
      </c>
      <c r="H9" s="109">
        <v>14</v>
      </c>
      <c r="I9" s="110"/>
      <c r="J9" s="112" t="s">
        <v>638</v>
      </c>
    </row>
    <row r="10" customHeight="1" spans="1:10">
      <c r="A10" s="114" t="s">
        <v>535</v>
      </c>
      <c r="B10" s="109">
        <v>1</v>
      </c>
      <c r="C10" s="109"/>
      <c r="D10" s="110"/>
      <c r="E10" s="115" t="s">
        <v>639</v>
      </c>
      <c r="F10" s="107"/>
      <c r="G10" s="159" t="s">
        <v>640</v>
      </c>
      <c r="H10" s="109">
        <v>2</v>
      </c>
      <c r="I10" s="110"/>
      <c r="J10" s="113" t="s">
        <v>641</v>
      </c>
    </row>
    <row r="11" customHeight="1" spans="1:10">
      <c r="A11" s="114" t="s">
        <v>631</v>
      </c>
      <c r="B11" s="109">
        <v>1</v>
      </c>
      <c r="C11" s="109"/>
      <c r="D11" s="110"/>
      <c r="E11" s="115" t="s">
        <v>632</v>
      </c>
      <c r="F11" s="107"/>
      <c r="G11" s="159" t="s">
        <v>640</v>
      </c>
      <c r="H11" s="109">
        <v>2</v>
      </c>
      <c r="I11" s="110"/>
      <c r="J11" s="113" t="s">
        <v>641</v>
      </c>
    </row>
    <row r="12" customHeight="1" spans="1:10">
      <c r="A12" s="114" t="s">
        <v>180</v>
      </c>
      <c r="B12" s="109">
        <v>8</v>
      </c>
      <c r="C12" s="109">
        <v>1</v>
      </c>
      <c r="D12" s="110"/>
      <c r="E12" s="115" t="s">
        <v>634</v>
      </c>
      <c r="F12" s="107"/>
      <c r="G12" s="119" t="s">
        <v>642</v>
      </c>
      <c r="H12" s="120">
        <v>1</v>
      </c>
      <c r="I12" s="118"/>
      <c r="J12" s="123" t="s">
        <v>643</v>
      </c>
    </row>
    <row r="13" customHeight="1" spans="1:10">
      <c r="A13" s="114" t="s">
        <v>522</v>
      </c>
      <c r="B13" s="109"/>
      <c r="C13" s="109">
        <v>1</v>
      </c>
      <c r="D13" s="110"/>
      <c r="E13" s="115" t="s">
        <v>644</v>
      </c>
      <c r="F13" s="107"/>
      <c r="G13" s="119" t="s">
        <v>645</v>
      </c>
      <c r="H13" s="120">
        <v>5</v>
      </c>
      <c r="I13" s="118"/>
      <c r="J13" s="121" t="s">
        <v>646</v>
      </c>
    </row>
    <row r="14" customHeight="1" spans="1:10">
      <c r="A14" s="114" t="s">
        <v>582</v>
      </c>
      <c r="B14" s="117">
        <v>2</v>
      </c>
      <c r="C14" s="117"/>
      <c r="D14" s="124"/>
      <c r="E14" s="115" t="s">
        <v>647</v>
      </c>
      <c r="F14" s="160"/>
      <c r="G14" s="119" t="s">
        <v>648</v>
      </c>
      <c r="H14" s="120">
        <v>102</v>
      </c>
      <c r="I14" s="118"/>
      <c r="J14" s="121" t="s">
        <v>649</v>
      </c>
    </row>
    <row r="15" customHeight="1" spans="1:10">
      <c r="A15" s="125" t="s">
        <v>642</v>
      </c>
      <c r="B15" s="117"/>
      <c r="C15" s="117">
        <v>1</v>
      </c>
      <c r="D15" s="124"/>
      <c r="E15" s="126" t="s">
        <v>643</v>
      </c>
      <c r="F15" s="122"/>
      <c r="G15" s="125" t="s">
        <v>650</v>
      </c>
      <c r="H15" s="120">
        <v>1</v>
      </c>
      <c r="I15" s="118"/>
      <c r="J15" s="126" t="s">
        <v>651</v>
      </c>
    </row>
    <row r="16" customHeight="1" spans="1:10">
      <c r="A16" s="125" t="s">
        <v>652</v>
      </c>
      <c r="B16" s="117"/>
      <c r="C16" s="117">
        <v>1</v>
      </c>
      <c r="D16" s="124"/>
      <c r="E16" s="126" t="s">
        <v>653</v>
      </c>
      <c r="F16" s="122"/>
      <c r="G16" s="125" t="s">
        <v>654</v>
      </c>
      <c r="H16" s="117">
        <v>1</v>
      </c>
      <c r="I16" s="118"/>
      <c r="J16" s="126" t="s">
        <v>655</v>
      </c>
    </row>
    <row r="17" customHeight="1" spans="1:10">
      <c r="A17" s="125" t="s">
        <v>537</v>
      </c>
      <c r="B17" s="117">
        <v>1</v>
      </c>
      <c r="C17" s="117"/>
      <c r="D17" s="124"/>
      <c r="E17" s="126" t="s">
        <v>656</v>
      </c>
      <c r="F17" s="122"/>
      <c r="G17" s="114" t="s">
        <v>629</v>
      </c>
      <c r="H17" s="120">
        <v>1</v>
      </c>
      <c r="I17" s="118"/>
      <c r="J17" s="101" t="s">
        <v>630</v>
      </c>
    </row>
    <row r="18" customHeight="1" spans="1:10">
      <c r="A18" s="125" t="s">
        <v>449</v>
      </c>
      <c r="B18" s="117"/>
      <c r="C18" s="117">
        <v>1</v>
      </c>
      <c r="D18" s="124"/>
      <c r="E18" s="126" t="s">
        <v>657</v>
      </c>
      <c r="F18" s="122"/>
      <c r="G18" s="119"/>
      <c r="H18" s="120"/>
      <c r="I18" s="118"/>
      <c r="J18" s="123"/>
    </row>
    <row r="19" customHeight="1" spans="1:10">
      <c r="A19" s="125" t="s">
        <v>648</v>
      </c>
      <c r="B19" s="117">
        <v>102</v>
      </c>
      <c r="C19" s="117"/>
      <c r="D19" s="124"/>
      <c r="E19" s="126" t="s">
        <v>649</v>
      </c>
      <c r="F19" s="122"/>
      <c r="G19" s="114"/>
      <c r="H19" s="109"/>
      <c r="I19" s="118"/>
      <c r="J19" s="123"/>
    </row>
    <row r="20" customHeight="1" spans="1:10">
      <c r="A20" s="114" t="s">
        <v>495</v>
      </c>
      <c r="B20" s="109"/>
      <c r="C20" s="109">
        <v>1</v>
      </c>
      <c r="D20" s="109">
        <v>1</v>
      </c>
      <c r="E20" s="115" t="s">
        <v>496</v>
      </c>
      <c r="F20" s="122"/>
      <c r="G20" s="114"/>
      <c r="H20" s="109"/>
      <c r="I20" s="118"/>
      <c r="J20" s="115"/>
    </row>
    <row r="21" customHeight="1" spans="1:10">
      <c r="A21" s="125" t="s">
        <v>430</v>
      </c>
      <c r="B21" s="117">
        <v>1</v>
      </c>
      <c r="C21" s="117"/>
      <c r="D21" s="117">
        <v>1</v>
      </c>
      <c r="E21" s="126" t="s">
        <v>497</v>
      </c>
      <c r="F21" s="122"/>
      <c r="G21" s="114"/>
      <c r="H21" s="109"/>
      <c r="I21" s="118"/>
      <c r="J21" s="115"/>
    </row>
    <row r="22" customHeight="1" spans="1:10">
      <c r="A22" s="125" t="s">
        <v>650</v>
      </c>
      <c r="B22" s="117"/>
      <c r="C22" s="117">
        <v>1</v>
      </c>
      <c r="D22" s="117"/>
      <c r="E22" s="126" t="s">
        <v>651</v>
      </c>
      <c r="F22" s="122"/>
      <c r="G22" s="119"/>
      <c r="H22" s="120"/>
      <c r="I22" s="118"/>
      <c r="J22" s="123"/>
    </row>
    <row r="23" customHeight="1" spans="1:10">
      <c r="A23" s="125" t="s">
        <v>654</v>
      </c>
      <c r="B23" s="117">
        <v>1</v>
      </c>
      <c r="C23" s="117"/>
      <c r="D23" s="117"/>
      <c r="E23" s="126" t="s">
        <v>655</v>
      </c>
      <c r="F23" s="122"/>
      <c r="G23" s="125"/>
      <c r="H23" s="117"/>
      <c r="I23" s="118"/>
      <c r="J23" s="165"/>
    </row>
    <row r="24" customHeight="1" spans="1:10">
      <c r="A24" s="125" t="s">
        <v>498</v>
      </c>
      <c r="B24" s="117">
        <v>1</v>
      </c>
      <c r="C24" s="117">
        <v>2</v>
      </c>
      <c r="D24" s="117">
        <v>3</v>
      </c>
      <c r="E24" s="126" t="s">
        <v>499</v>
      </c>
      <c r="F24" s="122"/>
      <c r="G24" s="125"/>
      <c r="H24" s="117"/>
      <c r="I24" s="118"/>
      <c r="J24" s="165"/>
    </row>
    <row r="25" customHeight="1" spans="1:10">
      <c r="A25" s="125"/>
      <c r="B25" s="117"/>
      <c r="C25" s="117"/>
      <c r="D25" s="117"/>
      <c r="E25" s="126"/>
      <c r="F25" s="122"/>
      <c r="G25" s="125"/>
      <c r="H25" s="117"/>
      <c r="I25" s="118"/>
      <c r="J25" s="165"/>
    </row>
    <row r="26" customHeight="1" spans="1:10">
      <c r="A26" s="127"/>
      <c r="B26" s="128"/>
      <c r="C26" s="128"/>
      <c r="D26" s="129"/>
      <c r="E26" s="130"/>
      <c r="F26" s="122"/>
      <c r="G26" s="125"/>
      <c r="H26" s="120"/>
      <c r="I26" s="131"/>
      <c r="J26" s="132"/>
    </row>
    <row r="27" customHeight="1" spans="1:10">
      <c r="A27" s="133" t="s">
        <v>55</v>
      </c>
      <c r="B27" s="134">
        <f>SUM(B6:B26)</f>
        <v>130</v>
      </c>
      <c r="C27" s="134">
        <f>SUM(C6:C26)</f>
        <v>11</v>
      </c>
      <c r="D27" s="134">
        <f>SUM(D6:D26)</f>
        <v>5</v>
      </c>
      <c r="E27" s="135"/>
      <c r="F27" s="122"/>
      <c r="G27" s="136"/>
      <c r="H27" s="134">
        <f>SUM(H6:H26)</f>
        <v>140</v>
      </c>
      <c r="I27" s="137"/>
      <c r="J27" s="138"/>
    </row>
    <row r="29" customHeight="1" spans="1:10">
      <c r="A29" s="17" t="s">
        <v>56</v>
      </c>
      <c r="B29" s="18"/>
      <c r="C29" s="18"/>
      <c r="D29" s="18"/>
      <c r="E29" s="19"/>
    </row>
    <row r="30" customHeight="1" spans="1:10">
      <c r="A30" s="24" t="s">
        <v>7</v>
      </c>
      <c r="B30" s="25" t="s">
        <v>57</v>
      </c>
      <c r="C30" s="26" t="s">
        <v>11</v>
      </c>
      <c r="D30" s="26" t="s">
        <v>10</v>
      </c>
      <c r="E30" s="27" t="s">
        <v>6</v>
      </c>
    </row>
    <row r="31" customHeight="1" spans="1:10">
      <c r="A31" s="150" t="s">
        <v>258</v>
      </c>
      <c r="B31" s="151">
        <v>46279</v>
      </c>
      <c r="C31" s="152">
        <v>2</v>
      </c>
      <c r="D31" s="152">
        <v>2</v>
      </c>
      <c r="E31" s="144" t="s">
        <v>336</v>
      </c>
    </row>
    <row r="32" customHeight="1" spans="1:10">
      <c r="A32" s="150" t="s">
        <v>261</v>
      </c>
      <c r="B32" s="151">
        <v>46279</v>
      </c>
      <c r="C32" s="152">
        <v>8</v>
      </c>
      <c r="D32" s="152">
        <v>8</v>
      </c>
      <c r="E32" s="144" t="s">
        <v>337</v>
      </c>
    </row>
    <row r="33" customHeight="1" spans="1:5">
      <c r="A33" s="150" t="s">
        <v>264</v>
      </c>
      <c r="B33" s="153">
        <v>46286</v>
      </c>
      <c r="C33" s="31">
        <v>8</v>
      </c>
      <c r="D33" s="31">
        <v>8</v>
      </c>
      <c r="E33" s="115" t="s">
        <v>338</v>
      </c>
    </row>
    <row r="34" customHeight="1" spans="1:5">
      <c r="A34" s="150" t="s">
        <v>267</v>
      </c>
      <c r="B34" s="153">
        <v>46288</v>
      </c>
      <c r="C34" s="31">
        <v>2</v>
      </c>
      <c r="D34" s="31">
        <v>2</v>
      </c>
      <c r="E34" s="126" t="s">
        <v>339</v>
      </c>
    </row>
    <row r="35" customHeight="1" spans="1:5">
      <c r="A35" s="114" t="s">
        <v>426</v>
      </c>
      <c r="B35" s="153">
        <v>46295</v>
      </c>
      <c r="C35" s="152">
        <v>11</v>
      </c>
      <c r="D35" s="152">
        <v>11</v>
      </c>
      <c r="E35" s="115" t="s">
        <v>427</v>
      </c>
    </row>
    <row r="36" customHeight="1" spans="1:5">
      <c r="A36" s="114" t="s">
        <v>495</v>
      </c>
      <c r="B36" s="153">
        <v>46296</v>
      </c>
      <c r="C36" s="152">
        <v>1</v>
      </c>
      <c r="D36" s="152">
        <v>1</v>
      </c>
      <c r="E36" s="115" t="s">
        <v>496</v>
      </c>
    </row>
    <row r="37" customHeight="1" spans="1:5">
      <c r="A37" s="125" t="s">
        <v>430</v>
      </c>
      <c r="B37" s="153">
        <v>46296</v>
      </c>
      <c r="C37" s="152">
        <v>1</v>
      </c>
      <c r="D37" s="152">
        <v>1</v>
      </c>
      <c r="E37" s="126" t="s">
        <v>497</v>
      </c>
    </row>
    <row r="38" customHeight="1" spans="1:5">
      <c r="A38" s="125" t="s">
        <v>498</v>
      </c>
      <c r="B38" s="153">
        <v>46296</v>
      </c>
      <c r="C38" s="152">
        <v>3</v>
      </c>
      <c r="D38" s="152">
        <v>3</v>
      </c>
      <c r="E38" s="126" t="s">
        <v>499</v>
      </c>
    </row>
    <row r="39" customHeight="1" spans="1:5">
      <c r="A39" s="125"/>
      <c r="B39" s="153"/>
      <c r="C39" s="152"/>
      <c r="D39" s="152"/>
      <c r="E39" s="126"/>
    </row>
    <row r="40" customHeight="1" spans="1:5">
      <c r="A40" s="150"/>
      <c r="B40" s="151"/>
      <c r="C40" s="152"/>
      <c r="D40" s="152"/>
      <c r="E40" s="144"/>
    </row>
    <row r="41" customHeight="1" spans="1:5">
      <c r="A41" s="45" t="s">
        <v>55</v>
      </c>
      <c r="B41" s="46"/>
      <c r="C41" s="46">
        <f>SUM(C31:C40)</f>
        <v>36</v>
      </c>
      <c r="D41" s="46">
        <f>SUM(D31:D40)</f>
        <v>36</v>
      </c>
      <c r="E41" s="47"/>
    </row>
  </sheetData>
  <mergeCells count="5">
    <mergeCell ref="A1:J1"/>
    <mergeCell ref="A4:D4"/>
    <mergeCell ref="G4:I4"/>
    <mergeCell ref="A29:D29"/>
    <mergeCell ref="J4:J5"/>
  </mergeCells>
  <pageMargins left="0.7" right="0.7" top="0.75" bottom="0.75" header="0.3" footer="0.3"/>
  <pageSetup paperSize="1" scale="42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zoomScale="40" zoomScaleNormal="40" workbookViewId="0">
      <selection activeCell="R5" sqref="R5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46295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658</v>
      </c>
      <c r="B6" s="109">
        <v>41</v>
      </c>
      <c r="C6" s="109"/>
      <c r="D6" s="110"/>
      <c r="E6" s="144" t="s">
        <v>659</v>
      </c>
      <c r="F6" s="102"/>
      <c r="G6" s="103" t="s">
        <v>660</v>
      </c>
      <c r="H6" s="104">
        <v>2</v>
      </c>
      <c r="I6" s="105"/>
      <c r="J6" s="106" t="s">
        <v>661</v>
      </c>
    </row>
    <row r="7" customHeight="1" spans="1:10">
      <c r="A7" s="149" t="s">
        <v>662</v>
      </c>
      <c r="B7" s="109"/>
      <c r="C7" s="109">
        <v>1</v>
      </c>
      <c r="D7" s="110"/>
      <c r="E7" s="101" t="s">
        <v>663</v>
      </c>
      <c r="F7" s="107"/>
      <c r="G7" s="145" t="s">
        <v>664</v>
      </c>
      <c r="H7" s="146">
        <v>1</v>
      </c>
      <c r="I7" s="147"/>
      <c r="J7" s="148" t="s">
        <v>665</v>
      </c>
    </row>
    <row r="8" customHeight="1" spans="1:10">
      <c r="A8" s="114" t="s">
        <v>660</v>
      </c>
      <c r="B8" s="109">
        <v>2</v>
      </c>
      <c r="C8" s="109"/>
      <c r="D8" s="110"/>
      <c r="E8" s="101" t="s">
        <v>661</v>
      </c>
      <c r="F8" s="107"/>
      <c r="G8" s="108" t="s">
        <v>666</v>
      </c>
      <c r="H8" s="109">
        <v>4</v>
      </c>
      <c r="I8" s="110"/>
      <c r="J8" s="111" t="s">
        <v>667</v>
      </c>
    </row>
    <row r="9" customHeight="1" spans="1:10">
      <c r="A9" s="114" t="s">
        <v>129</v>
      </c>
      <c r="B9" s="109"/>
      <c r="C9" s="109">
        <v>2</v>
      </c>
      <c r="D9" s="110"/>
      <c r="E9" s="115" t="s">
        <v>668</v>
      </c>
      <c r="F9" s="107"/>
      <c r="G9" s="108" t="s">
        <v>669</v>
      </c>
      <c r="H9" s="109">
        <v>13</v>
      </c>
      <c r="I9" s="110"/>
      <c r="J9" s="112" t="s">
        <v>670</v>
      </c>
    </row>
    <row r="10" customHeight="1" spans="1:10">
      <c r="A10" s="114" t="s">
        <v>303</v>
      </c>
      <c r="B10" s="109">
        <v>2</v>
      </c>
      <c r="C10" s="109"/>
      <c r="D10" s="110"/>
      <c r="E10" s="115" t="s">
        <v>671</v>
      </c>
      <c r="F10" s="107"/>
      <c r="G10" s="108" t="s">
        <v>672</v>
      </c>
      <c r="H10" s="109">
        <v>3</v>
      </c>
      <c r="I10" s="110"/>
      <c r="J10" s="113" t="s">
        <v>673</v>
      </c>
    </row>
    <row r="11" customHeight="1" spans="1:10">
      <c r="A11" s="114" t="s">
        <v>305</v>
      </c>
      <c r="B11" s="109">
        <v>2</v>
      </c>
      <c r="C11" s="109"/>
      <c r="D11" s="110"/>
      <c r="E11" s="115" t="s">
        <v>674</v>
      </c>
      <c r="F11" s="107"/>
      <c r="G11" s="108" t="s">
        <v>675</v>
      </c>
      <c r="H11" s="109">
        <v>4</v>
      </c>
      <c r="I11" s="110"/>
      <c r="J11" s="113" t="s">
        <v>676</v>
      </c>
    </row>
    <row r="12" customHeight="1" spans="1:10">
      <c r="A12" s="114" t="s">
        <v>166</v>
      </c>
      <c r="B12" s="109">
        <v>8</v>
      </c>
      <c r="C12" s="109"/>
      <c r="D12" s="110"/>
      <c r="E12" s="115" t="s">
        <v>677</v>
      </c>
      <c r="F12" s="107"/>
      <c r="G12" s="119" t="s">
        <v>678</v>
      </c>
      <c r="H12" s="120">
        <v>1</v>
      </c>
      <c r="I12" s="118"/>
      <c r="J12" s="123" t="s">
        <v>679</v>
      </c>
    </row>
    <row r="13" customHeight="1" spans="1:10">
      <c r="A13" s="114" t="s">
        <v>680</v>
      </c>
      <c r="B13" s="109"/>
      <c r="C13" s="109">
        <v>1</v>
      </c>
      <c r="D13" s="109">
        <v>1</v>
      </c>
      <c r="E13" s="115" t="s">
        <v>681</v>
      </c>
      <c r="F13" s="107"/>
      <c r="G13" s="119" t="s">
        <v>682</v>
      </c>
      <c r="H13" s="120">
        <v>3</v>
      </c>
      <c r="I13" s="118"/>
      <c r="J13" s="121" t="s">
        <v>683</v>
      </c>
    </row>
    <row r="14" customHeight="1" spans="1:10">
      <c r="A14" s="114" t="s">
        <v>426</v>
      </c>
      <c r="B14" s="109">
        <v>11</v>
      </c>
      <c r="C14" s="109"/>
      <c r="D14" s="109">
        <v>11</v>
      </c>
      <c r="E14" s="115" t="s">
        <v>427</v>
      </c>
      <c r="F14" s="160"/>
      <c r="G14" s="119" t="s">
        <v>684</v>
      </c>
      <c r="H14" s="120">
        <v>3</v>
      </c>
      <c r="I14" s="118"/>
      <c r="J14" s="121" t="s">
        <v>685</v>
      </c>
    </row>
    <row r="15" customHeight="1" spans="1:10">
      <c r="A15" s="114"/>
      <c r="B15" s="117"/>
      <c r="C15" s="117"/>
      <c r="D15" s="124"/>
      <c r="E15" s="115"/>
      <c r="F15" s="122"/>
      <c r="G15" s="119" t="s">
        <v>686</v>
      </c>
      <c r="H15" s="120">
        <v>5</v>
      </c>
      <c r="I15" s="118"/>
      <c r="J15" s="123" t="s">
        <v>687</v>
      </c>
    </row>
    <row r="16" customHeight="1" spans="1:10">
      <c r="A16" s="114"/>
      <c r="B16" s="117"/>
      <c r="C16" s="117"/>
      <c r="D16" s="117"/>
      <c r="E16" s="115"/>
      <c r="F16" s="122"/>
      <c r="G16" s="119" t="s">
        <v>688</v>
      </c>
      <c r="H16" s="120">
        <v>2</v>
      </c>
      <c r="I16" s="118"/>
      <c r="J16" s="123" t="s">
        <v>689</v>
      </c>
    </row>
    <row r="17" customHeight="1" spans="1:10">
      <c r="A17" s="114"/>
      <c r="B17" s="109"/>
      <c r="C17" s="109"/>
      <c r="D17" s="110"/>
      <c r="E17" s="115"/>
      <c r="F17" s="122"/>
      <c r="G17" s="119" t="s">
        <v>690</v>
      </c>
      <c r="H17" s="120">
        <v>1</v>
      </c>
      <c r="I17" s="118"/>
      <c r="J17" s="123" t="s">
        <v>691</v>
      </c>
    </row>
    <row r="18" customHeight="1" spans="1:10">
      <c r="A18" s="163"/>
      <c r="B18" s="109"/>
      <c r="C18" s="109"/>
      <c r="D18" s="110"/>
      <c r="E18" s="115"/>
      <c r="F18" s="122"/>
      <c r="G18" s="119" t="s">
        <v>166</v>
      </c>
      <c r="H18" s="120">
        <v>8</v>
      </c>
      <c r="I18" s="118"/>
      <c r="J18" s="123" t="s">
        <v>677</v>
      </c>
    </row>
    <row r="19" customHeight="1" spans="1:10">
      <c r="A19" s="114"/>
      <c r="B19" s="109"/>
      <c r="C19" s="109"/>
      <c r="D19" s="110"/>
      <c r="E19" s="115"/>
      <c r="F19" s="122"/>
      <c r="G19" s="114" t="s">
        <v>692</v>
      </c>
      <c r="H19" s="109">
        <v>4</v>
      </c>
      <c r="I19" s="118"/>
      <c r="J19" s="123" t="s">
        <v>693</v>
      </c>
    </row>
    <row r="20" customHeight="1" spans="1:10">
      <c r="A20" s="114"/>
      <c r="B20" s="109"/>
      <c r="C20" s="109"/>
      <c r="D20" s="110"/>
      <c r="E20" s="115"/>
      <c r="F20" s="122"/>
      <c r="G20" s="114" t="s">
        <v>694</v>
      </c>
      <c r="H20" s="109">
        <v>1</v>
      </c>
      <c r="I20" s="118"/>
      <c r="J20" s="115" t="s">
        <v>695</v>
      </c>
    </row>
    <row r="21" customHeight="1" spans="1:10">
      <c r="A21" s="114"/>
      <c r="B21" s="109"/>
      <c r="C21" s="109"/>
      <c r="D21" s="110"/>
      <c r="E21" s="115"/>
      <c r="F21" s="122"/>
      <c r="G21" s="114" t="s">
        <v>696</v>
      </c>
      <c r="H21" s="109">
        <v>1</v>
      </c>
      <c r="I21" s="118"/>
      <c r="J21" s="115" t="s">
        <v>697</v>
      </c>
    </row>
    <row r="22" customHeight="1" spans="1:10">
      <c r="A22" s="125"/>
      <c r="B22" s="117"/>
      <c r="C22" s="117"/>
      <c r="D22" s="117"/>
      <c r="E22" s="126"/>
      <c r="F22" s="122"/>
      <c r="G22" s="119" t="s">
        <v>698</v>
      </c>
      <c r="H22" s="120">
        <v>1</v>
      </c>
      <c r="I22" s="118"/>
      <c r="J22" s="123" t="s">
        <v>699</v>
      </c>
    </row>
    <row r="23" customHeight="1" spans="1:10">
      <c r="A23" s="125"/>
      <c r="B23" s="117"/>
      <c r="C23" s="117"/>
      <c r="D23" s="124"/>
      <c r="E23" s="126"/>
      <c r="F23" s="122"/>
      <c r="G23" s="143" t="s">
        <v>658</v>
      </c>
      <c r="H23" s="109">
        <v>41</v>
      </c>
      <c r="I23" s="118"/>
      <c r="J23" s="144" t="s">
        <v>659</v>
      </c>
    </row>
    <row r="24" customHeight="1" spans="1:10">
      <c r="A24" s="127"/>
      <c r="B24" s="128"/>
      <c r="C24" s="128"/>
      <c r="D24" s="129"/>
      <c r="E24" s="130"/>
      <c r="F24" s="122"/>
      <c r="G24" s="125"/>
      <c r="H24" s="120"/>
      <c r="I24" s="131"/>
      <c r="J24" s="132"/>
    </row>
    <row r="25" customHeight="1" spans="1:10">
      <c r="A25" s="133" t="s">
        <v>55</v>
      </c>
      <c r="B25" s="134">
        <f>SUM(B6:B24)</f>
        <v>66</v>
      </c>
      <c r="C25" s="134">
        <f>SUM(C6:C24)</f>
        <v>4</v>
      </c>
      <c r="D25" s="134">
        <f>SUM(D6:D24)</f>
        <v>12</v>
      </c>
      <c r="E25" s="135"/>
      <c r="F25" s="122"/>
      <c r="G25" s="136"/>
      <c r="H25" s="134">
        <f>SUM(H6:H24)</f>
        <v>98</v>
      </c>
      <c r="I25" s="137"/>
      <c r="J25" s="138"/>
    </row>
    <row r="27" customHeight="1" spans="1:10">
      <c r="A27" s="17" t="s">
        <v>56</v>
      </c>
      <c r="B27" s="18"/>
      <c r="C27" s="18"/>
      <c r="D27" s="18"/>
      <c r="E27" s="19"/>
    </row>
    <row r="28" customHeight="1" spans="1:10">
      <c r="A28" s="24" t="s">
        <v>7</v>
      </c>
      <c r="B28" s="25" t="s">
        <v>57</v>
      </c>
      <c r="C28" s="26" t="s">
        <v>11</v>
      </c>
      <c r="D28" s="26" t="s">
        <v>10</v>
      </c>
      <c r="E28" s="27" t="s">
        <v>6</v>
      </c>
    </row>
    <row r="29" customHeight="1" spans="1:10">
      <c r="A29" s="150" t="s">
        <v>258</v>
      </c>
      <c r="B29" s="151">
        <v>46279</v>
      </c>
      <c r="C29" s="152">
        <v>2</v>
      </c>
      <c r="D29" s="152">
        <v>2</v>
      </c>
      <c r="E29" s="144" t="s">
        <v>336</v>
      </c>
    </row>
    <row r="30" customHeight="1" spans="1:10">
      <c r="A30" s="150" t="s">
        <v>261</v>
      </c>
      <c r="B30" s="151">
        <v>46279</v>
      </c>
      <c r="C30" s="152">
        <v>8</v>
      </c>
      <c r="D30" s="152">
        <v>8</v>
      </c>
      <c r="E30" s="144" t="s">
        <v>337</v>
      </c>
    </row>
    <row r="31" customHeight="1" spans="1:10">
      <c r="A31" s="150" t="s">
        <v>264</v>
      </c>
      <c r="B31" s="153">
        <v>46286</v>
      </c>
      <c r="C31" s="31">
        <v>8</v>
      </c>
      <c r="D31" s="31">
        <v>8</v>
      </c>
      <c r="E31" s="115" t="s">
        <v>338</v>
      </c>
    </row>
    <row r="32" customHeight="1" spans="1:10">
      <c r="A32" s="150" t="s">
        <v>267</v>
      </c>
      <c r="B32" s="153">
        <v>46288</v>
      </c>
      <c r="C32" s="31">
        <v>2</v>
      </c>
      <c r="D32" s="31">
        <v>2</v>
      </c>
      <c r="E32" s="126" t="s">
        <v>339</v>
      </c>
    </row>
    <row r="33" customHeight="1" spans="1:5">
      <c r="A33" s="114" t="s">
        <v>680</v>
      </c>
      <c r="B33" s="153">
        <v>46295</v>
      </c>
      <c r="C33" s="152">
        <v>1</v>
      </c>
      <c r="D33" s="152">
        <v>1</v>
      </c>
      <c r="E33" s="115" t="s">
        <v>681</v>
      </c>
    </row>
    <row r="34" customHeight="1" spans="1:5">
      <c r="A34" s="114" t="s">
        <v>426</v>
      </c>
      <c r="B34" s="153">
        <v>46295</v>
      </c>
      <c r="C34" s="152">
        <v>11</v>
      </c>
      <c r="D34" s="152">
        <v>11</v>
      </c>
      <c r="E34" s="115" t="s">
        <v>427</v>
      </c>
    </row>
    <row r="35" customHeight="1" spans="1:5">
      <c r="A35" s="150"/>
      <c r="B35" s="151"/>
      <c r="C35" s="152"/>
      <c r="D35" s="152"/>
      <c r="E35" s="144"/>
    </row>
    <row r="36" customHeight="1" spans="1:5">
      <c r="A36" s="150"/>
      <c r="B36" s="151"/>
      <c r="C36" s="152"/>
      <c r="D36" s="152"/>
      <c r="E36" s="144"/>
    </row>
    <row r="37" customHeight="1" spans="1:5">
      <c r="A37" s="45" t="s">
        <v>55</v>
      </c>
      <c r="B37" s="46"/>
      <c r="C37" s="46">
        <f>SUM(C29:C36)</f>
        <v>32</v>
      </c>
      <c r="D37" s="46">
        <f>SUM(D29:D36)</f>
        <v>32</v>
      </c>
      <c r="E37" s="47"/>
    </row>
  </sheetData>
  <mergeCells count="5">
    <mergeCell ref="A1:J1"/>
    <mergeCell ref="A4:D4"/>
    <mergeCell ref="G4:I4"/>
    <mergeCell ref="A27:D27"/>
    <mergeCell ref="J4:J5"/>
  </mergeCells>
  <pageMargins left="0.7" right="0.7" top="0.75" bottom="0.75" header="0.3" footer="0.3"/>
  <pageSetup paperSize="1" scale="42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5"/>
  <sheetViews>
    <sheetView zoomScale="40" zoomScaleNormal="40" topLeftCell="A9" workbookViewId="0">
      <selection activeCell="G29" sqref="G29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46294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56" t="s">
        <v>700</v>
      </c>
      <c r="B6" s="109">
        <v>20</v>
      </c>
      <c r="C6" s="109"/>
      <c r="D6" s="110"/>
      <c r="E6" s="144" t="s">
        <v>701</v>
      </c>
      <c r="F6" s="102"/>
      <c r="G6" s="145" t="s">
        <v>702</v>
      </c>
      <c r="H6" s="146">
        <v>8</v>
      </c>
      <c r="I6" s="147"/>
      <c r="J6" s="148" t="s">
        <v>703</v>
      </c>
    </row>
    <row r="7" customHeight="1" spans="1:10">
      <c r="A7" s="114" t="s">
        <v>580</v>
      </c>
      <c r="B7" s="109">
        <v>1</v>
      </c>
      <c r="C7" s="109"/>
      <c r="D7" s="110"/>
      <c r="E7" s="144" t="s">
        <v>704</v>
      </c>
      <c r="F7" s="107"/>
      <c r="G7" s="125" t="s">
        <v>705</v>
      </c>
      <c r="H7" s="104">
        <v>1</v>
      </c>
      <c r="I7" s="105"/>
      <c r="J7" s="106" t="s">
        <v>706</v>
      </c>
    </row>
    <row r="8" customHeight="1" spans="1:10">
      <c r="A8" s="114" t="s">
        <v>707</v>
      </c>
      <c r="B8" s="109">
        <v>2</v>
      </c>
      <c r="C8" s="109"/>
      <c r="D8" s="110"/>
      <c r="E8" s="115" t="s">
        <v>708</v>
      </c>
      <c r="F8" s="107"/>
      <c r="G8" s="157" t="s">
        <v>700</v>
      </c>
      <c r="H8" s="146">
        <v>20</v>
      </c>
      <c r="I8" s="147"/>
      <c r="J8" s="148" t="s">
        <v>709</v>
      </c>
    </row>
    <row r="9" customHeight="1" spans="1:10">
      <c r="A9" s="158" t="s">
        <v>710</v>
      </c>
      <c r="B9" s="109">
        <v>4</v>
      </c>
      <c r="C9" s="109"/>
      <c r="D9" s="110"/>
      <c r="E9" s="101" t="s">
        <v>711</v>
      </c>
      <c r="F9" s="107"/>
      <c r="G9" s="116" t="s">
        <v>712</v>
      </c>
      <c r="H9" s="109">
        <v>10</v>
      </c>
      <c r="I9" s="110"/>
      <c r="J9" s="115" t="s">
        <v>713</v>
      </c>
    </row>
    <row r="10" customHeight="1" spans="1:10">
      <c r="A10" s="158" t="s">
        <v>300</v>
      </c>
      <c r="B10" s="109">
        <v>1</v>
      </c>
      <c r="C10" s="109"/>
      <c r="D10" s="110"/>
      <c r="E10" s="101" t="s">
        <v>714</v>
      </c>
      <c r="F10" s="107"/>
      <c r="G10" s="159" t="s">
        <v>715</v>
      </c>
      <c r="H10" s="109">
        <v>35</v>
      </c>
      <c r="I10" s="110"/>
      <c r="J10" s="112" t="s">
        <v>716</v>
      </c>
    </row>
    <row r="11" customHeight="1" spans="1:10">
      <c r="A11" s="158" t="s">
        <v>717</v>
      </c>
      <c r="B11" s="109">
        <v>10</v>
      </c>
      <c r="C11" s="109"/>
      <c r="D11" s="110"/>
      <c r="E11" s="115" t="s">
        <v>718</v>
      </c>
      <c r="F11" s="107"/>
      <c r="G11" s="108" t="s">
        <v>719</v>
      </c>
      <c r="H11" s="109">
        <v>3</v>
      </c>
      <c r="I11" s="110"/>
      <c r="J11" s="113" t="s">
        <v>720</v>
      </c>
    </row>
    <row r="12" customHeight="1" spans="1:10">
      <c r="A12" s="116" t="s">
        <v>712</v>
      </c>
      <c r="B12" s="109">
        <v>10</v>
      </c>
      <c r="C12" s="109"/>
      <c r="D12" s="109"/>
      <c r="E12" s="115" t="s">
        <v>713</v>
      </c>
      <c r="F12" s="107"/>
      <c r="G12" s="108" t="s">
        <v>721</v>
      </c>
      <c r="H12" s="109">
        <v>1</v>
      </c>
      <c r="I12" s="110"/>
      <c r="J12" s="113" t="s">
        <v>722</v>
      </c>
    </row>
    <row r="13" customHeight="1" spans="1:10">
      <c r="A13" s="116" t="s">
        <v>28</v>
      </c>
      <c r="B13" s="109">
        <v>5</v>
      </c>
      <c r="C13" s="109"/>
      <c r="D13" s="110"/>
      <c r="E13" s="115" t="s">
        <v>723</v>
      </c>
      <c r="F13" s="107"/>
      <c r="G13" s="119" t="s">
        <v>724</v>
      </c>
      <c r="H13" s="120">
        <v>27</v>
      </c>
      <c r="I13" s="118"/>
      <c r="J13" s="123" t="s">
        <v>725</v>
      </c>
    </row>
    <row r="14" customHeight="1" spans="1:10">
      <c r="A14" s="116" t="s">
        <v>28</v>
      </c>
      <c r="B14" s="109">
        <v>3</v>
      </c>
      <c r="C14" s="109"/>
      <c r="D14" s="110"/>
      <c r="E14" s="115" t="s">
        <v>726</v>
      </c>
      <c r="F14" s="160"/>
      <c r="G14" s="119" t="s">
        <v>46</v>
      </c>
      <c r="H14" s="120">
        <v>2</v>
      </c>
      <c r="I14" s="118"/>
      <c r="J14" s="123" t="s">
        <v>727</v>
      </c>
    </row>
    <row r="15" customHeight="1" spans="1:10">
      <c r="A15" s="116" t="s">
        <v>728</v>
      </c>
      <c r="B15" s="117">
        <v>1</v>
      </c>
      <c r="C15" s="117"/>
      <c r="D15" s="124"/>
      <c r="E15" s="115" t="s">
        <v>729</v>
      </c>
      <c r="F15" s="122"/>
      <c r="G15" s="119" t="s">
        <v>730</v>
      </c>
      <c r="H15" s="120">
        <v>1</v>
      </c>
      <c r="I15" s="118"/>
      <c r="J15" s="121" t="s">
        <v>731</v>
      </c>
    </row>
    <row r="16" customHeight="1" spans="1:10">
      <c r="A16" s="116" t="s">
        <v>408</v>
      </c>
      <c r="B16" s="117">
        <v>3</v>
      </c>
      <c r="C16" s="117"/>
      <c r="D16" s="117"/>
      <c r="E16" s="115" t="s">
        <v>732</v>
      </c>
      <c r="F16" s="122"/>
      <c r="G16" s="119" t="s">
        <v>733</v>
      </c>
      <c r="H16" s="120">
        <v>1</v>
      </c>
      <c r="I16" s="118"/>
      <c r="J16" s="121" t="s">
        <v>734</v>
      </c>
    </row>
    <row r="17" customHeight="1" spans="1:10">
      <c r="A17" s="161" t="s">
        <v>735</v>
      </c>
      <c r="B17" s="109">
        <v>30</v>
      </c>
      <c r="C17" s="109"/>
      <c r="D17" s="110"/>
      <c r="E17" s="115" t="s">
        <v>736</v>
      </c>
      <c r="F17" s="122"/>
      <c r="G17" s="119" t="s">
        <v>737</v>
      </c>
      <c r="H17" s="120">
        <v>1</v>
      </c>
      <c r="I17" s="118"/>
      <c r="J17" s="123" t="s">
        <v>738</v>
      </c>
    </row>
    <row r="18" customHeight="1" spans="1:10">
      <c r="A18" s="162" t="s">
        <v>739</v>
      </c>
      <c r="B18" s="109">
        <v>1</v>
      </c>
      <c r="C18" s="109"/>
      <c r="D18" s="110"/>
      <c r="E18" s="115" t="s">
        <v>740</v>
      </c>
      <c r="F18" s="122"/>
      <c r="G18" s="116" t="s">
        <v>735</v>
      </c>
      <c r="H18" s="109">
        <v>30</v>
      </c>
      <c r="I18" s="118"/>
      <c r="J18" s="123" t="s">
        <v>741</v>
      </c>
    </row>
    <row r="19" customHeight="1" spans="1:10">
      <c r="A19" s="161" t="s">
        <v>408</v>
      </c>
      <c r="B19" s="109">
        <v>10</v>
      </c>
      <c r="C19" s="109"/>
      <c r="D19" s="110"/>
      <c r="E19" s="115" t="s">
        <v>742</v>
      </c>
      <c r="F19" s="122"/>
      <c r="G19" s="114" t="s">
        <v>743</v>
      </c>
      <c r="H19" s="109">
        <v>1</v>
      </c>
      <c r="I19" s="118"/>
      <c r="J19" s="123" t="s">
        <v>744</v>
      </c>
    </row>
    <row r="20" customHeight="1" spans="1:10">
      <c r="A20" s="114" t="s">
        <v>743</v>
      </c>
      <c r="B20" s="109">
        <v>1</v>
      </c>
      <c r="C20" s="109"/>
      <c r="D20" s="110"/>
      <c r="E20" s="115" t="s">
        <v>744</v>
      </c>
      <c r="F20" s="122"/>
      <c r="G20" s="114" t="s">
        <v>172</v>
      </c>
      <c r="H20" s="109">
        <v>7</v>
      </c>
      <c r="I20" s="118"/>
      <c r="J20" s="115" t="s">
        <v>745</v>
      </c>
    </row>
    <row r="21" customHeight="1" spans="1:10">
      <c r="A21" s="114" t="s">
        <v>172</v>
      </c>
      <c r="B21" s="109">
        <v>7</v>
      </c>
      <c r="C21" s="109"/>
      <c r="D21" s="110"/>
      <c r="E21" s="115" t="s">
        <v>745</v>
      </c>
      <c r="F21" s="122"/>
      <c r="G21" s="114" t="s">
        <v>746</v>
      </c>
      <c r="H21" s="109">
        <v>1</v>
      </c>
      <c r="I21" s="118"/>
      <c r="J21" s="115" t="s">
        <v>747</v>
      </c>
    </row>
    <row r="22" customHeight="1" spans="1:10">
      <c r="A22" s="114" t="s">
        <v>135</v>
      </c>
      <c r="B22" s="109"/>
      <c r="C22" s="109">
        <v>1</v>
      </c>
      <c r="D22" s="110"/>
      <c r="E22" s="115" t="s">
        <v>748</v>
      </c>
      <c r="F22" s="122"/>
      <c r="G22" s="114" t="s">
        <v>707</v>
      </c>
      <c r="H22" s="109">
        <v>2</v>
      </c>
      <c r="I22" s="118"/>
      <c r="J22" s="115" t="s">
        <v>708</v>
      </c>
    </row>
    <row r="23" customHeight="1" spans="1:10">
      <c r="A23" s="114" t="s">
        <v>62</v>
      </c>
      <c r="B23" s="109"/>
      <c r="C23" s="109">
        <v>2</v>
      </c>
      <c r="D23" s="110"/>
      <c r="E23" s="115" t="s">
        <v>749</v>
      </c>
      <c r="F23" s="122"/>
      <c r="G23" s="116" t="s">
        <v>728</v>
      </c>
      <c r="H23" s="117">
        <v>1</v>
      </c>
      <c r="I23" s="118"/>
      <c r="J23" s="115" t="s">
        <v>729</v>
      </c>
    </row>
    <row r="24" customHeight="1" spans="1:10">
      <c r="A24" s="114" t="s">
        <v>746</v>
      </c>
      <c r="B24" s="109">
        <v>1</v>
      </c>
      <c r="C24" s="109"/>
      <c r="D24" s="110"/>
      <c r="E24" s="115" t="s">
        <v>747</v>
      </c>
      <c r="F24" s="122"/>
      <c r="G24" s="119"/>
      <c r="H24" s="120"/>
      <c r="I24" s="118"/>
      <c r="J24" s="123"/>
    </row>
    <row r="25" customHeight="1" spans="1:10">
      <c r="A25" s="114" t="s">
        <v>138</v>
      </c>
      <c r="B25" s="117"/>
      <c r="C25" s="117">
        <v>2</v>
      </c>
      <c r="D25" s="124"/>
      <c r="E25" s="115" t="s">
        <v>750</v>
      </c>
      <c r="F25" s="122"/>
      <c r="G25" s="119"/>
      <c r="H25" s="120"/>
      <c r="I25" s="118"/>
      <c r="J25" s="123"/>
    </row>
    <row r="26" customHeight="1" spans="1:10">
      <c r="A26" s="125" t="s">
        <v>482</v>
      </c>
      <c r="B26" s="117">
        <v>1</v>
      </c>
      <c r="C26" s="117"/>
      <c r="D26" s="117"/>
      <c r="E26" s="126" t="s">
        <v>751</v>
      </c>
      <c r="F26" s="122"/>
      <c r="G26" s="119"/>
      <c r="H26" s="120"/>
      <c r="I26" s="118"/>
      <c r="J26" s="123"/>
    </row>
    <row r="27" customHeight="1" spans="1:10">
      <c r="A27" s="125" t="s">
        <v>221</v>
      </c>
      <c r="B27" s="117">
        <v>8</v>
      </c>
      <c r="C27" s="117"/>
      <c r="D27" s="117"/>
      <c r="E27" s="126" t="s">
        <v>752</v>
      </c>
      <c r="F27" s="122"/>
      <c r="G27" s="119"/>
      <c r="H27" s="120"/>
      <c r="I27" s="118"/>
      <c r="J27" s="123"/>
    </row>
    <row r="28" customHeight="1" spans="1:10">
      <c r="A28" s="125"/>
      <c r="B28" s="117"/>
      <c r="C28" s="117"/>
      <c r="D28" s="124"/>
      <c r="E28" s="126"/>
      <c r="F28" s="122"/>
      <c r="G28" s="119"/>
      <c r="H28" s="120"/>
      <c r="I28" s="118"/>
      <c r="J28" s="123"/>
    </row>
    <row r="29" customHeight="1" spans="1:10">
      <c r="A29" s="125"/>
      <c r="B29" s="117"/>
      <c r="C29" s="117"/>
      <c r="D29" s="124"/>
      <c r="E29" s="126"/>
      <c r="F29" s="122"/>
      <c r="G29" s="119"/>
      <c r="H29" s="120"/>
      <c r="I29" s="118"/>
      <c r="J29" s="123"/>
    </row>
    <row r="30" customHeight="1" spans="1:10">
      <c r="A30" s="125"/>
      <c r="B30" s="117"/>
      <c r="C30" s="117"/>
      <c r="D30" s="117"/>
      <c r="E30" s="126"/>
      <c r="F30" s="122"/>
      <c r="G30" s="119"/>
      <c r="H30" s="120"/>
      <c r="I30" s="118"/>
      <c r="J30" s="123"/>
    </row>
    <row r="31" customHeight="1" spans="1:10">
      <c r="A31" s="125"/>
      <c r="B31" s="117"/>
      <c r="C31" s="117"/>
      <c r="D31" s="124"/>
      <c r="E31" s="126"/>
      <c r="F31" s="122"/>
      <c r="G31" s="119"/>
      <c r="H31" s="120"/>
      <c r="I31" s="118"/>
      <c r="J31" s="121"/>
    </row>
    <row r="32" customHeight="1" spans="1:10">
      <c r="A32" s="127"/>
      <c r="B32" s="128"/>
      <c r="C32" s="128"/>
      <c r="D32" s="129"/>
      <c r="E32" s="130"/>
      <c r="F32" s="122"/>
      <c r="G32" s="125"/>
      <c r="H32" s="120"/>
      <c r="I32" s="131"/>
      <c r="J32" s="132"/>
    </row>
    <row r="33" customHeight="1" spans="1:10">
      <c r="A33" s="133" t="s">
        <v>55</v>
      </c>
      <c r="B33" s="134">
        <f>SUM(B6:B32)</f>
        <v>119</v>
      </c>
      <c r="C33" s="134">
        <f>SUM(C6:C32)</f>
        <v>5</v>
      </c>
      <c r="D33" s="134">
        <f>SUM(D6:D32)</f>
        <v>0</v>
      </c>
      <c r="E33" s="135"/>
      <c r="F33" s="122"/>
      <c r="G33" s="136"/>
      <c r="H33" s="134">
        <f>SUM(H6:H32)</f>
        <v>152</v>
      </c>
      <c r="I33" s="137"/>
      <c r="J33" s="138"/>
    </row>
    <row r="35" customHeight="1" spans="1:10">
      <c r="A35" s="17" t="s">
        <v>56</v>
      </c>
      <c r="B35" s="18"/>
      <c r="C35" s="18"/>
      <c r="D35" s="18"/>
      <c r="E35" s="19"/>
    </row>
    <row r="36" customHeight="1" spans="1:10">
      <c r="A36" s="24" t="s">
        <v>7</v>
      </c>
      <c r="B36" s="25" t="s">
        <v>57</v>
      </c>
      <c r="C36" s="26" t="s">
        <v>11</v>
      </c>
      <c r="D36" s="26" t="s">
        <v>10</v>
      </c>
      <c r="E36" s="27" t="s">
        <v>6</v>
      </c>
    </row>
    <row r="37" customHeight="1" spans="1:10">
      <c r="A37" s="150" t="s">
        <v>258</v>
      </c>
      <c r="B37" s="151">
        <v>46279</v>
      </c>
      <c r="C37" s="152">
        <v>2</v>
      </c>
      <c r="D37" s="152">
        <v>2</v>
      </c>
      <c r="E37" s="144" t="s">
        <v>336</v>
      </c>
    </row>
    <row r="38" customHeight="1" spans="1:10">
      <c r="A38" s="150" t="s">
        <v>261</v>
      </c>
      <c r="B38" s="151">
        <v>46279</v>
      </c>
      <c r="C38" s="152">
        <v>8</v>
      </c>
      <c r="D38" s="152">
        <v>8</v>
      </c>
      <c r="E38" s="144" t="s">
        <v>337</v>
      </c>
    </row>
    <row r="39" customHeight="1" spans="1:10">
      <c r="A39" s="150" t="s">
        <v>264</v>
      </c>
      <c r="B39" s="153">
        <v>46286</v>
      </c>
      <c r="C39" s="31">
        <v>8</v>
      </c>
      <c r="D39" s="31">
        <v>8</v>
      </c>
      <c r="E39" s="115" t="s">
        <v>338</v>
      </c>
    </row>
    <row r="40" customHeight="1" spans="1:10">
      <c r="A40" s="150" t="s">
        <v>267</v>
      </c>
      <c r="B40" s="153">
        <v>46288</v>
      </c>
      <c r="C40" s="31">
        <v>2</v>
      </c>
      <c r="D40" s="31">
        <v>2</v>
      </c>
      <c r="E40" s="126" t="s">
        <v>339</v>
      </c>
    </row>
    <row r="41" customHeight="1" spans="1:10">
      <c r="A41" s="125"/>
      <c r="B41" s="153"/>
      <c r="C41" s="152"/>
      <c r="D41" s="152"/>
      <c r="E41" s="115"/>
    </row>
    <row r="42" customHeight="1" spans="1:10">
      <c r="A42" s="114"/>
      <c r="B42" s="153"/>
      <c r="C42" s="152"/>
      <c r="D42" s="152"/>
      <c r="E42" s="115"/>
    </row>
    <row r="43" customHeight="1" spans="1:10">
      <c r="A43" s="150"/>
      <c r="B43" s="151"/>
      <c r="C43" s="152"/>
      <c r="D43" s="152"/>
      <c r="E43" s="144"/>
    </row>
    <row r="44" customHeight="1" spans="1:10">
      <c r="A44" s="150"/>
      <c r="B44" s="151"/>
      <c r="C44" s="152"/>
      <c r="D44" s="152"/>
      <c r="E44" s="144"/>
    </row>
    <row r="45" customHeight="1" spans="1:10">
      <c r="A45" s="45" t="s">
        <v>55</v>
      </c>
      <c r="B45" s="46"/>
      <c r="C45" s="46">
        <f>SUM(C37:C44)</f>
        <v>20</v>
      </c>
      <c r="D45" s="46">
        <f>SUM(D37:D44)</f>
        <v>20</v>
      </c>
      <c r="E45" s="47"/>
    </row>
  </sheetData>
  <mergeCells count="5">
    <mergeCell ref="A1:J1"/>
    <mergeCell ref="A4:D4"/>
    <mergeCell ref="G4:I4"/>
    <mergeCell ref="A35:D35"/>
    <mergeCell ref="J4:J5"/>
  </mergeCells>
  <pageMargins left="0.7" right="0.7" top="0.75" bottom="0.75" header="0.3" footer="0.3"/>
  <pageSetup paperSize="1" scale="42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4"/>
  <sheetViews>
    <sheetView zoomScale="40" zoomScaleNormal="40" workbookViewId="0">
      <selection activeCell="R5" sqref="R5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46293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154</v>
      </c>
      <c r="B6" s="109">
        <v>94</v>
      </c>
      <c r="C6" s="109"/>
      <c r="D6" s="110"/>
      <c r="E6" s="144" t="s">
        <v>753</v>
      </c>
      <c r="F6" s="102"/>
      <c r="G6" s="145" t="s">
        <v>754</v>
      </c>
      <c r="H6" s="146">
        <v>1</v>
      </c>
      <c r="I6" s="147"/>
      <c r="J6" s="148" t="s">
        <v>755</v>
      </c>
    </row>
    <row r="7" customHeight="1" spans="1:10">
      <c r="A7" s="114" t="s">
        <v>756</v>
      </c>
      <c r="B7" s="109"/>
      <c r="C7" s="109">
        <v>1</v>
      </c>
      <c r="D7" s="110"/>
      <c r="E7" s="144" t="s">
        <v>757</v>
      </c>
      <c r="F7" s="107"/>
      <c r="G7" s="103" t="s">
        <v>758</v>
      </c>
      <c r="H7" s="104">
        <v>1</v>
      </c>
      <c r="I7" s="105"/>
      <c r="J7" s="106" t="s">
        <v>759</v>
      </c>
    </row>
    <row r="8" customHeight="1" spans="1:10">
      <c r="A8" s="114" t="s">
        <v>760</v>
      </c>
      <c r="B8" s="109">
        <v>3</v>
      </c>
      <c r="C8" s="109"/>
      <c r="D8" s="110"/>
      <c r="E8" s="115" t="s">
        <v>761</v>
      </c>
      <c r="F8" s="107"/>
      <c r="G8" s="145" t="s">
        <v>487</v>
      </c>
      <c r="H8" s="146">
        <v>2</v>
      </c>
      <c r="I8" s="147"/>
      <c r="J8" s="148" t="s">
        <v>762</v>
      </c>
    </row>
    <row r="9" customHeight="1" spans="1:10">
      <c r="A9" s="149" t="s">
        <v>763</v>
      </c>
      <c r="B9" s="109">
        <v>5</v>
      </c>
      <c r="C9" s="109"/>
      <c r="D9" s="110"/>
      <c r="E9" s="101" t="s">
        <v>764</v>
      </c>
      <c r="F9" s="107"/>
      <c r="G9" s="108" t="s">
        <v>765</v>
      </c>
      <c r="H9" s="109">
        <v>14</v>
      </c>
      <c r="I9" s="110"/>
      <c r="J9" s="111" t="s">
        <v>766</v>
      </c>
    </row>
    <row r="10" customHeight="1" spans="1:10">
      <c r="A10" s="114" t="s">
        <v>758</v>
      </c>
      <c r="B10" s="109">
        <v>1</v>
      </c>
      <c r="C10" s="109"/>
      <c r="D10" s="110"/>
      <c r="E10" s="101" t="s">
        <v>759</v>
      </c>
      <c r="F10" s="107"/>
      <c r="G10" s="108" t="s">
        <v>767</v>
      </c>
      <c r="H10" s="109">
        <v>2</v>
      </c>
      <c r="I10" s="110"/>
      <c r="J10" s="112" t="s">
        <v>766</v>
      </c>
    </row>
    <row r="11" customHeight="1" spans="1:10">
      <c r="A11" s="114" t="s">
        <v>66</v>
      </c>
      <c r="B11" s="109"/>
      <c r="C11" s="109">
        <v>1</v>
      </c>
      <c r="D11" s="110"/>
      <c r="E11" s="115" t="s">
        <v>768</v>
      </c>
      <c r="F11" s="107"/>
      <c r="G11" s="108" t="s">
        <v>769</v>
      </c>
      <c r="H11" s="109">
        <v>100</v>
      </c>
      <c r="I11" s="110"/>
      <c r="J11" s="113" t="s">
        <v>770</v>
      </c>
    </row>
    <row r="12" customHeight="1" spans="1:10">
      <c r="A12" s="114" t="s">
        <v>487</v>
      </c>
      <c r="B12" s="109">
        <v>2</v>
      </c>
      <c r="C12" s="109"/>
      <c r="D12" s="110"/>
      <c r="E12" s="115" t="s">
        <v>762</v>
      </c>
      <c r="F12" s="107"/>
      <c r="G12" s="108" t="s">
        <v>771</v>
      </c>
      <c r="H12" s="109">
        <v>3</v>
      </c>
      <c r="I12" s="110"/>
      <c r="J12" s="113" t="s">
        <v>772</v>
      </c>
    </row>
    <row r="13" customHeight="1" spans="1:10">
      <c r="A13" s="114" t="s">
        <v>773</v>
      </c>
      <c r="B13" s="109"/>
      <c r="C13" s="109">
        <v>1</v>
      </c>
      <c r="D13" s="110"/>
      <c r="E13" s="115" t="s">
        <v>774</v>
      </c>
      <c r="F13" s="107"/>
      <c r="G13" s="119" t="s">
        <v>775</v>
      </c>
      <c r="H13" s="120">
        <v>85</v>
      </c>
      <c r="I13" s="118"/>
      <c r="J13" s="123" t="s">
        <v>776</v>
      </c>
    </row>
    <row r="14" customHeight="1" spans="1:10">
      <c r="A14" s="114" t="s">
        <v>777</v>
      </c>
      <c r="B14" s="117">
        <v>1</v>
      </c>
      <c r="C14" s="117"/>
      <c r="D14" s="124"/>
      <c r="E14" s="115" t="s">
        <v>778</v>
      </c>
      <c r="F14" s="122"/>
      <c r="G14" s="119" t="s">
        <v>779</v>
      </c>
      <c r="H14" s="120">
        <v>4</v>
      </c>
      <c r="I14" s="118"/>
      <c r="J14" s="121" t="s">
        <v>780</v>
      </c>
    </row>
    <row r="15" customHeight="1" spans="1:10">
      <c r="A15" s="114" t="s">
        <v>702</v>
      </c>
      <c r="B15" s="117">
        <v>8</v>
      </c>
      <c r="C15" s="117"/>
      <c r="D15" s="117">
        <v>8</v>
      </c>
      <c r="E15" s="115" t="s">
        <v>781</v>
      </c>
      <c r="F15" s="122"/>
      <c r="G15" s="119" t="s">
        <v>782</v>
      </c>
      <c r="H15" s="120">
        <v>46</v>
      </c>
      <c r="I15" s="118"/>
      <c r="J15" s="121" t="s">
        <v>783</v>
      </c>
    </row>
    <row r="16" customHeight="1" spans="1:10">
      <c r="A16" s="114" t="s">
        <v>131</v>
      </c>
      <c r="B16" s="109"/>
      <c r="C16" s="109">
        <v>3</v>
      </c>
      <c r="D16" s="110"/>
      <c r="E16" s="115" t="s">
        <v>784</v>
      </c>
      <c r="F16" s="122"/>
      <c r="G16" s="119" t="s">
        <v>785</v>
      </c>
      <c r="H16" s="120">
        <v>1</v>
      </c>
      <c r="I16" s="118"/>
      <c r="J16" s="123" t="s">
        <v>786</v>
      </c>
    </row>
    <row r="17" customHeight="1" spans="1:10">
      <c r="A17" s="114"/>
      <c r="B17" s="109"/>
      <c r="C17" s="109"/>
      <c r="D17" s="110"/>
      <c r="E17" s="115"/>
      <c r="F17" s="122"/>
      <c r="G17" s="119" t="s">
        <v>787</v>
      </c>
      <c r="H17" s="120">
        <v>9</v>
      </c>
      <c r="I17" s="118"/>
      <c r="J17" s="123" t="s">
        <v>788</v>
      </c>
    </row>
    <row r="18" customHeight="1" spans="1:10">
      <c r="A18" s="114"/>
      <c r="B18" s="109"/>
      <c r="C18" s="109"/>
      <c r="D18" s="110"/>
      <c r="E18" s="115"/>
      <c r="F18" s="122"/>
      <c r="G18" s="119" t="s">
        <v>789</v>
      </c>
      <c r="H18" s="120">
        <v>1</v>
      </c>
      <c r="I18" s="118"/>
      <c r="J18" s="123" t="s">
        <v>790</v>
      </c>
    </row>
    <row r="19" customHeight="1" spans="1:10">
      <c r="A19" s="114"/>
      <c r="B19" s="109"/>
      <c r="C19" s="109"/>
      <c r="D19" s="110"/>
      <c r="E19" s="115"/>
      <c r="F19" s="122"/>
      <c r="G19" s="119" t="s">
        <v>791</v>
      </c>
      <c r="H19" s="120">
        <v>4</v>
      </c>
      <c r="I19" s="118"/>
      <c r="J19" s="123" t="s">
        <v>792</v>
      </c>
    </row>
    <row r="20" customHeight="1" spans="1:10">
      <c r="A20" s="114"/>
      <c r="B20" s="109"/>
      <c r="C20" s="109"/>
      <c r="D20" s="110"/>
      <c r="E20" s="115"/>
      <c r="F20" s="122"/>
      <c r="G20" s="119" t="s">
        <v>793</v>
      </c>
      <c r="H20" s="120">
        <v>4</v>
      </c>
      <c r="I20" s="118"/>
      <c r="J20" s="123" t="s">
        <v>794</v>
      </c>
    </row>
    <row r="21" customHeight="1" spans="1:10">
      <c r="A21" s="114"/>
      <c r="B21" s="109"/>
      <c r="C21" s="109"/>
      <c r="D21" s="110"/>
      <c r="E21" s="115"/>
      <c r="F21" s="122"/>
      <c r="G21" s="119" t="s">
        <v>795</v>
      </c>
      <c r="H21" s="120">
        <v>4</v>
      </c>
      <c r="I21" s="118"/>
      <c r="J21" s="123" t="s">
        <v>796</v>
      </c>
    </row>
    <row r="22" customHeight="1" spans="1:10">
      <c r="A22" s="114"/>
      <c r="B22" s="109"/>
      <c r="C22" s="109"/>
      <c r="D22" s="110"/>
      <c r="E22" s="115"/>
      <c r="F22" s="122"/>
      <c r="G22" s="119" t="s">
        <v>797</v>
      </c>
      <c r="H22" s="120">
        <v>1</v>
      </c>
      <c r="I22" s="118"/>
      <c r="J22" s="123" t="s">
        <v>796</v>
      </c>
    </row>
    <row r="23" customHeight="1" spans="1:10">
      <c r="A23" s="114"/>
      <c r="B23" s="109"/>
      <c r="C23" s="109"/>
      <c r="D23" s="110"/>
      <c r="E23" s="115"/>
      <c r="F23" s="122"/>
      <c r="G23" s="119" t="s">
        <v>798</v>
      </c>
      <c r="H23" s="120">
        <v>1</v>
      </c>
      <c r="I23" s="118"/>
      <c r="J23" s="123" t="s">
        <v>799</v>
      </c>
    </row>
    <row r="24" customHeight="1" spans="1:10">
      <c r="A24" s="114"/>
      <c r="B24" s="117"/>
      <c r="C24" s="117"/>
      <c r="D24" s="124"/>
      <c r="E24" s="115"/>
      <c r="F24" s="122"/>
      <c r="G24" s="119" t="s">
        <v>800</v>
      </c>
      <c r="H24" s="120">
        <v>1</v>
      </c>
      <c r="I24" s="118"/>
      <c r="J24" s="123" t="s">
        <v>801</v>
      </c>
    </row>
    <row r="25" customHeight="1" spans="1:10">
      <c r="A25" s="125"/>
      <c r="B25" s="117"/>
      <c r="C25" s="117"/>
      <c r="D25" s="124"/>
      <c r="E25" s="126"/>
      <c r="F25" s="122"/>
      <c r="G25" s="119" t="s">
        <v>802</v>
      </c>
      <c r="H25" s="120">
        <v>1</v>
      </c>
      <c r="I25" s="118"/>
      <c r="J25" s="123" t="s">
        <v>803</v>
      </c>
    </row>
    <row r="26" customHeight="1" spans="1:10">
      <c r="A26" s="125"/>
      <c r="B26" s="117"/>
      <c r="C26" s="117"/>
      <c r="D26" s="117"/>
      <c r="E26" s="126"/>
      <c r="F26" s="122"/>
      <c r="G26" s="119" t="s">
        <v>804</v>
      </c>
      <c r="H26" s="120">
        <v>1</v>
      </c>
      <c r="I26" s="118"/>
      <c r="J26" s="123" t="s">
        <v>805</v>
      </c>
    </row>
    <row r="27" customHeight="1" spans="1:10">
      <c r="A27" s="125"/>
      <c r="B27" s="117"/>
      <c r="C27" s="117"/>
      <c r="D27" s="124"/>
      <c r="E27" s="126"/>
      <c r="F27" s="122"/>
      <c r="G27" s="119" t="s">
        <v>806</v>
      </c>
      <c r="H27" s="120">
        <v>1</v>
      </c>
      <c r="I27" s="118"/>
      <c r="J27" s="123" t="s">
        <v>807</v>
      </c>
    </row>
    <row r="28" customHeight="1" spans="1:10">
      <c r="A28" s="125"/>
      <c r="B28" s="117"/>
      <c r="C28" s="117"/>
      <c r="D28" s="124"/>
      <c r="E28" s="126"/>
      <c r="F28" s="122"/>
      <c r="G28" s="119" t="s">
        <v>808</v>
      </c>
      <c r="H28" s="120">
        <v>1</v>
      </c>
      <c r="I28" s="118"/>
      <c r="J28" s="123" t="s">
        <v>809</v>
      </c>
    </row>
    <row r="29" customHeight="1" spans="1:10">
      <c r="A29" s="125"/>
      <c r="B29" s="117"/>
      <c r="C29" s="117"/>
      <c r="D29" s="117"/>
      <c r="E29" s="126"/>
      <c r="F29" s="122"/>
      <c r="G29" s="119" t="s">
        <v>810</v>
      </c>
      <c r="H29" s="120">
        <v>1</v>
      </c>
      <c r="I29" s="118"/>
      <c r="J29" s="123" t="s">
        <v>811</v>
      </c>
    </row>
    <row r="30" customHeight="1" spans="1:10">
      <c r="A30" s="125"/>
      <c r="B30" s="117"/>
      <c r="C30" s="117"/>
      <c r="D30" s="124"/>
      <c r="E30" s="126"/>
      <c r="F30" s="122"/>
      <c r="G30" s="119"/>
      <c r="H30" s="120"/>
      <c r="I30" s="118"/>
      <c r="J30" s="121"/>
    </row>
    <row r="31" customHeight="1" spans="1:10">
      <c r="A31" s="127"/>
      <c r="B31" s="128"/>
      <c r="C31" s="128"/>
      <c r="D31" s="129"/>
      <c r="E31" s="130"/>
      <c r="F31" s="122"/>
      <c r="G31" s="125"/>
      <c r="H31" s="120"/>
      <c r="I31" s="131"/>
      <c r="J31" s="132"/>
    </row>
    <row r="32" customHeight="1" spans="1:10">
      <c r="A32" s="133" t="s">
        <v>55</v>
      </c>
      <c r="B32" s="134">
        <f>SUM(B6:B31)</f>
        <v>114</v>
      </c>
      <c r="C32" s="134">
        <f>SUM(C6:C31)</f>
        <v>6</v>
      </c>
      <c r="D32" s="134">
        <f>SUM(D6:D31)</f>
        <v>8</v>
      </c>
      <c r="E32" s="135"/>
      <c r="F32" s="122"/>
      <c r="G32" s="136"/>
      <c r="H32" s="134">
        <f>SUM(H6:H31)</f>
        <v>289</v>
      </c>
      <c r="I32" s="137"/>
      <c r="J32" s="138"/>
    </row>
    <row r="34" customHeight="1" spans="1:5">
      <c r="A34" s="17" t="s">
        <v>56</v>
      </c>
      <c r="B34" s="18"/>
      <c r="C34" s="18"/>
      <c r="D34" s="18"/>
      <c r="E34" s="19"/>
    </row>
    <row r="35" customHeight="1" spans="1:5">
      <c r="A35" s="24" t="s">
        <v>7</v>
      </c>
      <c r="B35" s="25" t="s">
        <v>57</v>
      </c>
      <c r="C35" s="26" t="s">
        <v>11</v>
      </c>
      <c r="D35" s="26" t="s">
        <v>10</v>
      </c>
      <c r="E35" s="27" t="s">
        <v>6</v>
      </c>
    </row>
    <row r="36" customHeight="1" spans="1:5">
      <c r="A36" s="150" t="s">
        <v>258</v>
      </c>
      <c r="B36" s="151">
        <v>46279</v>
      </c>
      <c r="C36" s="152">
        <v>2</v>
      </c>
      <c r="D36" s="152">
        <v>2</v>
      </c>
      <c r="E36" s="144" t="s">
        <v>336</v>
      </c>
    </row>
    <row r="37" customHeight="1" spans="1:5">
      <c r="A37" s="150" t="s">
        <v>261</v>
      </c>
      <c r="B37" s="151">
        <v>46279</v>
      </c>
      <c r="C37" s="152">
        <v>8</v>
      </c>
      <c r="D37" s="152">
        <v>8</v>
      </c>
      <c r="E37" s="144" t="s">
        <v>337</v>
      </c>
    </row>
    <row r="38" customHeight="1" spans="1:5">
      <c r="A38" s="150" t="s">
        <v>264</v>
      </c>
      <c r="B38" s="153">
        <v>46286</v>
      </c>
      <c r="C38" s="31">
        <v>8</v>
      </c>
      <c r="D38" s="31">
        <v>8</v>
      </c>
      <c r="E38" s="115" t="s">
        <v>338</v>
      </c>
    </row>
    <row r="39" customHeight="1" spans="1:5">
      <c r="A39" s="150" t="s">
        <v>267</v>
      </c>
      <c r="B39" s="153">
        <v>46288</v>
      </c>
      <c r="C39" s="31">
        <v>2</v>
      </c>
      <c r="D39" s="31">
        <v>2</v>
      </c>
      <c r="E39" s="126" t="s">
        <v>339</v>
      </c>
    </row>
    <row r="40" customHeight="1" spans="1:5">
      <c r="A40" s="125" t="s">
        <v>705</v>
      </c>
      <c r="B40" s="153">
        <v>46289</v>
      </c>
      <c r="C40" s="152">
        <v>1</v>
      </c>
      <c r="D40" s="152">
        <v>1</v>
      </c>
      <c r="E40" s="126" t="s">
        <v>812</v>
      </c>
    </row>
    <row r="41" customHeight="1" spans="1:5">
      <c r="A41" s="114" t="s">
        <v>702</v>
      </c>
      <c r="B41" s="153">
        <v>46293</v>
      </c>
      <c r="C41" s="152">
        <v>8</v>
      </c>
      <c r="D41" s="152">
        <v>8</v>
      </c>
      <c r="E41" s="115" t="s">
        <v>781</v>
      </c>
    </row>
    <row r="42" customHeight="1" spans="1:5">
      <c r="A42" s="150"/>
      <c r="B42" s="151"/>
      <c r="C42" s="152"/>
      <c r="D42" s="152"/>
      <c r="E42" s="144"/>
    </row>
    <row r="43" customHeight="1" spans="1:5">
      <c r="A43" s="150"/>
      <c r="B43" s="151"/>
      <c r="C43" s="152"/>
      <c r="D43" s="152"/>
      <c r="E43" s="144"/>
    </row>
    <row r="44" customHeight="1" spans="1:5">
      <c r="A44" s="45" t="s">
        <v>55</v>
      </c>
      <c r="B44" s="46"/>
      <c r="C44" s="46">
        <f>SUM(C36:C43)</f>
        <v>29</v>
      </c>
      <c r="D44" s="46">
        <f>SUM(D36:D43)</f>
        <v>29</v>
      </c>
      <c r="E44" s="47"/>
    </row>
  </sheetData>
  <mergeCells count="5">
    <mergeCell ref="A1:J1"/>
    <mergeCell ref="A4:D4"/>
    <mergeCell ref="G4:I4"/>
    <mergeCell ref="A34:D34"/>
    <mergeCell ref="J4:J5"/>
  </mergeCells>
  <pageMargins left="0.7" right="0.7" top="0.75" bottom="0.75" header="0.3" footer="0.3"/>
  <pageSetup paperSize="1" scale="42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F42"/>
  <sheetViews>
    <sheetView topLeftCell="B24" workbookViewId="0">
      <selection activeCell="D4" sqref="D4:D42"/>
    </sheetView>
  </sheetViews>
  <sheetFormatPr defaultColWidth="8.66666666666667" defaultRowHeight="14" outlineLevelCol="5"/>
  <cols>
    <col min="4" max="4" width="31" customWidth="1"/>
  </cols>
  <sheetData>
    <row r="4" spans="4:6">
      <c r="D4" s="154" t="s">
        <v>813</v>
      </c>
    </row>
    <row r="5" spans="4:6">
      <c r="D5" s="154" t="s">
        <v>814</v>
      </c>
    </row>
    <row r="6" spans="4:6">
      <c r="D6" s="154" t="s">
        <v>815</v>
      </c>
    </row>
    <row r="7" spans="4:6">
      <c r="D7" s="154" t="s">
        <v>816</v>
      </c>
    </row>
    <row r="8" ht="17" spans="4:6">
      <c r="D8" s="154" t="s">
        <v>817</v>
      </c>
      <c r="F8" s="155"/>
    </row>
    <row r="9" spans="4:6">
      <c r="D9" s="154" t="s">
        <v>818</v>
      </c>
    </row>
    <row r="10" spans="4:6">
      <c r="D10" s="154" t="s">
        <v>819</v>
      </c>
    </row>
    <row r="11" spans="4:6">
      <c r="D11" s="154" t="s">
        <v>820</v>
      </c>
    </row>
    <row r="12" spans="4:6">
      <c r="D12" s="154" t="s">
        <v>821</v>
      </c>
    </row>
    <row r="13" spans="4:6">
      <c r="D13" s="154" t="s">
        <v>822</v>
      </c>
    </row>
    <row r="14" spans="4:6">
      <c r="D14" s="154" t="s">
        <v>823</v>
      </c>
    </row>
    <row r="15" spans="4:6">
      <c r="D15" s="154" t="s">
        <v>824</v>
      </c>
    </row>
    <row r="16" spans="4:6">
      <c r="D16" s="154" t="s">
        <v>825</v>
      </c>
    </row>
    <row r="17" spans="4:4">
      <c r="D17" s="154" t="s">
        <v>826</v>
      </c>
    </row>
    <row r="18" spans="4:4">
      <c r="D18" s="154" t="s">
        <v>827</v>
      </c>
    </row>
    <row r="19" spans="4:4">
      <c r="D19" s="154" t="s">
        <v>828</v>
      </c>
    </row>
    <row r="20" spans="4:4">
      <c r="D20" s="154" t="s">
        <v>829</v>
      </c>
    </row>
    <row r="21" spans="4:4">
      <c r="D21" s="154" t="s">
        <v>830</v>
      </c>
    </row>
    <row r="22" spans="4:4">
      <c r="D22" s="154" t="s">
        <v>831</v>
      </c>
    </row>
    <row r="23" spans="4:4">
      <c r="D23" s="154" t="s">
        <v>832</v>
      </c>
    </row>
    <row r="24" spans="4:4">
      <c r="D24" s="154" t="s">
        <v>833</v>
      </c>
    </row>
    <row r="25" spans="4:4">
      <c r="D25" s="154" t="s">
        <v>834</v>
      </c>
    </row>
    <row r="26" spans="4:4">
      <c r="D26" s="154" t="s">
        <v>835</v>
      </c>
    </row>
    <row r="27" spans="4:4">
      <c r="D27" s="154" t="s">
        <v>836</v>
      </c>
    </row>
    <row r="28" spans="4:4">
      <c r="D28" s="154" t="s">
        <v>837</v>
      </c>
    </row>
    <row r="29" spans="4:4">
      <c r="D29" s="154" t="s">
        <v>838</v>
      </c>
    </row>
    <row r="30" spans="4:4">
      <c r="D30" s="154" t="s">
        <v>839</v>
      </c>
    </row>
    <row r="31" spans="4:4">
      <c r="D31" s="154" t="s">
        <v>840</v>
      </c>
    </row>
    <row r="32" spans="4:4">
      <c r="D32" s="154" t="s">
        <v>841</v>
      </c>
    </row>
    <row r="33" spans="4:4">
      <c r="D33" s="154" t="s">
        <v>842</v>
      </c>
    </row>
    <row r="34" spans="4:4">
      <c r="D34" s="154" t="s">
        <v>843</v>
      </c>
    </row>
    <row r="35" spans="4:4">
      <c r="D35" s="154" t="s">
        <v>844</v>
      </c>
    </row>
    <row r="36" spans="4:4">
      <c r="D36" s="154" t="s">
        <v>845</v>
      </c>
    </row>
    <row r="37" spans="4:4">
      <c r="D37" s="154" t="s">
        <v>846</v>
      </c>
    </row>
    <row r="38" spans="4:4">
      <c r="D38" s="154" t="s">
        <v>847</v>
      </c>
    </row>
    <row r="39" spans="4:4">
      <c r="D39" s="154" t="s">
        <v>848</v>
      </c>
    </row>
    <row r="40" spans="4:4">
      <c r="D40" s="154" t="s">
        <v>849</v>
      </c>
    </row>
    <row r="41" spans="4:4">
      <c r="D41" s="154" t="s">
        <v>850</v>
      </c>
    </row>
    <row r="42" spans="4:4">
      <c r="D42" s="154" t="s">
        <v>851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2"/>
  <sheetViews>
    <sheetView zoomScale="40" zoomScaleNormal="40" topLeftCell="A6" workbookViewId="0">
      <selection activeCell="A19" sqref="A19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46289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143" t="s">
        <v>719</v>
      </c>
      <c r="B6" s="109">
        <v>3</v>
      </c>
      <c r="C6" s="109"/>
      <c r="D6" s="109"/>
      <c r="E6" s="144" t="s">
        <v>852</v>
      </c>
      <c r="F6" s="102"/>
      <c r="G6" s="103" t="s">
        <v>853</v>
      </c>
      <c r="H6" s="104">
        <v>5</v>
      </c>
      <c r="I6" s="105"/>
      <c r="J6" s="106" t="s">
        <v>854</v>
      </c>
    </row>
    <row r="7" customHeight="1" spans="1:10">
      <c r="A7" s="143" t="s">
        <v>855</v>
      </c>
      <c r="B7" s="109"/>
      <c r="C7" s="109">
        <v>1</v>
      </c>
      <c r="D7" s="110"/>
      <c r="E7" s="144" t="s">
        <v>856</v>
      </c>
      <c r="F7" s="107"/>
      <c r="G7" s="145" t="s">
        <v>857</v>
      </c>
      <c r="H7" s="146">
        <v>3</v>
      </c>
      <c r="I7" s="147"/>
      <c r="J7" s="148" t="s">
        <v>858</v>
      </c>
    </row>
    <row r="8" customHeight="1" spans="1:10">
      <c r="A8" s="114" t="s">
        <v>859</v>
      </c>
      <c r="B8" s="109"/>
      <c r="C8" s="109">
        <v>1</v>
      </c>
      <c r="D8" s="110"/>
      <c r="E8" s="144" t="s">
        <v>860</v>
      </c>
      <c r="F8" s="107"/>
      <c r="G8" s="108" t="s">
        <v>861</v>
      </c>
      <c r="H8" s="109">
        <v>1</v>
      </c>
      <c r="I8" s="110"/>
      <c r="J8" s="111" t="s">
        <v>862</v>
      </c>
    </row>
    <row r="9" customHeight="1" spans="1:10">
      <c r="A9" s="114" t="s">
        <v>808</v>
      </c>
      <c r="B9" s="109">
        <v>1</v>
      </c>
      <c r="C9" s="109"/>
      <c r="D9" s="110"/>
      <c r="E9" s="115" t="s">
        <v>863</v>
      </c>
      <c r="F9" s="107"/>
      <c r="G9" s="108" t="s">
        <v>864</v>
      </c>
      <c r="H9" s="109">
        <v>1</v>
      </c>
      <c r="I9" s="110"/>
      <c r="J9" s="112" t="s">
        <v>865</v>
      </c>
    </row>
    <row r="10" customHeight="1" spans="1:10">
      <c r="A10" s="114" t="s">
        <v>810</v>
      </c>
      <c r="B10" s="109">
        <v>1</v>
      </c>
      <c r="C10" s="109"/>
      <c r="D10" s="110"/>
      <c r="E10" s="115" t="s">
        <v>866</v>
      </c>
      <c r="F10" s="107"/>
      <c r="G10" s="108" t="s">
        <v>867</v>
      </c>
      <c r="H10" s="109">
        <v>3</v>
      </c>
      <c r="I10" s="110"/>
      <c r="J10" s="113" t="s">
        <v>868</v>
      </c>
    </row>
    <row r="11" customHeight="1" spans="1:10">
      <c r="A11" s="114" t="s">
        <v>869</v>
      </c>
      <c r="B11" s="109">
        <v>16</v>
      </c>
      <c r="C11" s="109"/>
      <c r="D11" s="110"/>
      <c r="E11" s="101" t="s">
        <v>870</v>
      </c>
      <c r="F11" s="107"/>
      <c r="G11" s="108" t="s">
        <v>871</v>
      </c>
      <c r="H11" s="109">
        <v>1</v>
      </c>
      <c r="I11" s="110"/>
      <c r="J11" s="113" t="s">
        <v>872</v>
      </c>
    </row>
    <row r="12" customHeight="1" spans="1:10">
      <c r="A12" s="149" t="s">
        <v>578</v>
      </c>
      <c r="B12" s="109">
        <v>1</v>
      </c>
      <c r="C12" s="109"/>
      <c r="D12" s="110"/>
      <c r="E12" s="101" t="s">
        <v>873</v>
      </c>
      <c r="F12" s="107"/>
      <c r="G12" s="119" t="s">
        <v>176</v>
      </c>
      <c r="H12" s="120">
        <v>5</v>
      </c>
      <c r="I12" s="118"/>
      <c r="J12" s="123" t="s">
        <v>874</v>
      </c>
    </row>
    <row r="13" customHeight="1" spans="1:10">
      <c r="A13" s="114" t="s">
        <v>875</v>
      </c>
      <c r="B13" s="109"/>
      <c r="C13" s="109">
        <v>1</v>
      </c>
      <c r="D13" s="110"/>
      <c r="E13" s="101" t="s">
        <v>876</v>
      </c>
      <c r="F13" s="107"/>
      <c r="G13" s="119" t="s">
        <v>877</v>
      </c>
      <c r="H13" s="120">
        <v>6</v>
      </c>
      <c r="I13" s="118"/>
      <c r="J13" s="121" t="s">
        <v>878</v>
      </c>
    </row>
    <row r="14" customHeight="1" spans="1:10">
      <c r="A14" s="114" t="s">
        <v>94</v>
      </c>
      <c r="B14" s="109">
        <v>1</v>
      </c>
      <c r="C14" s="109"/>
      <c r="D14" s="110"/>
      <c r="E14" s="115" t="s">
        <v>879</v>
      </c>
      <c r="F14" s="122"/>
      <c r="G14" s="119" t="s">
        <v>880</v>
      </c>
      <c r="H14" s="120">
        <v>1</v>
      </c>
      <c r="I14" s="118"/>
      <c r="J14" s="121" t="s">
        <v>881</v>
      </c>
    </row>
    <row r="15" customHeight="1" spans="1:10">
      <c r="A15" s="114" t="s">
        <v>806</v>
      </c>
      <c r="B15" s="109">
        <v>1</v>
      </c>
      <c r="C15" s="109"/>
      <c r="D15" s="110"/>
      <c r="E15" s="115" t="s">
        <v>882</v>
      </c>
      <c r="F15" s="122"/>
      <c r="G15" s="119" t="s">
        <v>883</v>
      </c>
      <c r="H15" s="120">
        <v>1</v>
      </c>
      <c r="I15" s="118"/>
      <c r="J15" s="123" t="s">
        <v>884</v>
      </c>
    </row>
    <row r="16" customHeight="1" spans="1:10">
      <c r="A16" s="114" t="s">
        <v>50</v>
      </c>
      <c r="B16" s="109">
        <v>1</v>
      </c>
      <c r="C16" s="109"/>
      <c r="D16" s="110"/>
      <c r="E16" s="115" t="s">
        <v>885</v>
      </c>
      <c r="F16" s="122"/>
      <c r="G16" s="119" t="s">
        <v>886</v>
      </c>
      <c r="H16" s="120">
        <v>1</v>
      </c>
      <c r="I16" s="118"/>
      <c r="J16" s="123" t="s">
        <v>887</v>
      </c>
    </row>
    <row r="17" customHeight="1" spans="1:10">
      <c r="A17" s="114" t="s">
        <v>176</v>
      </c>
      <c r="B17" s="109">
        <v>5</v>
      </c>
      <c r="C17" s="109"/>
      <c r="D17" s="110"/>
      <c r="E17" s="115" t="s">
        <v>874</v>
      </c>
      <c r="F17" s="122"/>
      <c r="G17" s="119" t="s">
        <v>888</v>
      </c>
      <c r="H17" s="120">
        <v>2</v>
      </c>
      <c r="I17" s="118"/>
      <c r="J17" s="123" t="s">
        <v>889</v>
      </c>
    </row>
    <row r="18" customHeight="1" spans="1:10">
      <c r="A18" s="114" t="s">
        <v>316</v>
      </c>
      <c r="B18" s="117">
        <v>4</v>
      </c>
      <c r="C18" s="117"/>
      <c r="D18" s="124"/>
      <c r="E18" s="115" t="s">
        <v>890</v>
      </c>
      <c r="F18" s="122"/>
      <c r="G18" s="119" t="s">
        <v>891</v>
      </c>
      <c r="H18" s="120">
        <v>1</v>
      </c>
      <c r="I18" s="118"/>
      <c r="J18" s="123" t="s">
        <v>892</v>
      </c>
    </row>
    <row r="19" customHeight="1" spans="1:10">
      <c r="A19" s="125" t="s">
        <v>893</v>
      </c>
      <c r="B19" s="117">
        <v>2</v>
      </c>
      <c r="C19" s="117"/>
      <c r="D19" s="124"/>
      <c r="E19" s="126" t="s">
        <v>894</v>
      </c>
      <c r="F19" s="122"/>
      <c r="G19" s="119" t="s">
        <v>895</v>
      </c>
      <c r="H19" s="120">
        <v>1</v>
      </c>
      <c r="I19" s="118"/>
      <c r="J19" s="123" t="s">
        <v>896</v>
      </c>
    </row>
    <row r="20" customHeight="1" spans="1:10">
      <c r="A20" s="125" t="s">
        <v>897</v>
      </c>
      <c r="B20" s="117">
        <v>36</v>
      </c>
      <c r="C20" s="117"/>
      <c r="D20" s="117">
        <v>36</v>
      </c>
      <c r="E20" s="126" t="s">
        <v>898</v>
      </c>
      <c r="F20" s="122"/>
      <c r="G20" s="119" t="s">
        <v>899</v>
      </c>
      <c r="H20" s="120">
        <v>2</v>
      </c>
      <c r="I20" s="118"/>
      <c r="J20" s="123" t="s">
        <v>900</v>
      </c>
    </row>
    <row r="21" customHeight="1" spans="1:10">
      <c r="A21" s="125" t="s">
        <v>901</v>
      </c>
      <c r="B21" s="117">
        <v>1</v>
      </c>
      <c r="C21" s="117"/>
      <c r="D21" s="124"/>
      <c r="E21" s="126" t="s">
        <v>902</v>
      </c>
      <c r="F21" s="122"/>
      <c r="G21" s="119" t="s">
        <v>903</v>
      </c>
      <c r="H21" s="120">
        <v>1</v>
      </c>
      <c r="I21" s="118"/>
      <c r="J21" s="123" t="s">
        <v>904</v>
      </c>
    </row>
    <row r="22" customHeight="1" spans="1:10">
      <c r="A22" s="125" t="s">
        <v>293</v>
      </c>
      <c r="B22" s="117">
        <v>1</v>
      </c>
      <c r="C22" s="117"/>
      <c r="D22" s="124"/>
      <c r="E22" s="126" t="s">
        <v>905</v>
      </c>
      <c r="F22" s="122"/>
      <c r="G22" s="114" t="s">
        <v>869</v>
      </c>
      <c r="H22" s="109">
        <v>16</v>
      </c>
      <c r="I22" s="110"/>
      <c r="J22" s="101" t="s">
        <v>870</v>
      </c>
    </row>
    <row r="23" customHeight="1" spans="1:10">
      <c r="A23" s="125" t="s">
        <v>705</v>
      </c>
      <c r="B23" s="117"/>
      <c r="C23" s="117">
        <v>1</v>
      </c>
      <c r="D23" s="117">
        <v>1</v>
      </c>
      <c r="E23" s="126" t="s">
        <v>812</v>
      </c>
      <c r="F23" s="122"/>
      <c r="G23" s="119" t="s">
        <v>715</v>
      </c>
      <c r="H23" s="120">
        <v>35</v>
      </c>
      <c r="I23" s="118"/>
      <c r="J23" s="123" t="s">
        <v>906</v>
      </c>
    </row>
    <row r="24" customHeight="1" spans="1:10">
      <c r="A24" s="119" t="s">
        <v>715</v>
      </c>
      <c r="B24" s="117">
        <v>35</v>
      </c>
      <c r="C24" s="117"/>
      <c r="D24" s="124"/>
      <c r="E24" s="126" t="s">
        <v>907</v>
      </c>
      <c r="F24" s="122"/>
      <c r="G24" s="119"/>
      <c r="H24" s="120"/>
      <c r="I24" s="118"/>
      <c r="J24" s="121"/>
    </row>
    <row r="25" customHeight="1" spans="1:10">
      <c r="A25" s="125"/>
      <c r="B25" s="117"/>
      <c r="C25" s="117"/>
      <c r="D25" s="124"/>
      <c r="E25" s="126"/>
      <c r="F25" s="122"/>
      <c r="G25" s="119"/>
      <c r="H25" s="120"/>
      <c r="I25" s="118"/>
      <c r="J25" s="121"/>
    </row>
    <row r="26" customHeight="1" spans="1:10">
      <c r="A26" s="125"/>
      <c r="B26" s="117"/>
      <c r="C26" s="117"/>
      <c r="D26" s="117"/>
      <c r="E26" s="126"/>
      <c r="F26" s="122"/>
      <c r="G26" s="119"/>
      <c r="H26" s="120"/>
      <c r="I26" s="118"/>
      <c r="J26" s="123"/>
    </row>
    <row r="27" customHeight="1" spans="1:10">
      <c r="A27" s="125"/>
      <c r="B27" s="117"/>
      <c r="C27" s="117"/>
      <c r="D27" s="124"/>
      <c r="E27" s="126"/>
      <c r="F27" s="122"/>
      <c r="G27" s="119"/>
      <c r="H27" s="120"/>
      <c r="I27" s="118"/>
      <c r="J27" s="123"/>
    </row>
    <row r="28" customHeight="1" spans="1:10">
      <c r="A28" s="125"/>
      <c r="B28" s="117"/>
      <c r="C28" s="117"/>
      <c r="D28" s="117"/>
      <c r="E28" s="126"/>
      <c r="F28" s="122"/>
      <c r="G28" s="125"/>
      <c r="H28" s="117"/>
      <c r="I28" s="118"/>
      <c r="J28" s="126"/>
    </row>
    <row r="29" customHeight="1" spans="1:10">
      <c r="A29" s="127"/>
      <c r="B29" s="128"/>
      <c r="C29" s="128"/>
      <c r="D29" s="129"/>
      <c r="E29" s="130"/>
      <c r="F29" s="122"/>
      <c r="G29" s="125"/>
      <c r="H29" s="120"/>
      <c r="I29" s="131"/>
      <c r="J29" s="132"/>
    </row>
    <row r="30" customHeight="1" spans="1:10">
      <c r="A30" s="133" t="s">
        <v>55</v>
      </c>
      <c r="B30" s="134">
        <f>SUM(B6:B29)</f>
        <v>109</v>
      </c>
      <c r="C30" s="134">
        <f>SUM(C6:C29)</f>
        <v>4</v>
      </c>
      <c r="D30" s="134">
        <f>SUM(D6:D29)</f>
        <v>37</v>
      </c>
      <c r="E30" s="135"/>
      <c r="F30" s="122"/>
      <c r="G30" s="136"/>
      <c r="H30" s="134">
        <f>SUM(H6:H29)</f>
        <v>86</v>
      </c>
      <c r="I30" s="137"/>
      <c r="J30" s="138"/>
    </row>
    <row r="32" customHeight="1" spans="1:10">
      <c r="A32" s="17" t="s">
        <v>56</v>
      </c>
      <c r="B32" s="18"/>
      <c r="C32" s="18"/>
      <c r="D32" s="18"/>
      <c r="E32" s="19"/>
    </row>
    <row r="33" customHeight="1" spans="1:5">
      <c r="A33" s="24" t="s">
        <v>7</v>
      </c>
      <c r="B33" s="25" t="s">
        <v>57</v>
      </c>
      <c r="C33" s="26" t="s">
        <v>11</v>
      </c>
      <c r="D33" s="26" t="s">
        <v>10</v>
      </c>
      <c r="E33" s="27" t="s">
        <v>6</v>
      </c>
    </row>
    <row r="34" customHeight="1" spans="1:5">
      <c r="A34" s="150" t="s">
        <v>258</v>
      </c>
      <c r="B34" s="151">
        <v>46279</v>
      </c>
      <c r="C34" s="152">
        <v>2</v>
      </c>
      <c r="D34" s="152">
        <v>2</v>
      </c>
      <c r="E34" s="144" t="s">
        <v>336</v>
      </c>
    </row>
    <row r="35" customHeight="1" spans="1:5">
      <c r="A35" s="150" t="s">
        <v>261</v>
      </c>
      <c r="B35" s="151">
        <v>46279</v>
      </c>
      <c r="C35" s="152">
        <v>8</v>
      </c>
      <c r="D35" s="152">
        <v>8</v>
      </c>
      <c r="E35" s="144" t="s">
        <v>337</v>
      </c>
    </row>
    <row r="36" customHeight="1" spans="1:5">
      <c r="A36" s="150" t="s">
        <v>264</v>
      </c>
      <c r="B36" s="153">
        <v>46286</v>
      </c>
      <c r="C36" s="31">
        <v>8</v>
      </c>
      <c r="D36" s="31">
        <v>8</v>
      </c>
      <c r="E36" s="115" t="s">
        <v>338</v>
      </c>
    </row>
    <row r="37" customHeight="1" spans="1:5">
      <c r="A37" s="150" t="s">
        <v>267</v>
      </c>
      <c r="B37" s="153">
        <v>46288</v>
      </c>
      <c r="C37" s="31">
        <v>2</v>
      </c>
      <c r="D37" s="31">
        <v>2</v>
      </c>
      <c r="E37" s="126" t="s">
        <v>339</v>
      </c>
    </row>
    <row r="38" customHeight="1" spans="1:5">
      <c r="A38" s="125" t="s">
        <v>897</v>
      </c>
      <c r="B38" s="153">
        <v>46289</v>
      </c>
      <c r="C38" s="31">
        <v>36</v>
      </c>
      <c r="D38" s="31">
        <v>36</v>
      </c>
      <c r="E38" s="126" t="s">
        <v>898</v>
      </c>
    </row>
    <row r="39" customHeight="1" spans="1:5">
      <c r="A39" s="125" t="s">
        <v>705</v>
      </c>
      <c r="B39" s="153">
        <v>46289</v>
      </c>
      <c r="C39" s="152">
        <v>1</v>
      </c>
      <c r="D39" s="152">
        <v>1</v>
      </c>
      <c r="E39" s="126" t="s">
        <v>812</v>
      </c>
    </row>
    <row r="40" customHeight="1" spans="1:5">
      <c r="A40" s="150"/>
      <c r="B40" s="151"/>
      <c r="C40" s="152"/>
      <c r="D40" s="152"/>
      <c r="E40" s="144"/>
    </row>
    <row r="41" customHeight="1" spans="1:5">
      <c r="A41" s="150"/>
      <c r="B41" s="151"/>
      <c r="C41" s="152"/>
      <c r="D41" s="152"/>
      <c r="E41" s="144"/>
    </row>
    <row r="42" customHeight="1" spans="1:5">
      <c r="A42" s="45" t="s">
        <v>55</v>
      </c>
      <c r="B42" s="46"/>
      <c r="C42" s="46">
        <f>SUM(C34:C41)</f>
        <v>57</v>
      </c>
      <c r="D42" s="46">
        <f>SUM(D34:D41)</f>
        <v>57</v>
      </c>
      <c r="E42" s="47"/>
    </row>
  </sheetData>
  <mergeCells count="5">
    <mergeCell ref="A1:J1"/>
    <mergeCell ref="A4:D4"/>
    <mergeCell ref="G4:I4"/>
    <mergeCell ref="A32:D32"/>
    <mergeCell ref="J4:J5"/>
  </mergeCells>
  <pageMargins left="0.7" right="0.7" top="0.75" bottom="0.75" header="0.3" footer="0.3"/>
  <pageSetup paperSize="1" scale="42"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E22"/>
  <sheetViews>
    <sheetView topLeftCell="A3" workbookViewId="0">
      <selection activeCell="B4" sqref="B4"/>
    </sheetView>
  </sheetViews>
  <sheetFormatPr defaultColWidth="8.66666666666667" defaultRowHeight="14" outlineLevelCol="4"/>
  <cols>
    <col min="4" max="4" width="26" customWidth="1"/>
    <col min="5" max="5" width="25.3333333333333" customWidth="1"/>
    <col min="6" max="6" width="16.1666666666667" customWidth="1"/>
  </cols>
  <sheetData>
    <row r="4" spans="4:5">
      <c r="D4" s="142" t="s">
        <v>908</v>
      </c>
      <c r="E4" s="142" t="s">
        <v>909</v>
      </c>
    </row>
    <row r="5" spans="4:5">
      <c r="D5" s="70" t="s">
        <v>910</v>
      </c>
      <c r="E5" s="70" t="s">
        <v>911</v>
      </c>
    </row>
    <row r="6" spans="4:5">
      <c r="D6" s="70" t="s">
        <v>912</v>
      </c>
      <c r="E6" s="70" t="s">
        <v>913</v>
      </c>
    </row>
    <row r="7" spans="4:5">
      <c r="D7" s="70" t="s">
        <v>914</v>
      </c>
      <c r="E7" s="70" t="s">
        <v>913</v>
      </c>
    </row>
    <row r="8" spans="4:5">
      <c r="D8" s="70" t="s">
        <v>915</v>
      </c>
      <c r="E8" s="70" t="s">
        <v>916</v>
      </c>
    </row>
    <row r="9" spans="4:5">
      <c r="D9" s="70" t="s">
        <v>917</v>
      </c>
      <c r="E9" s="70" t="s">
        <v>918</v>
      </c>
    </row>
    <row r="10" spans="4:5">
      <c r="D10" s="70" t="s">
        <v>919</v>
      </c>
      <c r="E10" s="70" t="s">
        <v>911</v>
      </c>
    </row>
    <row r="11" spans="4:5">
      <c r="D11" s="70" t="s">
        <v>920</v>
      </c>
      <c r="E11" s="70" t="s">
        <v>921</v>
      </c>
    </row>
    <row r="12" spans="4:5">
      <c r="D12" s="70" t="s">
        <v>922</v>
      </c>
      <c r="E12" s="70" t="s">
        <v>923</v>
      </c>
    </row>
    <row r="13" spans="4:5">
      <c r="D13" s="70" t="s">
        <v>924</v>
      </c>
      <c r="E13" s="70" t="s">
        <v>925</v>
      </c>
    </row>
    <row r="14" spans="4:5">
      <c r="D14" s="70" t="s">
        <v>926</v>
      </c>
      <c r="E14" s="70" t="s">
        <v>927</v>
      </c>
    </row>
    <row r="15" spans="4:5">
      <c r="D15" s="70" t="s">
        <v>928</v>
      </c>
      <c r="E15" s="70" t="s">
        <v>927</v>
      </c>
    </row>
    <row r="16" spans="4:5">
      <c r="D16" s="70" t="s">
        <v>929</v>
      </c>
      <c r="E16" s="70" t="s">
        <v>930</v>
      </c>
    </row>
    <row r="17" spans="4:5">
      <c r="D17" s="70" t="s">
        <v>931</v>
      </c>
      <c r="E17" s="70" t="s">
        <v>930</v>
      </c>
    </row>
    <row r="18" spans="4:5">
      <c r="D18" s="70" t="s">
        <v>932</v>
      </c>
      <c r="E18" s="70" t="s">
        <v>911</v>
      </c>
    </row>
    <row r="19" spans="4:5">
      <c r="D19" s="70" t="s">
        <v>933</v>
      </c>
      <c r="E19" s="70" t="s">
        <v>934</v>
      </c>
    </row>
    <row r="20" spans="4:5">
      <c r="D20" s="70" t="s">
        <v>935</v>
      </c>
      <c r="E20" s="70" t="s">
        <v>911</v>
      </c>
    </row>
    <row r="21" spans="4:5">
      <c r="D21" s="70"/>
      <c r="E21" s="70"/>
    </row>
    <row r="22" spans="4:5">
      <c r="D22" s="70"/>
      <c r="E22" s="70"/>
    </row>
  </sheetData>
  <pageMargins left="0.75" right="0.75" top="1" bottom="1" header="0.5" footer="0.5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zoomScale="40" zoomScaleNormal="40" workbookViewId="0">
      <selection activeCell="A20" sqref="A20"/>
    </sheetView>
  </sheetViews>
  <sheetFormatPr defaultColWidth="8.875" defaultRowHeight="30" customHeight="1"/>
  <cols>
    <col min="1" max="1" width="37.5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3.75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 t="s">
        <v>936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94" t="s">
        <v>7</v>
      </c>
      <c r="H5" s="95" t="s">
        <v>11</v>
      </c>
      <c r="I5" s="96" t="s">
        <v>10</v>
      </c>
      <c r="J5" s="97"/>
    </row>
    <row r="6" customHeight="1" spans="1:10">
      <c r="A6" s="98" t="s">
        <v>937</v>
      </c>
      <c r="B6" s="99"/>
      <c r="C6" s="99">
        <v>3</v>
      </c>
      <c r="D6" s="100"/>
      <c r="E6" s="101" t="s">
        <v>938</v>
      </c>
      <c r="F6" s="102"/>
      <c r="G6" s="103" t="s">
        <v>939</v>
      </c>
      <c r="H6" s="104">
        <v>44</v>
      </c>
      <c r="I6" s="105"/>
      <c r="J6" s="106" t="s">
        <v>940</v>
      </c>
    </row>
    <row r="7" customHeight="1" spans="1:10">
      <c r="A7" s="98" t="s">
        <v>941</v>
      </c>
      <c r="B7" s="99">
        <v>2</v>
      </c>
      <c r="C7" s="99"/>
      <c r="D7" s="100"/>
      <c r="E7" s="101" t="s">
        <v>942</v>
      </c>
      <c r="F7" s="107"/>
      <c r="G7" s="108" t="s">
        <v>943</v>
      </c>
      <c r="H7" s="109">
        <v>1</v>
      </c>
      <c r="I7" s="110"/>
      <c r="J7" s="111" t="s">
        <v>944</v>
      </c>
    </row>
    <row r="8" customHeight="1" spans="1:10">
      <c r="A8" s="98" t="s">
        <v>945</v>
      </c>
      <c r="B8" s="109">
        <v>3</v>
      </c>
      <c r="C8" s="109"/>
      <c r="D8" s="110"/>
      <c r="E8" s="101" t="s">
        <v>946</v>
      </c>
      <c r="F8" s="107"/>
      <c r="G8" s="108" t="s">
        <v>947</v>
      </c>
      <c r="H8" s="109">
        <v>1</v>
      </c>
      <c r="I8" s="110"/>
      <c r="J8" s="112" t="s">
        <v>948</v>
      </c>
    </row>
    <row r="9" customHeight="1" spans="1:10">
      <c r="A9" s="98" t="s">
        <v>939</v>
      </c>
      <c r="B9" s="109">
        <v>44</v>
      </c>
      <c r="C9" s="109"/>
      <c r="D9" s="110"/>
      <c r="E9" s="101" t="s">
        <v>940</v>
      </c>
      <c r="F9" s="107"/>
      <c r="G9" s="108" t="s">
        <v>949</v>
      </c>
      <c r="H9" s="109">
        <v>71</v>
      </c>
      <c r="I9" s="110"/>
      <c r="J9" s="113" t="s">
        <v>950</v>
      </c>
    </row>
    <row r="10" customHeight="1" spans="1:10">
      <c r="A10" s="114" t="s">
        <v>951</v>
      </c>
      <c r="B10" s="109">
        <v>2</v>
      </c>
      <c r="C10" s="109"/>
      <c r="D10" s="110"/>
      <c r="E10" s="101" t="s">
        <v>952</v>
      </c>
      <c r="F10" s="107"/>
      <c r="G10" s="98" t="s">
        <v>945</v>
      </c>
      <c r="H10" s="109">
        <v>3</v>
      </c>
      <c r="I10" s="110"/>
      <c r="J10" s="113" t="s">
        <v>946</v>
      </c>
    </row>
    <row r="11" customHeight="1" spans="1:10">
      <c r="A11" s="114" t="s">
        <v>953</v>
      </c>
      <c r="B11" s="109">
        <v>4</v>
      </c>
      <c r="C11" s="109"/>
      <c r="D11" s="110"/>
      <c r="E11" s="115" t="s">
        <v>954</v>
      </c>
      <c r="F11" s="107"/>
      <c r="G11" s="116" t="s">
        <v>955</v>
      </c>
      <c r="H11" s="117">
        <v>9</v>
      </c>
      <c r="I11" s="110"/>
      <c r="J11" s="115" t="s">
        <v>956</v>
      </c>
    </row>
    <row r="12" customHeight="1" spans="1:10">
      <c r="A12" s="114" t="s">
        <v>957</v>
      </c>
      <c r="B12" s="109">
        <v>1</v>
      </c>
      <c r="C12" s="109">
        <v>1</v>
      </c>
      <c r="D12" s="109">
        <v>2</v>
      </c>
      <c r="E12" s="115" t="s">
        <v>958</v>
      </c>
      <c r="F12" s="107"/>
      <c r="G12" s="98" t="s">
        <v>941</v>
      </c>
      <c r="H12" s="99">
        <v>2</v>
      </c>
      <c r="I12" s="118"/>
      <c r="J12" s="101" t="s">
        <v>942</v>
      </c>
    </row>
    <row r="13" customHeight="1" spans="1:10">
      <c r="A13" s="114" t="s">
        <v>959</v>
      </c>
      <c r="B13" s="109">
        <v>9</v>
      </c>
      <c r="C13" s="109"/>
      <c r="D13" s="110"/>
      <c r="E13" s="115" t="s">
        <v>960</v>
      </c>
      <c r="F13" s="107"/>
      <c r="G13" s="114" t="s">
        <v>961</v>
      </c>
      <c r="H13" s="117">
        <v>6</v>
      </c>
      <c r="I13" s="118"/>
      <c r="J13" s="115" t="s">
        <v>962</v>
      </c>
    </row>
    <row r="14" customHeight="1" spans="1:10">
      <c r="A14" s="114" t="s">
        <v>947</v>
      </c>
      <c r="B14" s="109">
        <v>1</v>
      </c>
      <c r="C14" s="109"/>
      <c r="D14" s="110"/>
      <c r="E14" s="115" t="s">
        <v>948</v>
      </c>
      <c r="F14" s="107"/>
      <c r="G14" s="119"/>
      <c r="H14" s="120"/>
      <c r="I14" s="118"/>
      <c r="J14" s="121"/>
    </row>
    <row r="15" customHeight="1" spans="1:10">
      <c r="A15" s="114" t="s">
        <v>963</v>
      </c>
      <c r="B15" s="109">
        <v>1</v>
      </c>
      <c r="C15" s="109"/>
      <c r="D15" s="110"/>
      <c r="E15" s="115" t="s">
        <v>964</v>
      </c>
      <c r="F15" s="122"/>
      <c r="G15" s="119"/>
      <c r="H15" s="120"/>
      <c r="I15" s="118"/>
      <c r="J15" s="121"/>
    </row>
    <row r="16" customHeight="1" spans="1:10">
      <c r="A16" s="114" t="s">
        <v>949</v>
      </c>
      <c r="B16" s="109">
        <v>71</v>
      </c>
      <c r="C16" s="109"/>
      <c r="D16" s="110"/>
      <c r="E16" s="115" t="s">
        <v>950</v>
      </c>
      <c r="F16" s="122"/>
      <c r="G16" s="119"/>
      <c r="H16" s="120"/>
      <c r="I16" s="118"/>
      <c r="J16" s="123"/>
    </row>
    <row r="17" customHeight="1" spans="1:10">
      <c r="A17" s="114" t="s">
        <v>965</v>
      </c>
      <c r="B17" s="117">
        <v>1</v>
      </c>
      <c r="C17" s="117"/>
      <c r="D17" s="124"/>
      <c r="E17" s="115" t="s">
        <v>966</v>
      </c>
      <c r="F17" s="122"/>
      <c r="G17" s="119"/>
      <c r="H17" s="120"/>
      <c r="I17" s="118"/>
      <c r="J17" s="123"/>
    </row>
    <row r="18" customHeight="1" spans="1:10">
      <c r="A18" s="114" t="s">
        <v>955</v>
      </c>
      <c r="B18" s="117">
        <v>9</v>
      </c>
      <c r="C18" s="109"/>
      <c r="D18" s="110"/>
      <c r="E18" s="115" t="s">
        <v>956</v>
      </c>
      <c r="F18" s="122"/>
      <c r="G18" s="119"/>
      <c r="H18" s="120"/>
      <c r="I18" s="118"/>
      <c r="J18" s="123"/>
    </row>
    <row r="19" customHeight="1" spans="1:10">
      <c r="A19" s="114" t="s">
        <v>961</v>
      </c>
      <c r="B19" s="117">
        <v>6</v>
      </c>
      <c r="C19" s="117"/>
      <c r="D19" s="124"/>
      <c r="E19" s="115" t="s">
        <v>962</v>
      </c>
      <c r="F19" s="122"/>
      <c r="G19" s="119"/>
      <c r="H19" s="120"/>
      <c r="I19" s="118"/>
      <c r="J19" s="123"/>
    </row>
    <row r="20" customHeight="1" spans="1:10">
      <c r="A20" s="125"/>
      <c r="B20" s="117"/>
      <c r="C20" s="117"/>
      <c r="D20" s="124"/>
      <c r="E20" s="126"/>
      <c r="F20" s="122"/>
      <c r="G20" s="119"/>
      <c r="H20" s="120"/>
      <c r="I20" s="118"/>
      <c r="J20" s="123"/>
    </row>
    <row r="21" customHeight="1" spans="1:10">
      <c r="A21" s="125"/>
      <c r="B21" s="117"/>
      <c r="C21" s="117"/>
      <c r="D21" s="124"/>
      <c r="E21" s="126"/>
      <c r="F21" s="122"/>
      <c r="G21" s="114"/>
      <c r="H21" s="117"/>
      <c r="I21" s="118"/>
      <c r="J21" s="115"/>
    </row>
    <row r="22" customHeight="1" spans="1:10">
      <c r="A22" s="127"/>
      <c r="B22" s="128"/>
      <c r="C22" s="128"/>
      <c r="D22" s="129"/>
      <c r="E22" s="130"/>
      <c r="F22" s="122"/>
      <c r="G22" s="125"/>
      <c r="H22" s="120"/>
      <c r="I22" s="131"/>
      <c r="J22" s="132"/>
    </row>
    <row r="23" customHeight="1" spans="1:10">
      <c r="A23" s="133" t="s">
        <v>55</v>
      </c>
      <c r="B23" s="134">
        <f>SUM(B6:B22)</f>
        <v>154</v>
      </c>
      <c r="C23" s="134">
        <f>SUM(C6:C22)</f>
        <v>4</v>
      </c>
      <c r="D23" s="134">
        <f>SUM(D6:D22)</f>
        <v>2</v>
      </c>
      <c r="E23" s="135"/>
      <c r="F23" s="122"/>
      <c r="G23" s="136"/>
      <c r="H23" s="134">
        <f>SUM(H6:H22)</f>
        <v>137</v>
      </c>
      <c r="I23" s="137"/>
      <c r="J23" s="138"/>
    </row>
    <row r="25" customHeight="1" spans="1:10">
      <c r="A25" s="17" t="s">
        <v>56</v>
      </c>
      <c r="B25" s="18"/>
      <c r="C25" s="18"/>
      <c r="D25" s="18"/>
      <c r="E25" s="19"/>
    </row>
    <row r="26" customHeight="1" spans="1:10">
      <c r="A26" s="24" t="s">
        <v>7</v>
      </c>
      <c r="B26" s="25" t="s">
        <v>57</v>
      </c>
      <c r="C26" s="26" t="s">
        <v>11</v>
      </c>
      <c r="D26" s="26" t="s">
        <v>10</v>
      </c>
      <c r="E26" s="27" t="s">
        <v>6</v>
      </c>
    </row>
    <row r="27" customHeight="1" spans="1:10">
      <c r="A27" s="125" t="s">
        <v>967</v>
      </c>
      <c r="B27" s="139">
        <v>46254</v>
      </c>
      <c r="C27" s="31">
        <v>1</v>
      </c>
      <c r="D27" s="31">
        <v>1</v>
      </c>
      <c r="E27" s="140" t="s">
        <v>968</v>
      </c>
    </row>
    <row r="28" customHeight="1" spans="1:10">
      <c r="A28" s="114" t="s">
        <v>957</v>
      </c>
      <c r="B28" s="141">
        <v>46265</v>
      </c>
      <c r="C28" s="31">
        <v>2</v>
      </c>
      <c r="D28" s="31">
        <v>2</v>
      </c>
      <c r="E28" s="115" t="s">
        <v>958</v>
      </c>
    </row>
    <row r="29" customHeight="1" spans="1:10">
      <c r="A29" s="114"/>
      <c r="B29" s="139"/>
      <c r="C29" s="31"/>
      <c r="D29" s="31"/>
      <c r="E29" s="32"/>
    </row>
    <row r="30" customHeight="1" spans="1:10">
      <c r="A30" s="54"/>
      <c r="B30" s="52"/>
      <c r="C30" s="31"/>
      <c r="D30" s="31"/>
      <c r="E30" s="32"/>
    </row>
    <row r="31" customHeight="1" spans="1:10">
      <c r="A31" s="30"/>
      <c r="B31" s="31"/>
      <c r="C31" s="31"/>
      <c r="D31" s="31"/>
      <c r="E31" s="32"/>
    </row>
    <row r="32" customHeight="1" spans="1:10">
      <c r="A32" s="44"/>
      <c r="B32" s="31"/>
      <c r="C32" s="31"/>
      <c r="D32" s="31"/>
      <c r="E32" s="32"/>
    </row>
    <row r="33" customHeight="1" spans="1:5">
      <c r="A33" s="44"/>
      <c r="B33" s="31"/>
      <c r="C33" s="31"/>
      <c r="D33" s="31"/>
      <c r="E33" s="32"/>
    </row>
    <row r="34" customHeight="1" spans="1:5">
      <c r="A34" s="44"/>
      <c r="B34" s="31"/>
      <c r="C34" s="31"/>
      <c r="D34" s="31"/>
      <c r="E34" s="32"/>
    </row>
    <row r="35" customHeight="1" spans="1:5">
      <c r="A35" s="45" t="s">
        <v>55</v>
      </c>
      <c r="B35" s="46"/>
      <c r="C35" s="46">
        <f>SUM(C27:C34)</f>
        <v>3</v>
      </c>
      <c r="D35" s="46">
        <f>SUM(D27:D34)</f>
        <v>3</v>
      </c>
      <c r="E35" s="47"/>
    </row>
  </sheetData>
  <mergeCells count="5">
    <mergeCell ref="A1:J1"/>
    <mergeCell ref="A4:D4"/>
    <mergeCell ref="G4:I4"/>
    <mergeCell ref="A25:D25"/>
    <mergeCell ref="J4:J5"/>
  </mergeCells>
  <pageMargins left="0.7" right="0.7" top="0.75" bottom="0.75" header="0.3" footer="0.3"/>
  <pageSetup paperSize="1" scale="46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F538"/>
  <sheetViews>
    <sheetView topLeftCell="A31" workbookViewId="0">
      <selection activeCell="B46" sqref="B46"/>
    </sheetView>
  </sheetViews>
  <sheetFormatPr defaultColWidth="8.66666666666667" defaultRowHeight="14" outlineLevelCol="5"/>
  <cols>
    <col min="3" max="3" width="30.5833333333333" customWidth="1"/>
    <col min="4" max="4" width="97.4166666666667" hidden="1" customWidth="1"/>
    <col min="5" max="5" width="56.4166666666667" hidden="1" customWidth="1"/>
    <col min="6" max="6" width="99" customWidth="1"/>
  </cols>
  <sheetData>
    <row r="4" spans="3:6">
      <c r="C4" t="s">
        <v>969</v>
      </c>
      <c r="D4" t="s">
        <v>970</v>
      </c>
      <c r="F4" s="93" t="str">
        <f t="shared" ref="F4:F9" si="0">_xlfn.CONCAT(D4,E4)</f>
        <v>MAIN SWITCHBOARD MSB-KA-01 DRAWING INDEX</v>
      </c>
    </row>
    <row r="5" spans="3:6">
      <c r="C5" t="s">
        <v>971</v>
      </c>
      <c r="D5" t="s">
        <v>972</v>
      </c>
      <c r="F5" s="93" t="str">
        <f t="shared" si="0"/>
        <v>MAIN SWITCHBOARD MSB-KA-01 SINGLE LINE DIAGRAM</v>
      </c>
    </row>
    <row r="6" spans="3:6">
      <c r="C6" t="s">
        <v>973</v>
      </c>
      <c r="D6" t="s">
        <v>974</v>
      </c>
      <c r="F6" s="93" t="str">
        <f t="shared" si="0"/>
        <v>MAIN SWITCHBOARD MSB-KA-01 MSB-KA-1 ENCLOSURE GENERAL ARRANGEMENT</v>
      </c>
    </row>
    <row r="7" spans="3:6">
      <c r="C7" t="s">
        <v>975</v>
      </c>
      <c r="D7" t="s">
        <v>976</v>
      </c>
      <c r="F7" s="93" t="str">
        <f t="shared" si="0"/>
        <v>MAIN SWITCHBOARD MSB-KA-01 GEN INCOMER SECTION GENERAL ARRANGEMENT</v>
      </c>
    </row>
    <row r="8" spans="3:6">
      <c r="C8" t="s">
        <v>977</v>
      </c>
      <c r="D8" t="s">
        <v>978</v>
      </c>
      <c r="F8" s="93" t="str">
        <f t="shared" si="0"/>
        <v>MAIN SWITCHBOARD MSB-KA-01 LOAD BANK SECTION GENERAL ARRANGEMENT</v>
      </c>
    </row>
    <row r="9" spans="3:6">
      <c r="C9" t="s">
        <v>979</v>
      </c>
      <c r="D9" t="s">
        <v>980</v>
      </c>
      <c r="F9" s="93" t="str">
        <f t="shared" si="0"/>
        <v>MAIN SWITCHBOARD MSB-KA-01 GEN BUSTIE SECTION GENERAL ARRANGEMENT</v>
      </c>
    </row>
    <row r="10" spans="3:6">
      <c r="C10" t="s">
        <v>981</v>
      </c>
      <c r="D10" t="s">
        <v>982</v>
      </c>
      <c r="E10" t="s">
        <v>983</v>
      </c>
      <c r="F10" s="93" t="str">
        <f t="shared" ref="F10:F73" si="1">_xlfn.CONCAT(D10,E10)</f>
        <v>MAIN SWITCHBOARD MSB-KA-01MAIN INCOMER SECTION GENERAL ARRANGEMENT</v>
      </c>
    </row>
    <row r="11" spans="3:6">
      <c r="C11" t="s">
        <v>984</v>
      </c>
      <c r="D11" t="s">
        <v>985</v>
      </c>
      <c r="F11" s="93" t="str">
        <f t="shared" si="1"/>
        <v>MAIN SWITCHBOARD MSB-KA-01 ATS SECTION GENERAL ARRANGEMENT</v>
      </c>
    </row>
    <row r="12" spans="3:6">
      <c r="C12" t="s">
        <v>986</v>
      </c>
      <c r="D12" t="s">
        <v>987</v>
      </c>
      <c r="F12" s="93" t="str">
        <f t="shared" si="1"/>
        <v>MAIN SWITCHBOARD MSB-KA-01 REAR VIEW GENERAL ARRANGEMENT</v>
      </c>
    </row>
    <row r="13" spans="3:6">
      <c r="C13" t="s">
        <v>988</v>
      </c>
      <c r="D13" t="s">
        <v>989</v>
      </c>
      <c r="F13" s="93" t="str">
        <f t="shared" si="1"/>
        <v>MAIN SWITCHBOARD MSB-KA-01 PLINTH DETAILS GENERAL ARRANGEMENT</v>
      </c>
    </row>
    <row r="14" spans="3:6">
      <c r="C14" t="s">
        <v>990</v>
      </c>
      <c r="D14" t="s">
        <v>991</v>
      </c>
      <c r="F14" s="93" t="str">
        <f t="shared" si="1"/>
        <v>MAIN SWITCHBOARD MSB-KA-01 BILL OF MATERIALS</v>
      </c>
    </row>
    <row r="15" spans="3:6">
      <c r="C15" t="s">
        <v>992</v>
      </c>
      <c r="D15" t="s">
        <v>991</v>
      </c>
      <c r="F15" s="93" t="str">
        <f t="shared" si="1"/>
        <v>MAIN SWITCHBOARD MSB-KA-01 BILL OF MATERIALS</v>
      </c>
    </row>
    <row r="16" spans="3:6">
      <c r="C16" t="s">
        <v>993</v>
      </c>
      <c r="D16" t="s">
        <v>991</v>
      </c>
      <c r="F16" s="93" t="str">
        <f t="shared" si="1"/>
        <v>MAIN SWITCHBOARD MSB-KA-01 BILL OF MATERIALS</v>
      </c>
    </row>
    <row r="17" spans="3:6">
      <c r="C17" t="s">
        <v>994</v>
      </c>
      <c r="D17" t="s">
        <v>995</v>
      </c>
      <c r="F17" s="93" t="str">
        <f t="shared" si="1"/>
        <v>MAIN SWITCHBOARD MSB-KA-01 1F GSB-KA GEN INCOMING SECTION LABEL SCHEDULE</v>
      </c>
    </row>
    <row r="18" spans="3:6">
      <c r="C18" t="s">
        <v>996</v>
      </c>
      <c r="D18" t="s">
        <v>997</v>
      </c>
      <c r="E18" t="s">
        <v>998</v>
      </c>
      <c r="F18" s="93" t="str">
        <f t="shared" si="1"/>
        <v>MAIN SWITCHBOARD MSB-KA-01 2F3F GSB-KA LOADBANK OUT SECTION LABEL SCHEDULE</v>
      </c>
    </row>
    <row r="19" spans="3:6">
      <c r="C19" t="s">
        <v>999</v>
      </c>
      <c r="D19" t="s">
        <v>1000</v>
      </c>
      <c r="F19" s="93" t="str">
        <f t="shared" si="1"/>
        <v>MAIN SWITCHBOARD MSB-KA-01 4F MSB-KA-PART-1 GEN BUS TIE SECTION LABEL SCHEDULE</v>
      </c>
    </row>
    <row r="20" spans="3:6">
      <c r="C20" t="s">
        <v>1001</v>
      </c>
      <c r="D20" t="s">
        <v>1002</v>
      </c>
      <c r="E20" t="s">
        <v>1003</v>
      </c>
      <c r="F20" s="93" t="str">
        <f t="shared" si="1"/>
        <v>MAIN SWITCHBOARD MSB-KA-01 5F MSB-KA-PART-1MAINS INCOMING SECTION LABEL SCHEDULE</v>
      </c>
    </row>
    <row r="21" spans="3:6">
      <c r="C21" t="s">
        <v>1004</v>
      </c>
      <c r="D21" t="s">
        <v>1005</v>
      </c>
      <c r="F21" s="93" t="str">
        <f t="shared" si="1"/>
        <v>MAIN SWITCHBOARD MSB-KA-01 6F MSB-KA-PART-1 ATS SECTION LABEL SCHEDULE</v>
      </c>
    </row>
    <row r="22" spans="3:6">
      <c r="C22" t="s">
        <v>1006</v>
      </c>
      <c r="D22" t="s">
        <v>1007</v>
      </c>
      <c r="F22" s="93" t="str">
        <f t="shared" si="1"/>
        <v>MAIN SWITCHBOARD MSB-KA-01 GENERATOR INCOMER POWER DIAGRAM</v>
      </c>
    </row>
    <row r="23" spans="3:6">
      <c r="C23" t="s">
        <v>1008</v>
      </c>
      <c r="D23" t="s">
        <v>1009</v>
      </c>
      <c r="F23" s="93" t="str">
        <f t="shared" si="1"/>
        <v>MAIN SWITCHBOARD MSB-KA-01 LOAD BANK FEEDER 1 OF 2 POWER DIAGRAM</v>
      </c>
    </row>
    <row r="24" spans="3:6">
      <c r="C24" t="s">
        <v>1010</v>
      </c>
      <c r="D24" t="s">
        <v>1011</v>
      </c>
      <c r="F24" t="str">
        <f t="shared" si="1"/>
        <v>MAIN SWITCHBOARD MSB-KA-01 LOAD BANK FEEDER 2 OF 2 POWER DIAGRAM</v>
      </c>
    </row>
    <row r="25" spans="3:6">
      <c r="C25" t="s">
        <v>1012</v>
      </c>
      <c r="D25" t="s">
        <v>1013</v>
      </c>
      <c r="F25" t="str">
        <f t="shared" si="1"/>
        <v>MAIN SWITCHBOARD MSB-KA-01 BUS TIE POWER DIAGRAM</v>
      </c>
    </row>
    <row r="26" spans="3:6">
      <c r="C26" t="s">
        <v>1014</v>
      </c>
      <c r="D26" t="s">
        <v>982</v>
      </c>
      <c r="E26" t="s">
        <v>1015</v>
      </c>
      <c r="F26" t="str">
        <f t="shared" si="1"/>
        <v>MAIN SWITCHBOARD MSB-KA-01MAIN INCOMER POWER DIAGRAM</v>
      </c>
    </row>
    <row r="27" spans="3:6">
      <c r="C27" t="s">
        <v>1016</v>
      </c>
      <c r="D27" t="s">
        <v>1017</v>
      </c>
      <c r="F27" t="str">
        <f t="shared" si="1"/>
        <v>MAIN SWITCHBOARD MSB-KA-01 MSB-KA-PART-2 FEEDER POWER DIAGRAM</v>
      </c>
    </row>
    <row r="28" spans="3:6">
      <c r="C28" t="s">
        <v>1018</v>
      </c>
      <c r="D28" t="s">
        <v>1019</v>
      </c>
      <c r="F28" t="str">
        <f t="shared" si="1"/>
        <v>MAIN SWITCHBOARD MSB-KA-01 110VDC POWER SUPPLY POWER DIAGRAM</v>
      </c>
    </row>
    <row r="29" spans="3:6">
      <c r="C29" t="s">
        <v>1020</v>
      </c>
      <c r="D29" t="s">
        <v>1021</v>
      </c>
      <c r="F29" t="str">
        <f t="shared" si="1"/>
        <v>MAIN SWITCHBOARD MSB-KA-01 24VDC POWER SUPPLY POWER DIAGRAM</v>
      </c>
    </row>
    <row r="30" spans="3:6">
      <c r="C30" t="s">
        <v>1022</v>
      </c>
      <c r="D30" t="s">
        <v>1023</v>
      </c>
      <c r="F30" t="str">
        <f t="shared" si="1"/>
        <v>MAIN SWITCHBOARD MSB-KA-01 24VDC DISTRIBUTION POWER DIAGRAM</v>
      </c>
    </row>
    <row r="31" spans="3:6">
      <c r="C31" t="s">
        <v>1024</v>
      </c>
      <c r="D31" t="s">
        <v>1025</v>
      </c>
      <c r="F31" t="str">
        <f t="shared" si="1"/>
        <v>MAIN SWITCHBOARD MSB-KA-01 AUTOMATIC TRANSFER SWITCH CONTROL DIAGRAM</v>
      </c>
    </row>
    <row r="32" spans="3:6">
      <c r="C32" t="s">
        <v>1026</v>
      </c>
      <c r="D32" t="s">
        <v>1027</v>
      </c>
      <c r="F32" t="str">
        <f t="shared" si="1"/>
        <v>MAIN SWITCHBOARD MSB-KA-01 NETWORK DIAGRAM</v>
      </c>
    </row>
    <row r="33" spans="3:6">
      <c r="C33" t="s">
        <v>1028</v>
      </c>
      <c r="D33" t="s">
        <v>1029</v>
      </c>
      <c r="F33" t="str">
        <f t="shared" si="1"/>
        <v>MAIN SWITCHBOARD MSB-KA-02 DRAWING INDEX SH.1</v>
      </c>
    </row>
    <row r="34" spans="3:6">
      <c r="C34" t="s">
        <v>1030</v>
      </c>
      <c r="D34" t="s">
        <v>1031</v>
      </c>
      <c r="F34" t="str">
        <f t="shared" si="1"/>
        <v>MAIN SWITCHBOARD MSB-KA-02 DRAWING INDEX SH.2</v>
      </c>
    </row>
    <row r="35" spans="3:6">
      <c r="C35" t="s">
        <v>1032</v>
      </c>
      <c r="D35" t="s">
        <v>1033</v>
      </c>
      <c r="F35" t="str">
        <f t="shared" si="1"/>
        <v>MAIN SWITCHBOARD MSB-KA-02 SINGLE LINE DIAGRAM 1 OF 3</v>
      </c>
    </row>
    <row r="36" spans="3:6">
      <c r="C36" t="s">
        <v>1034</v>
      </c>
      <c r="D36" t="s">
        <v>1035</v>
      </c>
      <c r="F36" t="str">
        <f t="shared" si="1"/>
        <v>MAIN SWITCHBOARD MSB-KA-02 SINGLE LINE DIAGRAM 2 OF 3</v>
      </c>
    </row>
    <row r="37" spans="3:6">
      <c r="C37" t="s">
        <v>1036</v>
      </c>
      <c r="D37" t="s">
        <v>1037</v>
      </c>
      <c r="F37" t="str">
        <f t="shared" si="1"/>
        <v>MAIN SWITCHBOARD MSB-KA-02 SINGLE LINE DIAGRAM 3 OF 3</v>
      </c>
    </row>
    <row r="38" spans="3:6">
      <c r="C38" t="s">
        <v>1038</v>
      </c>
      <c r="D38" t="s">
        <v>1039</v>
      </c>
      <c r="F38" t="str">
        <f t="shared" si="1"/>
        <v>MAIN SWITCHBOARD MSB-KA-02 EXTERNAL VIEW TIERS 1-8 GENERAL ARRANGEMENT</v>
      </c>
    </row>
    <row r="39" spans="3:6">
      <c r="C39" t="s">
        <v>1040</v>
      </c>
      <c r="D39" t="s">
        <v>1041</v>
      </c>
      <c r="F39" t="str">
        <f t="shared" si="1"/>
        <v>MAIN SWITCHBOARD MSB-KA-02 EXTERNAL VIEW TIERS 9-18 GENERAL ARRANGEMENT</v>
      </c>
    </row>
    <row r="40" spans="3:6">
      <c r="C40" t="s">
        <v>1042</v>
      </c>
      <c r="D40" t="s">
        <v>1043</v>
      </c>
      <c r="F40" t="str">
        <f t="shared" si="1"/>
        <v>MAIN SWITCHBOARD MSB-KA-02 INTERNAL VIEW TIERS 1 GENERAL ARRANGEMENT</v>
      </c>
    </row>
    <row r="41" spans="3:6">
      <c r="C41" t="s">
        <v>1044</v>
      </c>
      <c r="D41" t="s">
        <v>1045</v>
      </c>
      <c r="F41" t="str">
        <f t="shared" si="1"/>
        <v>MAIN SWITCHBOARD MSB-KA-02 INTERNAL VIEW TIERS 2 GENERAL ARRANGEMENT</v>
      </c>
    </row>
    <row r="42" spans="3:6">
      <c r="C42" t="s">
        <v>1046</v>
      </c>
      <c r="D42" t="s">
        <v>1047</v>
      </c>
      <c r="F42" t="str">
        <f t="shared" si="1"/>
        <v>MAIN SWITCHBOARD MSB-KA-02 INTERNAL VIEW TIERS 3 GENERAL ARRANGEMENT</v>
      </c>
    </row>
    <row r="43" spans="3:6">
      <c r="C43" t="s">
        <v>1048</v>
      </c>
      <c r="D43" t="s">
        <v>1049</v>
      </c>
      <c r="F43" t="str">
        <f t="shared" si="1"/>
        <v>MAIN SWITCHBOARD MSB-KA-02 INTERNAL VIEW TIERS 4 GENERAL ARRANGEMENT</v>
      </c>
    </row>
    <row r="44" spans="3:6">
      <c r="C44" t="s">
        <v>1050</v>
      </c>
      <c r="D44" t="s">
        <v>1051</v>
      </c>
      <c r="F44" t="str">
        <f t="shared" si="1"/>
        <v>MAIN SWITCHBOARD MSB-KA-02 INTERNAL VIEW TIERS 5 GENERAL ARRANGEMENT</v>
      </c>
    </row>
    <row r="45" spans="3:6">
      <c r="C45" t="s">
        <v>1052</v>
      </c>
      <c r="D45" t="s">
        <v>1053</v>
      </c>
      <c r="F45" t="str">
        <f t="shared" si="1"/>
        <v>MAIN SWITCHBOARD MSB-KA-02 INTERNAL VIEW TIERS 6 GENERAL ARRANGEMENT</v>
      </c>
    </row>
    <row r="46" spans="3:6">
      <c r="C46" t="s">
        <v>1054</v>
      </c>
      <c r="D46" t="s">
        <v>1055</v>
      </c>
      <c r="F46" t="str">
        <f t="shared" si="1"/>
        <v>MAIN SWITCHBOARD MSB-KA-02 INTERNAL VIEW TIERS 7 GENERAL ARRANGEMENT</v>
      </c>
    </row>
    <row r="47" spans="3:6">
      <c r="C47" t="s">
        <v>1056</v>
      </c>
      <c r="D47" t="s">
        <v>1057</v>
      </c>
      <c r="F47" t="str">
        <f t="shared" si="1"/>
        <v>MAIN SWITCHBOARD MSB-KA-02 INTERNAL VIEW TIERS 8 &amp; 9 GENERAL ARRANGEMENT</v>
      </c>
    </row>
    <row r="48" spans="3:6">
      <c r="C48" t="s">
        <v>1058</v>
      </c>
      <c r="D48" t="s">
        <v>1059</v>
      </c>
      <c r="F48" t="str">
        <f t="shared" si="1"/>
        <v>MAIN SWITCHBOARD MSB-KA-02 INTERNAL VIEW TIERS 10 GENERAL ARRANGEMENT</v>
      </c>
    </row>
    <row r="49" spans="3:6">
      <c r="C49" t="s">
        <v>1060</v>
      </c>
      <c r="D49" t="s">
        <v>1061</v>
      </c>
      <c r="F49" t="str">
        <f t="shared" si="1"/>
        <v>MAIN SWITCHBOARD MSB-KA-02 INTERNAL VIEW TIERS 11 GENERAL ARRANGEMENT</v>
      </c>
    </row>
    <row r="50" spans="3:6">
      <c r="C50" t="s">
        <v>1062</v>
      </c>
      <c r="D50" t="s">
        <v>1063</v>
      </c>
      <c r="F50" t="str">
        <f t="shared" si="1"/>
        <v>MAIN SWITCHBOARD MSB-KA-02 INTERNAL VIEW TIERS 12 GENERAL ARRANGEMENT</v>
      </c>
    </row>
    <row r="51" spans="3:6">
      <c r="C51" t="s">
        <v>1064</v>
      </c>
      <c r="D51" t="s">
        <v>1065</v>
      </c>
      <c r="F51" t="str">
        <f t="shared" si="1"/>
        <v>MAIN SWITCHBOARD MSB-KA-02 INTERNAL VIEW TIERS 13 GENERAL ARRANGEMENT</v>
      </c>
    </row>
    <row r="52" spans="3:6">
      <c r="C52" t="s">
        <v>1066</v>
      </c>
      <c r="D52" t="s">
        <v>1067</v>
      </c>
      <c r="F52" t="str">
        <f t="shared" si="1"/>
        <v>MAIN SWITCHBOARD MSB-KA-02 INTERNAL VIEW TIERS 14 &amp; 15 GENERAL ARRANGEMENT</v>
      </c>
    </row>
    <row r="53" spans="3:6">
      <c r="C53" t="s">
        <v>1068</v>
      </c>
      <c r="D53" t="s">
        <v>1069</v>
      </c>
      <c r="F53" t="str">
        <f t="shared" si="1"/>
        <v>MAIN SWITCHBOARD MSB-KA-02 INTERNAL VIEW TIERS 16 GENERAL ARRANGEMENT</v>
      </c>
    </row>
    <row r="54" spans="3:6">
      <c r="C54" t="s">
        <v>1070</v>
      </c>
      <c r="D54" t="s">
        <v>1071</v>
      </c>
      <c r="F54" t="str">
        <f t="shared" si="1"/>
        <v>MAIN SWITCHBOARD MSB-KA-02 INTERNAL VIEW TIERS 17 &amp; 18 GENERAL ARRANGEMENT</v>
      </c>
    </row>
    <row r="55" spans="3:6">
      <c r="C55" t="s">
        <v>1072</v>
      </c>
      <c r="D55" t="s">
        <v>1073</v>
      </c>
      <c r="F55" t="str">
        <f t="shared" si="1"/>
        <v>MAIN SWITCHBOARD MSB-KA-02 EXTERNAL REAR VIEW TIERS GENERAL ARRANGEMENT 1 OF 6</v>
      </c>
    </row>
    <row r="56" spans="3:6">
      <c r="C56" t="s">
        <v>1074</v>
      </c>
      <c r="D56" t="s">
        <v>1075</v>
      </c>
      <c r="F56" t="str">
        <f t="shared" si="1"/>
        <v>MAIN SWITCHBOARD MSB-KA-02 PLINTH A DETAILS GENERAL ARRANGEMENT 2 OF 6</v>
      </c>
    </row>
    <row r="57" spans="3:6">
      <c r="C57" t="s">
        <v>1076</v>
      </c>
      <c r="D57" t="s">
        <v>1077</v>
      </c>
      <c r="F57" t="str">
        <f t="shared" si="1"/>
        <v>MAIN SWITCHBOARD MSB-KA-02 PLINTH B DETAILS GENERAL ARRANGEMENT 3 OF 6</v>
      </c>
    </row>
    <row r="58" spans="3:6">
      <c r="C58" t="s">
        <v>1078</v>
      </c>
      <c r="D58" t="s">
        <v>1079</v>
      </c>
      <c r="F58" t="str">
        <f t="shared" si="1"/>
        <v>MAIN SWITCHBOARD MSB-KA-02 BILL OF MATERIALS 1 OF 5</v>
      </c>
    </row>
    <row r="59" spans="3:6">
      <c r="C59" t="s">
        <v>1080</v>
      </c>
      <c r="D59" t="s">
        <v>1081</v>
      </c>
      <c r="F59" t="str">
        <f t="shared" si="1"/>
        <v>MAIN SWITCHBOARD MSB-KA-02 BILL OF MATERIALS 2 OF 5</v>
      </c>
    </row>
    <row r="60" spans="3:6">
      <c r="C60" t="s">
        <v>1082</v>
      </c>
      <c r="D60" t="s">
        <v>1083</v>
      </c>
      <c r="F60" t="str">
        <f t="shared" si="1"/>
        <v>MAIN SWITCHBOARD MSB-KA-02 BILL OF MATERIALS 3 OF 5</v>
      </c>
    </row>
    <row r="61" spans="3:6">
      <c r="C61" t="s">
        <v>1084</v>
      </c>
      <c r="D61" t="s">
        <v>1085</v>
      </c>
      <c r="F61" t="str">
        <f t="shared" si="1"/>
        <v>MAIN SWITCHBOARD MSB-KA-02 BILL OF MATERIALS 4 OF 5</v>
      </c>
    </row>
    <row r="62" spans="3:6">
      <c r="C62" t="s">
        <v>1086</v>
      </c>
      <c r="D62" t="s">
        <v>1087</v>
      </c>
      <c r="F62" t="str">
        <f t="shared" si="1"/>
        <v>MAIN SWITCHBOARD MSB-KA-02 BILL OF MATERIALS 5 OF 5</v>
      </c>
    </row>
    <row r="63" spans="3:6">
      <c r="C63" t="s">
        <v>1088</v>
      </c>
      <c r="D63" t="s">
        <v>1089</v>
      </c>
      <c r="F63" t="str">
        <f t="shared" si="1"/>
        <v>MAIN SWITCHBOARD MSB-KA-02 1F MSB-KA-02 CHILLER SECTION LABEL SCHEDULE</v>
      </c>
    </row>
    <row r="64" spans="3:6">
      <c r="C64" t="s">
        <v>1090</v>
      </c>
      <c r="D64" t="s">
        <v>1091</v>
      </c>
      <c r="F64" t="str">
        <f t="shared" si="1"/>
        <v>MAIN SWITCHBOARD MSB-KA-02 2F MSB-KA-02 SECOND FEED SECTION LABEL SCHEDULE</v>
      </c>
    </row>
    <row r="65" spans="3:6">
      <c r="C65" t="s">
        <v>1092</v>
      </c>
      <c r="D65" t="s">
        <v>1093</v>
      </c>
      <c r="F65" t="str">
        <f t="shared" si="1"/>
        <v>MAIN SWITCHBOARD MSB-KA-02 3F-4F-5F LGT, PWR, &amp; MCC SECTIONS LABEL SCHEDULE</v>
      </c>
    </row>
    <row r="66" spans="3:6">
      <c r="C66" t="s">
        <v>1094</v>
      </c>
      <c r="D66" t="s">
        <v>1095</v>
      </c>
      <c r="F66" t="str">
        <f t="shared" si="1"/>
        <v>MAIN SWITCHBOARD MSB-KA-02 6F-7F HYPER DH &amp; BUS TIE SECTIONS LABEL SCHEDULE</v>
      </c>
    </row>
    <row r="67" spans="3:6">
      <c r="C67" t="s">
        <v>1096</v>
      </c>
      <c r="D67" t="s">
        <v>1097</v>
      </c>
      <c r="F67" t="str">
        <f t="shared" si="1"/>
        <v>MAIN SWITCHBOARD MSB-KA-02 8F-9F MSB-KA-02 SECTIONS LABEL SCHEDULE</v>
      </c>
    </row>
    <row r="68" spans="3:6">
      <c r="C68" t="s">
        <v>1098</v>
      </c>
      <c r="D68" t="s">
        <v>1099</v>
      </c>
      <c r="F68" t="str">
        <f t="shared" si="1"/>
        <v>MAIN SWITCHBOARD MSB-KA-02 10F-13F MSB-KA-02 SECTIONS LABEL SCHEDULE</v>
      </c>
    </row>
    <row r="69" spans="3:6">
      <c r="C69" t="s">
        <v>1100</v>
      </c>
      <c r="D69" t="s">
        <v>1101</v>
      </c>
      <c r="F69" t="str">
        <f t="shared" si="1"/>
        <v>MAIN SWITCHBOARD MSB-KA-02 11F-12F-14F UPS INCOMMERS SECTIONS LABEL SCHEDULE</v>
      </c>
    </row>
    <row r="70" spans="3:6">
      <c r="C70" t="s">
        <v>1102</v>
      </c>
      <c r="D70" t="s">
        <v>1103</v>
      </c>
      <c r="F70" t="str">
        <f t="shared" si="1"/>
        <v>MAIN SWITCHBOARD MSB-KA-02 15F-16F USP FEEDERS SECTIONS LABEL SCHEDULE</v>
      </c>
    </row>
    <row r="71" spans="3:6">
      <c r="C71" t="s">
        <v>1104</v>
      </c>
      <c r="D71" t="s">
        <v>1105</v>
      </c>
      <c r="F71" t="str">
        <f t="shared" si="1"/>
        <v>MAIN SWITCHBOARD MSB-KA-02 17F-18F UPS FIRE SERVICES SECTIONS LABEL SCHEDULE</v>
      </c>
    </row>
    <row r="72" spans="3:6">
      <c r="C72" t="s">
        <v>1106</v>
      </c>
      <c r="D72" t="s">
        <v>1107</v>
      </c>
      <c r="E72" t="s">
        <v>1015</v>
      </c>
      <c r="F72" t="str">
        <f t="shared" si="1"/>
        <v>MAIN SWITCHBOARD MSB-KA-02MAIN INCOMER POWER DIAGRAM</v>
      </c>
    </row>
    <row r="73" spans="3:6">
      <c r="C73" t="s">
        <v>1108</v>
      </c>
      <c r="D73" t="s">
        <v>1107</v>
      </c>
      <c r="E73" t="s">
        <v>1109</v>
      </c>
      <c r="F73" t="str">
        <f t="shared" si="1"/>
        <v>MAIN SWITCHBOARD MSB-KA-02MAIN BUS POWER DIAGRAM</v>
      </c>
    </row>
    <row r="74" spans="3:6">
      <c r="C74" t="s">
        <v>1110</v>
      </c>
      <c r="D74" t="s">
        <v>1111</v>
      </c>
      <c r="F74" t="str">
        <f t="shared" ref="F74:F137" si="2">_xlfn.CONCAT(D74,E74)</f>
        <v>MAIN SWITCHBOARD MSB-KA-02 HYPER DH BRANCH FEEDER POWER DIAGRAM</v>
      </c>
    </row>
    <row r="75" spans="3:6">
      <c r="C75" t="s">
        <v>1112</v>
      </c>
      <c r="D75" t="s">
        <v>1113</v>
      </c>
      <c r="F75" t="str">
        <f t="shared" si="2"/>
        <v>MAIN SWITCHBOARD MSB-KA-02 MCC-X CHILLER FEEDERS POWER DIAGRAM</v>
      </c>
    </row>
    <row r="76" spans="3:6">
      <c r="C76" t="s">
        <v>1114</v>
      </c>
      <c r="D76" t="s">
        <v>1107</v>
      </c>
      <c r="E76" t="s">
        <v>1115</v>
      </c>
      <c r="F76" t="str">
        <f t="shared" si="2"/>
        <v>MAIN SWITCHBOARD MSB-KA-02MAIN DISTRIBUTION POWER DIAGRAM 1 OF 3</v>
      </c>
    </row>
    <row r="77" spans="3:6">
      <c r="C77" t="s">
        <v>1116</v>
      </c>
      <c r="D77" t="s">
        <v>1107</v>
      </c>
      <c r="E77" t="s">
        <v>1117</v>
      </c>
      <c r="F77" t="str">
        <f t="shared" si="2"/>
        <v>MAIN SWITCHBOARD MSB-KA-02MAIN DISTRIBUTION POWER DIAGRAM 2 OF 3</v>
      </c>
    </row>
    <row r="78" spans="3:6">
      <c r="C78" t="s">
        <v>1118</v>
      </c>
      <c r="D78" t="s">
        <v>1107</v>
      </c>
      <c r="E78" t="s">
        <v>1119</v>
      </c>
      <c r="F78" t="str">
        <f t="shared" si="2"/>
        <v>MAIN SWITCHBOARD MSB-KA-02MAIN DISTRIBUTION POWER DIAGRAM 3 OF 3</v>
      </c>
    </row>
    <row r="79" spans="3:6">
      <c r="C79" t="s">
        <v>1120</v>
      </c>
      <c r="D79" t="s">
        <v>1121</v>
      </c>
      <c r="F79" t="str">
        <f t="shared" si="2"/>
        <v>MAIN SWITCHBOARD MSB-KA-02 BUS TIE POWER DIAGRAM</v>
      </c>
    </row>
    <row r="80" spans="3:6">
      <c r="C80" t="s">
        <v>1122</v>
      </c>
      <c r="D80" t="s">
        <v>1123</v>
      </c>
      <c r="F80" t="str">
        <f t="shared" si="2"/>
        <v>MAIN SWITCHBOARD MSB-KA-02 UPS DISTRIBUTION POWER DIAGRAM</v>
      </c>
    </row>
    <row r="81" spans="3:6">
      <c r="C81" t="s">
        <v>1124</v>
      </c>
      <c r="D81" t="s">
        <v>1125</v>
      </c>
      <c r="F81" t="str">
        <f t="shared" si="2"/>
        <v>MAIN SWITCHBOARD MSB-KA-02 LOAD BANK FEEDER POWER DIAGRAM</v>
      </c>
    </row>
    <row r="82" spans="3:6">
      <c r="C82" t="s">
        <v>1126</v>
      </c>
      <c r="D82" t="s">
        <v>1127</v>
      </c>
      <c r="F82" t="str">
        <f t="shared" si="2"/>
        <v>MAIN SWITCHBOARD MSB-KA-02 UPS-X1 INCOMER POWER DIAGRAM</v>
      </c>
    </row>
    <row r="83" spans="3:6">
      <c r="C83" t="s">
        <v>1128</v>
      </c>
      <c r="D83" t="s">
        <v>1129</v>
      </c>
      <c r="F83" t="str">
        <f t="shared" si="2"/>
        <v>MAIN SWITCHBOARD MSB-KA-02 UPS-X2 INCOMER POWER DIAGRAM</v>
      </c>
    </row>
    <row r="84" spans="3:6">
      <c r="C84" t="s">
        <v>1130</v>
      </c>
      <c r="D84" t="s">
        <v>1131</v>
      </c>
      <c r="F84" t="str">
        <f t="shared" si="2"/>
        <v>MAIN SWITCHBOARD MSB-KA-02 ESSENTIAL SERVICES POWER DIAGRAM 1 OF 2</v>
      </c>
    </row>
    <row r="85" spans="3:6">
      <c r="C85" t="s">
        <v>1132</v>
      </c>
      <c r="D85" t="s">
        <v>1133</v>
      </c>
      <c r="F85" t="str">
        <f t="shared" si="2"/>
        <v>MAIN SWITCHBOARD MSB-KA-02 ESSENTIAL SERVICES POWER DIAGRAM 2 OF 2</v>
      </c>
    </row>
    <row r="86" spans="3:6">
      <c r="C86" t="s">
        <v>1134</v>
      </c>
      <c r="D86" t="s">
        <v>1135</v>
      </c>
      <c r="F86" t="str">
        <f t="shared" si="2"/>
        <v>MAIN SWITCHBOARD MSB-KA-02 UPS FEEDERS POWER DIAGRAM</v>
      </c>
    </row>
    <row r="87" spans="3:6">
      <c r="C87" t="s">
        <v>1136</v>
      </c>
      <c r="D87" t="s">
        <v>1137</v>
      </c>
      <c r="F87" t="str">
        <f t="shared" si="2"/>
        <v>MAIN SWITCHBOARD MSB-KA-02 110VDC POWER SUPPLY POWER DIAGRAM</v>
      </c>
    </row>
    <row r="88" spans="3:6">
      <c r="C88" t="s">
        <v>1138</v>
      </c>
      <c r="D88" t="s">
        <v>1139</v>
      </c>
      <c r="F88" t="str">
        <f t="shared" si="2"/>
        <v>MAIN SWITCHBOARD MSB-KA-02 24VDC POWER SUPPLY POWER DIAGRAM 1 OF 2</v>
      </c>
    </row>
    <row r="89" spans="3:6">
      <c r="C89" t="s">
        <v>1140</v>
      </c>
      <c r="D89" t="s">
        <v>1141</v>
      </c>
      <c r="F89" t="str">
        <f t="shared" si="2"/>
        <v>MAIN SWITCHBOARD MSB-KA-02 24VDC POWER SUPPLY POWER DIAGRAM 2 OF 2</v>
      </c>
    </row>
    <row r="90" spans="3:6">
      <c r="C90" t="s">
        <v>1142</v>
      </c>
      <c r="D90" t="s">
        <v>1143</v>
      </c>
      <c r="F90" t="str">
        <f t="shared" si="2"/>
        <v>MAIN SWITCHBOARD MSB-KA-02 CL KEY SWITCH 20A 2NO 2NC FOR UPS BOARD</v>
      </c>
    </row>
    <row r="91" spans="3:6">
      <c r="C91" t="s">
        <v>1144</v>
      </c>
      <c r="D91" t="s">
        <v>1145</v>
      </c>
      <c r="F91" t="str">
        <f t="shared" si="2"/>
        <v>MAIN SWITCHBOARD MSB-KA-02 ENERLIN'X COMMS NETWORK DIAGRAM</v>
      </c>
    </row>
    <row r="92" spans="3:6">
      <c r="C92" t="s">
        <v>1146</v>
      </c>
      <c r="D92" t="s">
        <v>1147</v>
      </c>
      <c r="F92" t="str">
        <f t="shared" si="2"/>
        <v>MAIN SWITCHBOARD MSB-KA-02 NETWORK SWITCH NETWORK DIAGRAM</v>
      </c>
    </row>
    <row r="93" spans="3:6">
      <c r="C93" t="s">
        <v>1148</v>
      </c>
      <c r="D93" t="s">
        <v>1149</v>
      </c>
      <c r="F93" t="str">
        <f t="shared" si="2"/>
        <v>MAIN SWITCHBOARD MSB-KB-01 DRAWING INDEX</v>
      </c>
    </row>
    <row r="94" spans="3:6">
      <c r="C94" t="s">
        <v>1150</v>
      </c>
      <c r="D94" t="s">
        <v>1151</v>
      </c>
      <c r="F94" t="str">
        <f t="shared" si="2"/>
        <v>MAIN SWITCHBOARD MSB-KB-01 SINGLE LINE DIAGRAM</v>
      </c>
    </row>
    <row r="95" spans="3:6">
      <c r="C95" t="s">
        <v>1152</v>
      </c>
      <c r="D95" t="s">
        <v>1153</v>
      </c>
      <c r="F95" t="str">
        <f t="shared" si="2"/>
        <v>MAIN SWITCHBOARD MSB-KB-01 MSB-KB-1 ENCLOSURE GENERAL ARRANGEMENT</v>
      </c>
    </row>
    <row r="96" spans="3:6">
      <c r="C96" t="s">
        <v>1154</v>
      </c>
      <c r="D96" t="s">
        <v>1155</v>
      </c>
      <c r="F96" t="str">
        <f t="shared" si="2"/>
        <v>MAIN SWITCHBOARD MSB-KB-01 GEN INCOMER SECTION GENERAL ARRANGEMENT</v>
      </c>
    </row>
    <row r="97" spans="3:6">
      <c r="C97" t="s">
        <v>1156</v>
      </c>
      <c r="D97" t="s">
        <v>1157</v>
      </c>
      <c r="F97" t="str">
        <f t="shared" si="2"/>
        <v>MAIN SWITCHBOARD MSB-KB-01 LOAD BANK SECTION GENERAL ARRANGEMENT</v>
      </c>
    </row>
    <row r="98" spans="3:6">
      <c r="C98" t="s">
        <v>1158</v>
      </c>
      <c r="D98" t="s">
        <v>1159</v>
      </c>
      <c r="F98" t="str">
        <f t="shared" si="2"/>
        <v>MAIN SWITCHBOARD MSB-KB-01 GEN BUSTIE SECTION GENERAL ARRANGEMENT</v>
      </c>
    </row>
    <row r="99" spans="3:6">
      <c r="C99" t="s">
        <v>1160</v>
      </c>
      <c r="D99" t="s">
        <v>1161</v>
      </c>
      <c r="E99" t="s">
        <v>983</v>
      </c>
      <c r="F99" t="str">
        <f t="shared" si="2"/>
        <v>MAIN SWITCHBOARD MSB-KB-01MAIN INCOMER SECTION GENERAL ARRANGEMENT</v>
      </c>
    </row>
    <row r="100" spans="3:6">
      <c r="C100" t="s">
        <v>1162</v>
      </c>
      <c r="D100" t="s">
        <v>1163</v>
      </c>
      <c r="F100" t="str">
        <f t="shared" si="2"/>
        <v>MAIN SWITCHBOARD MSB-KB-01 ATS SECTION GENERAL ARRANGEMENT</v>
      </c>
    </row>
    <row r="101" spans="3:6">
      <c r="C101" t="s">
        <v>1164</v>
      </c>
      <c r="D101" t="s">
        <v>1165</v>
      </c>
      <c r="F101" t="str">
        <f t="shared" si="2"/>
        <v>MAIN SWITCHBOARD MSB-KB-01 REAR VIEW GENERAL ARRANGEMENT</v>
      </c>
    </row>
    <row r="102" spans="3:6">
      <c r="C102" t="s">
        <v>1166</v>
      </c>
      <c r="D102" t="s">
        <v>1167</v>
      </c>
      <c r="F102" t="str">
        <f t="shared" si="2"/>
        <v>MAIN SWITCHBOARD MSB-KB-01 PLINTH DETAILS GENERAL ARRANGEMENT</v>
      </c>
    </row>
    <row r="103" spans="3:6">
      <c r="C103" t="s">
        <v>1168</v>
      </c>
      <c r="D103" t="s">
        <v>1169</v>
      </c>
      <c r="F103" t="str">
        <f t="shared" si="2"/>
        <v>MAIN SWITCHBOARD MSB-KB-01 BILL OF MATERIALS</v>
      </c>
    </row>
    <row r="104" spans="3:6">
      <c r="C104" t="s">
        <v>1170</v>
      </c>
      <c r="D104" t="s">
        <v>1169</v>
      </c>
      <c r="F104" t="str">
        <f t="shared" si="2"/>
        <v>MAIN SWITCHBOARD MSB-KB-01 BILL OF MATERIALS</v>
      </c>
    </row>
    <row r="105" spans="3:6">
      <c r="C105" t="s">
        <v>1171</v>
      </c>
      <c r="D105" t="s">
        <v>1169</v>
      </c>
      <c r="F105" t="str">
        <f t="shared" si="2"/>
        <v>MAIN SWITCHBOARD MSB-KB-01 BILL OF MATERIALS</v>
      </c>
    </row>
    <row r="106" spans="3:6">
      <c r="C106" t="s">
        <v>1172</v>
      </c>
      <c r="D106" t="s">
        <v>1173</v>
      </c>
      <c r="F106" t="str">
        <f t="shared" si="2"/>
        <v>MAIN SWITCHBOARD MSB-KB-01 1F GSB-KB GEN INCOMING SECTION LABEL SCHEDULE</v>
      </c>
    </row>
    <row r="107" spans="3:6">
      <c r="C107" t="s">
        <v>1174</v>
      </c>
      <c r="D107" t="s">
        <v>1175</v>
      </c>
      <c r="E107" t="s">
        <v>1176</v>
      </c>
      <c r="F107" t="str">
        <f t="shared" si="2"/>
        <v>MAIN SWITCHBOARD MSB-KB-01 2F3F GSB-KB LOADBANK OUT SECTION LABEL SCHEDULE</v>
      </c>
    </row>
    <row r="108" spans="3:6">
      <c r="C108" t="s">
        <v>1177</v>
      </c>
      <c r="D108" t="s">
        <v>1178</v>
      </c>
      <c r="F108" t="str">
        <f t="shared" si="2"/>
        <v>MAIN SWITCHBOARD MSB-KB-01 4F MSB-KB-PART-1 GEN BUS TIE SECTION LABEL SCHEDULE</v>
      </c>
    </row>
    <row r="109" spans="3:6">
      <c r="C109" t="s">
        <v>1179</v>
      </c>
      <c r="D109" t="s">
        <v>1180</v>
      </c>
      <c r="E109" t="s">
        <v>1003</v>
      </c>
      <c r="F109" t="str">
        <f t="shared" si="2"/>
        <v>MAIN SWITCHBOARD MSB-KB-01 5F MSB-KB-PART-1MAINS INCOMING SECTION LABEL SCHEDULE</v>
      </c>
    </row>
    <row r="110" spans="3:6">
      <c r="C110" t="s">
        <v>1181</v>
      </c>
      <c r="D110" t="s">
        <v>1182</v>
      </c>
      <c r="F110" t="str">
        <f t="shared" si="2"/>
        <v>MAIN SWITCHBOARD MSB-KB-01 6F MSB-KB-PART-1 ATS SECTION LABEL SCHEDULE</v>
      </c>
    </row>
    <row r="111" spans="3:6">
      <c r="C111" t="s">
        <v>1183</v>
      </c>
      <c r="D111" t="s">
        <v>1184</v>
      </c>
      <c r="F111" t="str">
        <f t="shared" si="2"/>
        <v>MAIN SWITCHBOARD MSB-KB-01 GENERATOR INCOMER POWER DIAGRAM</v>
      </c>
    </row>
    <row r="112" spans="3:6">
      <c r="C112" t="s">
        <v>1185</v>
      </c>
      <c r="D112" t="s">
        <v>1186</v>
      </c>
      <c r="F112" t="str">
        <f t="shared" si="2"/>
        <v>MAIN SWITCHBOARD MSB-KB-01 LOAD BANK FEEDER 1 OF 2 POWER DIAGRAM</v>
      </c>
    </row>
    <row r="113" spans="3:6">
      <c r="C113" t="s">
        <v>1187</v>
      </c>
      <c r="D113" t="s">
        <v>1188</v>
      </c>
      <c r="F113" t="str">
        <f t="shared" si="2"/>
        <v>MAIN SWITCHBOARD MSB-KB-01 LOAD BANK FEEDER 2 OF 2 POWER DIAGRAM</v>
      </c>
    </row>
    <row r="114" spans="3:6">
      <c r="C114" t="s">
        <v>1189</v>
      </c>
      <c r="D114" t="s">
        <v>1190</v>
      </c>
      <c r="F114" t="str">
        <f t="shared" si="2"/>
        <v>MAIN SWITCHBOARD MSB-KB-01 BUS TIE POWER DIAGRAM</v>
      </c>
    </row>
    <row r="115" spans="3:6">
      <c r="C115" t="s">
        <v>1191</v>
      </c>
      <c r="D115" t="s">
        <v>1161</v>
      </c>
      <c r="E115" t="s">
        <v>1015</v>
      </c>
      <c r="F115" t="str">
        <f t="shared" si="2"/>
        <v>MAIN SWITCHBOARD MSB-KB-01MAIN INCOMER POWER DIAGRAM</v>
      </c>
    </row>
    <row r="116" spans="3:6">
      <c r="C116" t="s">
        <v>1192</v>
      </c>
      <c r="D116" t="s">
        <v>1193</v>
      </c>
      <c r="F116" t="str">
        <f t="shared" si="2"/>
        <v>MAIN SWITCHBOARD MSB-KB-01 MSB-KB-PART-2 FEEDER POWER DIAGRAM</v>
      </c>
    </row>
    <row r="117" spans="3:6">
      <c r="C117" t="s">
        <v>1194</v>
      </c>
      <c r="D117" t="s">
        <v>1195</v>
      </c>
      <c r="F117" t="str">
        <f t="shared" si="2"/>
        <v>MAIN SWITCHBOARD MSB-KB-01 110VDC POWER SUPPLY POWER DIAGRAM</v>
      </c>
    </row>
    <row r="118" spans="3:6">
      <c r="C118" t="s">
        <v>1196</v>
      </c>
      <c r="D118" t="s">
        <v>1197</v>
      </c>
      <c r="F118" t="str">
        <f t="shared" si="2"/>
        <v>MAIN SWITCHBOARD MSB-KB-01 24VDC POWER SUPPLY POWER DIAGRAM</v>
      </c>
    </row>
    <row r="119" spans="3:6">
      <c r="C119" t="s">
        <v>1198</v>
      </c>
      <c r="D119" t="s">
        <v>1199</v>
      </c>
      <c r="F119" t="str">
        <f t="shared" si="2"/>
        <v>MAIN SWITCHBOARD MSB-KB-01 24VDC DISTRIBUTION POWER DIAGRAM</v>
      </c>
    </row>
    <row r="120" spans="3:6">
      <c r="C120" t="s">
        <v>1200</v>
      </c>
      <c r="D120" t="s">
        <v>1201</v>
      </c>
      <c r="F120" t="str">
        <f t="shared" si="2"/>
        <v>MAIN SWITCHBOARD MSB-KB-01 AUTOMATIC TRANSFER SWITCH CONTROL DIAGRAM</v>
      </c>
    </row>
    <row r="121" spans="3:6">
      <c r="C121" t="s">
        <v>1202</v>
      </c>
      <c r="D121" t="s">
        <v>1203</v>
      </c>
      <c r="F121" t="str">
        <f t="shared" si="2"/>
        <v>MAIN SWITCHBOARD MSB-KB-01 NETWORK DIAGRAM</v>
      </c>
    </row>
    <row r="122" spans="3:6">
      <c r="C122" t="s">
        <v>1204</v>
      </c>
      <c r="D122" t="s">
        <v>1205</v>
      </c>
      <c r="F122" t="str">
        <f t="shared" si="2"/>
        <v>MAIN SWITCHBOARD MSB-KB-02 DRAWING INDEX SH.1</v>
      </c>
    </row>
    <row r="123" spans="3:6">
      <c r="C123" t="s">
        <v>1206</v>
      </c>
      <c r="D123" t="s">
        <v>1207</v>
      </c>
      <c r="F123" t="str">
        <f t="shared" si="2"/>
        <v>MAIN SWITCHBOARD MSB-KB-02 DRAWING INDEX SH.2</v>
      </c>
    </row>
    <row r="124" spans="3:6">
      <c r="C124" t="s">
        <v>1208</v>
      </c>
      <c r="D124" t="s">
        <v>1209</v>
      </c>
      <c r="F124" t="str">
        <f t="shared" si="2"/>
        <v>MAIN SWITCHBOARD MSB-KB-02 SINGLE LINE DIAGRAM 1 OF 3</v>
      </c>
    </row>
    <row r="125" spans="3:6">
      <c r="C125" t="s">
        <v>1210</v>
      </c>
      <c r="D125" t="s">
        <v>1211</v>
      </c>
      <c r="F125" t="str">
        <f t="shared" si="2"/>
        <v>MAIN SWITCHBOARD MSB-KB-02 SINGLE LINE DIAGRAM 2 OF 3</v>
      </c>
    </row>
    <row r="126" spans="3:6">
      <c r="C126" t="s">
        <v>1212</v>
      </c>
      <c r="D126" t="s">
        <v>1213</v>
      </c>
      <c r="F126" t="str">
        <f t="shared" si="2"/>
        <v>MAIN SWITCHBOARD MSB-KB-02 SINGLE LINE DIAGRAM 3 OF 3</v>
      </c>
    </row>
    <row r="127" spans="3:6">
      <c r="C127" t="s">
        <v>1214</v>
      </c>
      <c r="D127" t="s">
        <v>1215</v>
      </c>
      <c r="F127" t="str">
        <f t="shared" si="2"/>
        <v>MAIN SWITCHBOARD MSB-KB-02 EXTERNAL VIEW TIERS 1-8 GENERAL ARRANGEMENT</v>
      </c>
    </row>
    <row r="128" spans="3:6">
      <c r="C128" t="s">
        <v>1216</v>
      </c>
      <c r="D128" t="s">
        <v>1217</v>
      </c>
      <c r="F128" t="str">
        <f t="shared" si="2"/>
        <v>MAIN SWITCHBOARD MSB-KB-02 EXTERNAL VIEW TIERS 9-18 GENERAL ARRANGEMENT</v>
      </c>
    </row>
    <row r="129" spans="3:6">
      <c r="C129" t="s">
        <v>1218</v>
      </c>
      <c r="D129" t="s">
        <v>1219</v>
      </c>
      <c r="F129" t="str">
        <f t="shared" si="2"/>
        <v>MAIN SWITCHBOARD MSB-KB-02 INTERNAL VIEW TIERS 1 GENERAL ARRANGEMENT</v>
      </c>
    </row>
    <row r="130" spans="3:6">
      <c r="C130" t="s">
        <v>1220</v>
      </c>
      <c r="D130" t="s">
        <v>1221</v>
      </c>
      <c r="F130" t="str">
        <f t="shared" si="2"/>
        <v>MAIN SWITCHBOARD MSB-KB-02 INTERNAL VIEW TIERS 2 GENERAL ARRANGEMENT</v>
      </c>
    </row>
    <row r="131" spans="3:6">
      <c r="C131" t="s">
        <v>1222</v>
      </c>
      <c r="D131" t="s">
        <v>1223</v>
      </c>
      <c r="F131" t="str">
        <f t="shared" si="2"/>
        <v>MAIN SWITCHBOARD MSB-KB-02 INTERNAL VIEW TIERS 3 GENERAL ARRANGEMENT</v>
      </c>
    </row>
    <row r="132" spans="3:6">
      <c r="C132" t="s">
        <v>1224</v>
      </c>
      <c r="D132" t="s">
        <v>1225</v>
      </c>
      <c r="F132" t="str">
        <f t="shared" si="2"/>
        <v>MAIN SWITCHBOARD MSB-KB-02 INTERNAL VIEW TIERS 4 GENERAL ARRANGEMENT</v>
      </c>
    </row>
    <row r="133" spans="3:6">
      <c r="C133" t="s">
        <v>1226</v>
      </c>
      <c r="D133" t="s">
        <v>1227</v>
      </c>
      <c r="F133" t="str">
        <f t="shared" si="2"/>
        <v>MAIN SWITCHBOARD MSB-KB-02 INTERNAL VIEW TIERS 5 GENERAL ARRANGEMENT</v>
      </c>
    </row>
    <row r="134" spans="3:6">
      <c r="C134" t="s">
        <v>1228</v>
      </c>
      <c r="D134" t="s">
        <v>1229</v>
      </c>
      <c r="F134" t="str">
        <f t="shared" si="2"/>
        <v>MAIN SWITCHBOARD MSB-KB-02 INTERNAL VIEW TIERS 6 GENERAL ARRANGEMENT</v>
      </c>
    </row>
    <row r="135" spans="3:6">
      <c r="C135" t="s">
        <v>1230</v>
      </c>
      <c r="D135" t="s">
        <v>1231</v>
      </c>
      <c r="F135" t="str">
        <f t="shared" si="2"/>
        <v>MAIN SWITCHBOARD MSB-KB-02 INTERNAL VIEW TIERS 7 GENERAL ARRANGEMENT</v>
      </c>
    </row>
    <row r="136" spans="3:6">
      <c r="C136" t="s">
        <v>1232</v>
      </c>
      <c r="D136" t="s">
        <v>1233</v>
      </c>
      <c r="F136" t="str">
        <f t="shared" si="2"/>
        <v>MAIN SWITCHBOARD MSB-KB-02 INTERNAL VIEW TIERS 8 &amp; 9 GENERAL ARRANGEMENT</v>
      </c>
    </row>
    <row r="137" spans="3:6">
      <c r="C137" t="s">
        <v>1234</v>
      </c>
      <c r="D137" t="s">
        <v>1235</v>
      </c>
      <c r="F137" t="str">
        <f t="shared" si="2"/>
        <v>MAIN SWITCHBOARD MSB-KB-02 INTERNAL VIEW TIERS 10 GENERAL ARRANGEMENT</v>
      </c>
    </row>
    <row r="138" spans="3:6">
      <c r="C138" t="s">
        <v>1236</v>
      </c>
      <c r="D138" t="s">
        <v>1237</v>
      </c>
      <c r="F138" t="str">
        <f t="shared" ref="F138:F201" si="3">_xlfn.CONCAT(D138,E138)</f>
        <v>MAIN SWITCHBOARD MSB-KB-02 INTERNAL VIEW TIERS 11 GENERAL ARRANGEMENT</v>
      </c>
    </row>
    <row r="139" spans="3:6">
      <c r="C139" t="s">
        <v>1238</v>
      </c>
      <c r="D139" t="s">
        <v>1239</v>
      </c>
      <c r="F139" t="str">
        <f t="shared" si="3"/>
        <v>MAIN SWITCHBOARD MSB-KB-02 INTERNAL VIEW TIERS 12 GENERAL ARRANGEMENT</v>
      </c>
    </row>
    <row r="140" spans="3:6">
      <c r="C140" t="s">
        <v>1240</v>
      </c>
      <c r="D140" t="s">
        <v>1241</v>
      </c>
      <c r="F140" t="str">
        <f t="shared" si="3"/>
        <v>MAIN SWITCHBOARD MSB-KB-02 INTERNAL VIEW TIERS 13 GENERAL ARRANGEMENT</v>
      </c>
    </row>
    <row r="141" spans="3:6">
      <c r="C141" t="s">
        <v>1242</v>
      </c>
      <c r="D141" t="s">
        <v>1243</v>
      </c>
      <c r="F141" t="str">
        <f t="shared" si="3"/>
        <v>MAIN SWITCHBOARD MSB-KB-02 INTERNAL VIEW TIERS 14 &amp; 15 GENERAL ARRANGEMENT</v>
      </c>
    </row>
    <row r="142" spans="3:6">
      <c r="C142" t="s">
        <v>1244</v>
      </c>
      <c r="D142" t="s">
        <v>1245</v>
      </c>
      <c r="F142" t="str">
        <f t="shared" si="3"/>
        <v>MAIN SWITCHBOARD MSB-KB-02 INTERNAL VIEW TIERS 16 GENERAL ARRANGEMENT</v>
      </c>
    </row>
    <row r="143" spans="3:6">
      <c r="C143" t="s">
        <v>1246</v>
      </c>
      <c r="D143" t="s">
        <v>1247</v>
      </c>
      <c r="F143" t="str">
        <f t="shared" si="3"/>
        <v>MAIN SWITCHBOARD MSB-KB-02 INTERNAL VIEW TIERS 17 &amp; 18 GENERAL ARRANGEMENT</v>
      </c>
    </row>
    <row r="144" spans="3:6">
      <c r="C144" t="s">
        <v>1248</v>
      </c>
      <c r="D144" t="s">
        <v>1249</v>
      </c>
      <c r="F144" t="str">
        <f t="shared" si="3"/>
        <v>MAIN SWITCHBOARD MSB-KB-02 EXTERNAL REAR VIEW TIERS GENERAL ARRANGEMENT</v>
      </c>
    </row>
    <row r="145" spans="3:6">
      <c r="C145" t="s">
        <v>1250</v>
      </c>
      <c r="D145" t="s">
        <v>1251</v>
      </c>
      <c r="F145" t="str">
        <f t="shared" si="3"/>
        <v>MAIN SWITCHBOARD MSB-KB-02 PLINTH DETAILS GENERAL ARRANGEMENT 1 OF 2</v>
      </c>
    </row>
    <row r="146" spans="3:6">
      <c r="C146" t="s">
        <v>1252</v>
      </c>
      <c r="D146" t="s">
        <v>1253</v>
      </c>
      <c r="F146" t="str">
        <f t="shared" si="3"/>
        <v>MAIN SWITCHBOARD MSB-KB-02 PLINTH DETAILS GENERAL ARRANGEMENT 2 OF 2</v>
      </c>
    </row>
    <row r="147" spans="3:6">
      <c r="C147" t="s">
        <v>1254</v>
      </c>
      <c r="D147" t="s">
        <v>1255</v>
      </c>
      <c r="F147" t="str">
        <f t="shared" si="3"/>
        <v>MAIN SWITCHBOARD MSB-KB-02 BILL OF MATERIALS 1 OF 5</v>
      </c>
    </row>
    <row r="148" spans="3:6">
      <c r="C148" t="s">
        <v>1256</v>
      </c>
      <c r="D148" t="s">
        <v>1257</v>
      </c>
      <c r="F148" t="str">
        <f t="shared" si="3"/>
        <v>MAIN SWITCHBOARD MSB-KB-02 BILL OF MATERIALS 2 OF 5</v>
      </c>
    </row>
    <row r="149" spans="3:6">
      <c r="C149" t="s">
        <v>1258</v>
      </c>
      <c r="D149" t="s">
        <v>1259</v>
      </c>
      <c r="F149" t="str">
        <f t="shared" si="3"/>
        <v>MAIN SWITCHBOARD MSB-KB-02 BILL OF MATERIALS 3 OF 5</v>
      </c>
    </row>
    <row r="150" spans="3:6">
      <c r="C150" t="s">
        <v>1260</v>
      </c>
      <c r="D150" t="s">
        <v>1261</v>
      </c>
      <c r="F150" t="str">
        <f t="shared" si="3"/>
        <v>MAIN SWITCHBOARD MSB-KB-02 BILL OF MATERIALS 4 OF 5</v>
      </c>
    </row>
    <row r="151" spans="3:6">
      <c r="C151" t="s">
        <v>1262</v>
      </c>
      <c r="D151" t="s">
        <v>1263</v>
      </c>
      <c r="F151" t="str">
        <f t="shared" si="3"/>
        <v>MAIN SWITCHBOARD MSB-KB-02 BILL OF MATERIALS 5 OF 5</v>
      </c>
    </row>
    <row r="152" spans="3:6">
      <c r="C152" t="s">
        <v>1264</v>
      </c>
      <c r="D152" t="s">
        <v>1265</v>
      </c>
      <c r="F152" t="str">
        <f t="shared" si="3"/>
        <v>MAIN SWITCHBOARD MSB-KB-02 1F MSB-KB-02 CHILLER SECTION LABEL SCHEDULE</v>
      </c>
    </row>
    <row r="153" spans="3:6">
      <c r="C153" t="s">
        <v>1266</v>
      </c>
      <c r="D153" t="s">
        <v>1267</v>
      </c>
      <c r="F153" t="str">
        <f t="shared" si="3"/>
        <v>MAIN SWITCHBOARD MSB-KB-02 2F MSB-KB-02 SECOND FEED SECTION LABEL SCHEDULE</v>
      </c>
    </row>
    <row r="154" spans="3:6">
      <c r="C154" t="s">
        <v>1268</v>
      </c>
      <c r="D154" t="s">
        <v>1269</v>
      </c>
      <c r="F154" t="str">
        <f t="shared" si="3"/>
        <v>MAIN SWITCHBOARD MSB-KB-02 3F-4F-5F LGT, PWR, &amp; MCC SECTIONS LABEL SCHEDULE</v>
      </c>
    </row>
    <row r="155" spans="3:6">
      <c r="C155" t="s">
        <v>1270</v>
      </c>
      <c r="D155" t="s">
        <v>1271</v>
      </c>
      <c r="F155" t="str">
        <f t="shared" si="3"/>
        <v>MAIN SWITCHBOARD MSB-KB-02 6F-7F HYPER DH &amp; BUS TIE SECTIONS LABEL SCHEDULE</v>
      </c>
    </row>
    <row r="156" spans="3:6">
      <c r="C156" t="s">
        <v>1272</v>
      </c>
      <c r="D156" t="s">
        <v>1273</v>
      </c>
      <c r="F156" t="str">
        <f t="shared" si="3"/>
        <v>MAIN SWITCHBOARD MSB-KB-02 8F-9F MSB-KB-02 SECTIONS LABEL SCHEDULE</v>
      </c>
    </row>
    <row r="157" spans="3:6">
      <c r="C157" t="s">
        <v>1274</v>
      </c>
      <c r="D157" t="s">
        <v>1275</v>
      </c>
      <c r="F157" t="str">
        <f t="shared" si="3"/>
        <v>MAIN SWITCHBOARD MSB-KB-02 10F-13F MSB-KB-02 SECTIONS LABEL SCHEDULE</v>
      </c>
    </row>
    <row r="158" spans="3:6">
      <c r="C158" t="s">
        <v>1276</v>
      </c>
      <c r="D158" t="s">
        <v>1277</v>
      </c>
      <c r="F158" t="str">
        <f t="shared" si="3"/>
        <v>MAIN SWITCHBOARD MSB-KB-02 11F-12F-14F UPS INCOMMERS SECTIONS LABEL SCHEDULE</v>
      </c>
    </row>
    <row r="159" spans="3:6">
      <c r="C159" t="s">
        <v>1278</v>
      </c>
      <c r="D159" t="s">
        <v>1279</v>
      </c>
      <c r="F159" t="str">
        <f t="shared" si="3"/>
        <v>MAIN SWITCHBOARD MSB-KB-02 15F-16F USP FEEDERS SECTIONS LABEL SCHEDULE</v>
      </c>
    </row>
    <row r="160" spans="3:6">
      <c r="C160" t="s">
        <v>1280</v>
      </c>
      <c r="D160" t="s">
        <v>1281</v>
      </c>
      <c r="F160" t="str">
        <f t="shared" si="3"/>
        <v>MAIN SWITCHBOARD MSB-KB-02 17F-18F UPS FIRE SERVICES SECTIONS LABEL SCHEDULE</v>
      </c>
    </row>
    <row r="161" spans="3:6">
      <c r="C161" t="s">
        <v>1282</v>
      </c>
      <c r="D161" t="s">
        <v>1283</v>
      </c>
      <c r="E161" t="s">
        <v>1015</v>
      </c>
      <c r="F161" t="str">
        <f t="shared" si="3"/>
        <v>MAIN SWITCHBOARD MSB-KB-02MAIN INCOMER POWER DIAGRAM</v>
      </c>
    </row>
    <row r="162" spans="3:6">
      <c r="C162" t="s">
        <v>1284</v>
      </c>
      <c r="D162" t="s">
        <v>1283</v>
      </c>
      <c r="E162" t="s">
        <v>1109</v>
      </c>
      <c r="F162" t="str">
        <f t="shared" si="3"/>
        <v>MAIN SWITCHBOARD MSB-KB-02MAIN BUS POWER DIAGRAM</v>
      </c>
    </row>
    <row r="163" spans="3:6">
      <c r="C163" t="s">
        <v>1285</v>
      </c>
      <c r="D163" t="s">
        <v>1286</v>
      </c>
      <c r="F163" t="str">
        <f t="shared" si="3"/>
        <v>MAIN SWITCHBOARD MSB-KB-02 HYPER DH BRANCH FEEDER POWER DIAGRAM</v>
      </c>
    </row>
    <row r="164" spans="3:6">
      <c r="C164" t="s">
        <v>1287</v>
      </c>
      <c r="D164" t="s">
        <v>1288</v>
      </c>
      <c r="F164" t="str">
        <f t="shared" si="3"/>
        <v>MAIN SWITCHBOARD MSB-KB-02 MCC-X CHILLER FEEDERS POWER DIAGRAM</v>
      </c>
    </row>
    <row r="165" spans="3:6">
      <c r="C165" t="s">
        <v>1289</v>
      </c>
      <c r="D165" t="s">
        <v>1283</v>
      </c>
      <c r="E165" t="s">
        <v>1115</v>
      </c>
      <c r="F165" t="str">
        <f t="shared" si="3"/>
        <v>MAIN SWITCHBOARD MSB-KB-02MAIN DISTRIBUTION POWER DIAGRAM 1 OF 3</v>
      </c>
    </row>
    <row r="166" spans="3:6">
      <c r="C166" t="s">
        <v>1290</v>
      </c>
      <c r="D166" t="s">
        <v>1283</v>
      </c>
      <c r="E166" t="s">
        <v>1117</v>
      </c>
      <c r="F166" t="str">
        <f t="shared" si="3"/>
        <v>MAIN SWITCHBOARD MSB-KB-02MAIN DISTRIBUTION POWER DIAGRAM 2 OF 3</v>
      </c>
    </row>
    <row r="167" spans="3:6">
      <c r="C167" t="s">
        <v>1291</v>
      </c>
      <c r="D167" t="s">
        <v>1283</v>
      </c>
      <c r="E167" t="s">
        <v>1119</v>
      </c>
      <c r="F167" t="str">
        <f t="shared" si="3"/>
        <v>MAIN SWITCHBOARD MSB-KB-02MAIN DISTRIBUTION POWER DIAGRAM 3 OF 3</v>
      </c>
    </row>
    <row r="168" spans="3:6">
      <c r="C168" t="s">
        <v>1292</v>
      </c>
      <c r="D168" t="s">
        <v>1293</v>
      </c>
      <c r="F168" t="str">
        <f t="shared" si="3"/>
        <v>MAIN SWITCHBOARD MSB-KB-02 BUS TIE POWER DIAGRAM</v>
      </c>
    </row>
    <row r="169" spans="3:6">
      <c r="C169" t="s">
        <v>1294</v>
      </c>
      <c r="D169" t="s">
        <v>1295</v>
      </c>
      <c r="F169" t="str">
        <f t="shared" si="3"/>
        <v>MAIN SWITCHBOARD MSB-KB-02 UPS DISTRIBUTION POWER DIAGRAM</v>
      </c>
    </row>
    <row r="170" spans="3:6">
      <c r="C170" t="s">
        <v>1296</v>
      </c>
      <c r="D170" t="s">
        <v>1297</v>
      </c>
      <c r="F170" t="str">
        <f t="shared" si="3"/>
        <v>MAIN SWITCHBOARD MSB-KB-02 LOAD BANK FEEDER POWER DIAGRAM</v>
      </c>
    </row>
    <row r="171" spans="3:6">
      <c r="C171" t="s">
        <v>1298</v>
      </c>
      <c r="D171" t="s">
        <v>1299</v>
      </c>
      <c r="F171" t="str">
        <f t="shared" si="3"/>
        <v>MAIN SWITCHBOARD MSB-KB-02 UPS-X1 INCOMER POWER DIAGRAM</v>
      </c>
    </row>
    <row r="172" spans="3:6">
      <c r="C172" t="s">
        <v>1300</v>
      </c>
      <c r="D172" t="s">
        <v>1301</v>
      </c>
      <c r="F172" t="str">
        <f t="shared" si="3"/>
        <v>MAIN SWITCHBOARD MSB-KB-02 UPS-X2 INCOMER POWER DIAGRAM</v>
      </c>
    </row>
    <row r="173" spans="3:6">
      <c r="C173" t="s">
        <v>1302</v>
      </c>
      <c r="D173" t="s">
        <v>1303</v>
      </c>
      <c r="F173" t="str">
        <f t="shared" si="3"/>
        <v>MAIN SWITCHBOARD MSB-KB-02 ESSENTIAL SERVICES POWER DIAGRAM 1 OF 2</v>
      </c>
    </row>
    <row r="174" spans="3:6">
      <c r="C174" t="s">
        <v>1304</v>
      </c>
      <c r="D174" t="s">
        <v>1305</v>
      </c>
      <c r="F174" t="str">
        <f t="shared" si="3"/>
        <v>MAIN SWITCHBOARD MSB-KB-02 ESSENTIAL SERVICES POWER DIAGRAM 2 OF 2</v>
      </c>
    </row>
    <row r="175" spans="3:6">
      <c r="C175" t="s">
        <v>1306</v>
      </c>
      <c r="D175" t="s">
        <v>1307</v>
      </c>
      <c r="F175" t="str">
        <f t="shared" si="3"/>
        <v>MAIN SWITCHBOARD MSB-KB-02 UPS FEEDERS POWER DIAGRAM</v>
      </c>
    </row>
    <row r="176" spans="3:6">
      <c r="C176" t="s">
        <v>1308</v>
      </c>
      <c r="D176" t="s">
        <v>1309</v>
      </c>
      <c r="F176" t="str">
        <f t="shared" si="3"/>
        <v>MAIN SWITCHBOARD MSB-KB-02 110VDC POWER SUPPLY POWER DIAGRAM</v>
      </c>
    </row>
    <row r="177" spans="3:6">
      <c r="C177" t="s">
        <v>1310</v>
      </c>
      <c r="D177" t="s">
        <v>1311</v>
      </c>
      <c r="F177" t="str">
        <f t="shared" si="3"/>
        <v>MAIN SWITCHBOARD MSB-KB-02 24VDC POWER SUPPLY POWER DIAGRAM 1 OF 2</v>
      </c>
    </row>
    <row r="178" spans="3:6">
      <c r="C178" t="s">
        <v>1312</v>
      </c>
      <c r="D178" t="s">
        <v>1313</v>
      </c>
      <c r="F178" t="str">
        <f t="shared" si="3"/>
        <v>MAIN SWITCHBOARD MSB-KB-02 24VDC POWER SUPPLY POWER DIAGRAM 2 OF 2</v>
      </c>
    </row>
    <row r="179" spans="3:6">
      <c r="C179" t="s">
        <v>1314</v>
      </c>
      <c r="D179" t="s">
        <v>1315</v>
      </c>
      <c r="F179" t="str">
        <f t="shared" si="3"/>
        <v>MAIN SWITCHBOARD MSB-KB-02 CL KEY SWITCH 20A 2NO 2NC FOR UPS BOARD</v>
      </c>
    </row>
    <row r="180" spans="3:6">
      <c r="C180" t="s">
        <v>1316</v>
      </c>
      <c r="D180" t="s">
        <v>1317</v>
      </c>
      <c r="F180" t="str">
        <f t="shared" si="3"/>
        <v>MAIN SWITCHBOARD MSB-KB-02 ENERLIN'X COMMS NETWORK DIAGRAM</v>
      </c>
    </row>
    <row r="181" spans="3:6">
      <c r="C181" t="s">
        <v>1318</v>
      </c>
      <c r="D181" t="s">
        <v>1319</v>
      </c>
      <c r="F181" t="str">
        <f t="shared" si="3"/>
        <v>MAIN SWITCHBOARD MSB-KB-02 NETWORK SWITCH NETWORK DIAGRAM</v>
      </c>
    </row>
    <row r="182" spans="3:6">
      <c r="C182" t="s">
        <v>1320</v>
      </c>
      <c r="D182" t="s">
        <v>1321</v>
      </c>
      <c r="F182" t="str">
        <f t="shared" si="3"/>
        <v>MAIN SWITCHBOARD MSB-KC-01 DRAWING INDEX</v>
      </c>
    </row>
    <row r="183" spans="3:6">
      <c r="C183" t="s">
        <v>1322</v>
      </c>
      <c r="D183" t="s">
        <v>1323</v>
      </c>
      <c r="F183" t="str">
        <f t="shared" si="3"/>
        <v>MAIN SWITCHBOARD MSB-KC-01 SINGLE LINE DIAGRAM</v>
      </c>
    </row>
    <row r="184" spans="3:6">
      <c r="C184" t="s">
        <v>1324</v>
      </c>
      <c r="D184" t="s">
        <v>1325</v>
      </c>
      <c r="F184" t="str">
        <f t="shared" si="3"/>
        <v>MAIN SWITCHBOARD MSB-KC-01 MSB-KC-1 ENCLOSURE GENERAL ARRANGEMENT</v>
      </c>
    </row>
    <row r="185" spans="3:6">
      <c r="C185" t="s">
        <v>1326</v>
      </c>
      <c r="D185" t="s">
        <v>1327</v>
      </c>
      <c r="F185" t="str">
        <f t="shared" si="3"/>
        <v>MAIN SWITCHBOARD MSB-KC-01 GEN INCOMER SECTION GENERAL ARRANGEMENT</v>
      </c>
    </row>
    <row r="186" spans="3:6">
      <c r="C186" t="s">
        <v>1328</v>
      </c>
      <c r="D186" t="s">
        <v>1329</v>
      </c>
      <c r="F186" t="str">
        <f t="shared" si="3"/>
        <v>MAIN SWITCHBOARD MSB-KC-01 LOAD BANK SECTION GENERAL ARRANGEMENT</v>
      </c>
    </row>
    <row r="187" spans="3:6">
      <c r="C187" t="s">
        <v>1330</v>
      </c>
      <c r="D187" t="s">
        <v>1331</v>
      </c>
      <c r="F187" t="str">
        <f t="shared" si="3"/>
        <v>MAIN SWITCHBOARD MSB-KC-01 GEN BUSTIE SECTION GENERAL ARRANGEMENT</v>
      </c>
    </row>
    <row r="188" spans="3:6">
      <c r="C188" t="s">
        <v>1332</v>
      </c>
      <c r="D188" t="s">
        <v>1333</v>
      </c>
      <c r="E188" t="s">
        <v>983</v>
      </c>
      <c r="F188" t="str">
        <f t="shared" si="3"/>
        <v>MAIN SWITCHBOARD MSB-KC-01MAIN INCOMER SECTION GENERAL ARRANGEMENT</v>
      </c>
    </row>
    <row r="189" spans="3:6">
      <c r="C189" t="s">
        <v>1334</v>
      </c>
      <c r="D189" t="s">
        <v>1335</v>
      </c>
      <c r="F189" t="str">
        <f t="shared" si="3"/>
        <v>MAIN SWITCHBOARD MSB-KC-01 ATS SECTION GENERAL ARRANGEMENT</v>
      </c>
    </row>
    <row r="190" spans="3:6">
      <c r="C190" t="s">
        <v>1336</v>
      </c>
      <c r="D190" t="s">
        <v>1337</v>
      </c>
      <c r="F190" t="str">
        <f t="shared" si="3"/>
        <v>MAIN SWITCHBOARD MSB-KC-01 REAR VIEW GENERAL ARRANGEMENT</v>
      </c>
    </row>
    <row r="191" spans="3:6">
      <c r="C191" t="s">
        <v>1338</v>
      </c>
      <c r="D191" t="s">
        <v>1339</v>
      </c>
      <c r="F191" t="str">
        <f t="shared" si="3"/>
        <v>MAIN SWITCHBOARD MSB-KC-01 PLINTH DETAILS GENERAL ARRANGEMENT</v>
      </c>
    </row>
    <row r="192" spans="3:6">
      <c r="C192" t="s">
        <v>1340</v>
      </c>
      <c r="D192" t="s">
        <v>1341</v>
      </c>
      <c r="F192" t="str">
        <f t="shared" si="3"/>
        <v>MAIN SWITCHBOARD MSB-KC-01 BILL OF MATERIALS</v>
      </c>
    </row>
    <row r="193" spans="3:6">
      <c r="C193" t="s">
        <v>1342</v>
      </c>
      <c r="D193" t="s">
        <v>1341</v>
      </c>
      <c r="F193" t="str">
        <f t="shared" si="3"/>
        <v>MAIN SWITCHBOARD MSB-KC-01 BILL OF MATERIALS</v>
      </c>
    </row>
    <row r="194" spans="3:6">
      <c r="C194" t="s">
        <v>1343</v>
      </c>
      <c r="D194" t="s">
        <v>1341</v>
      </c>
      <c r="F194" t="str">
        <f t="shared" si="3"/>
        <v>MAIN SWITCHBOARD MSB-KC-01 BILL OF MATERIALS</v>
      </c>
    </row>
    <row r="195" spans="3:6">
      <c r="C195" t="s">
        <v>1344</v>
      </c>
      <c r="D195" t="s">
        <v>1345</v>
      </c>
      <c r="F195" t="str">
        <f t="shared" si="3"/>
        <v>MAIN SWITCHBOARD MSB-KC-01 1F GSB-KB GEN INCOMING SECTION LABEL SCHEDULE</v>
      </c>
    </row>
    <row r="196" spans="3:6">
      <c r="C196" t="s">
        <v>1346</v>
      </c>
      <c r="D196" t="s">
        <v>1347</v>
      </c>
      <c r="E196" t="s">
        <v>1176</v>
      </c>
      <c r="F196" t="str">
        <f t="shared" si="3"/>
        <v>MAIN SWITCHBOARD MSB-KC-01 2F3F GSB-KB LOADBANK OUT SECTION LABEL SCHEDULE</v>
      </c>
    </row>
    <row r="197" spans="3:6">
      <c r="C197" t="s">
        <v>1348</v>
      </c>
      <c r="D197" t="s">
        <v>1349</v>
      </c>
      <c r="F197" t="str">
        <f t="shared" si="3"/>
        <v>MAIN SWITCHBOARD MSB-KC-01 4F MSB-KC-PART-1 GEN BUS TIE SECTION LABEL SCHEDULE</v>
      </c>
    </row>
    <row r="198" spans="3:6">
      <c r="C198" t="s">
        <v>1350</v>
      </c>
      <c r="D198" t="s">
        <v>1351</v>
      </c>
      <c r="E198" t="s">
        <v>1003</v>
      </c>
      <c r="F198" t="str">
        <f t="shared" si="3"/>
        <v>MAIN SWITCHBOARD MSB-KC-01 5F MSB-KC-PART-1MAINS INCOMING SECTION LABEL SCHEDULE</v>
      </c>
    </row>
    <row r="199" spans="3:6">
      <c r="C199" t="s">
        <v>1352</v>
      </c>
      <c r="D199" t="s">
        <v>1353</v>
      </c>
      <c r="F199" t="str">
        <f t="shared" si="3"/>
        <v>MAIN SWITCHBOARD MSB-KC-01 6F MSB-KC-PART-1 ATS SECTION LABEL SCHEDULE</v>
      </c>
    </row>
    <row r="200" spans="3:6">
      <c r="C200" t="s">
        <v>1354</v>
      </c>
      <c r="D200" t="s">
        <v>1355</v>
      </c>
      <c r="F200" t="str">
        <f t="shared" si="3"/>
        <v>MAIN SWITCHBOARD MSB-KC-01 GENERATOR INCOMER POWER DIAGRAM</v>
      </c>
    </row>
    <row r="201" spans="3:6">
      <c r="C201" t="s">
        <v>1356</v>
      </c>
      <c r="D201" t="s">
        <v>1357</v>
      </c>
      <c r="F201" t="str">
        <f t="shared" si="3"/>
        <v>MAIN SWITCHBOARD MSB-KC-01 LOAD BANK FEEDER 1 OF 2 POWER DIAGRAM</v>
      </c>
    </row>
    <row r="202" spans="3:6">
      <c r="C202" t="s">
        <v>1358</v>
      </c>
      <c r="D202" t="s">
        <v>1359</v>
      </c>
      <c r="F202" t="str">
        <f t="shared" ref="F202:F265" si="4">_xlfn.CONCAT(D202,E202)</f>
        <v>MAIN SWITCHBOARD MSB-KC-01 LOAD BANK FEEDER 2 OF 2 POWER DIAGRAM</v>
      </c>
    </row>
    <row r="203" spans="3:6">
      <c r="C203" t="s">
        <v>1360</v>
      </c>
      <c r="D203" t="s">
        <v>1361</v>
      </c>
      <c r="F203" t="str">
        <f t="shared" si="4"/>
        <v>MAIN SWITCHBOARD MSB-KC-01 BUS TIE POWER DIAGRAM</v>
      </c>
    </row>
    <row r="204" spans="3:6">
      <c r="C204" t="s">
        <v>1362</v>
      </c>
      <c r="D204" t="s">
        <v>1333</v>
      </c>
      <c r="E204" t="s">
        <v>1015</v>
      </c>
      <c r="F204" t="str">
        <f t="shared" si="4"/>
        <v>MAIN SWITCHBOARD MSB-KC-01MAIN INCOMER POWER DIAGRAM</v>
      </c>
    </row>
    <row r="205" spans="3:6">
      <c r="C205" t="s">
        <v>1363</v>
      </c>
      <c r="D205" t="s">
        <v>1364</v>
      </c>
      <c r="F205" t="str">
        <f t="shared" si="4"/>
        <v>MAIN SWITCHBOARD MSB-KC-01 MSB-KC-PART-2 FEEDER POWER DIAGRAM</v>
      </c>
    </row>
    <row r="206" spans="3:6">
      <c r="C206" t="s">
        <v>1365</v>
      </c>
      <c r="D206" t="s">
        <v>1366</v>
      </c>
      <c r="F206" t="str">
        <f t="shared" si="4"/>
        <v>MAIN SWITCHBOARD MSB-KC-01 110VDC POWER SUPPLY POWER DIAGRAM</v>
      </c>
    </row>
    <row r="207" spans="3:6">
      <c r="C207" t="s">
        <v>1367</v>
      </c>
      <c r="D207" t="s">
        <v>1368</v>
      </c>
      <c r="F207" t="str">
        <f t="shared" si="4"/>
        <v>MAIN SWITCHBOARD MSB-KC-01 24VDC POWER SUPPLY POWER DIAGRAM</v>
      </c>
    </row>
    <row r="208" spans="3:6">
      <c r="C208" t="s">
        <v>1369</v>
      </c>
      <c r="D208" t="s">
        <v>1370</v>
      </c>
      <c r="F208" t="str">
        <f t="shared" si="4"/>
        <v>MAIN SWITCHBOARD MSB-KC-01 24VDC DISTRIBUTION POWER DIAGRAM</v>
      </c>
    </row>
    <row r="209" spans="3:6">
      <c r="C209" t="s">
        <v>1371</v>
      </c>
      <c r="D209" t="s">
        <v>1372</v>
      </c>
      <c r="F209" t="str">
        <f t="shared" si="4"/>
        <v>MAIN SWITCHBOARD MSB-KC-01 AUTOMATIC TRANSFER SWITCH CONTROL DIAGRAM</v>
      </c>
    </row>
    <row r="210" spans="3:6">
      <c r="C210" t="s">
        <v>1373</v>
      </c>
      <c r="D210" t="s">
        <v>1374</v>
      </c>
      <c r="F210" t="str">
        <f t="shared" si="4"/>
        <v>MAIN SWITCHBOARD MSB-KC-01 NETWORK DIAGRAM</v>
      </c>
    </row>
    <row r="211" spans="3:6">
      <c r="C211" t="s">
        <v>1375</v>
      </c>
      <c r="D211" t="s">
        <v>1376</v>
      </c>
      <c r="F211" t="str">
        <f t="shared" si="4"/>
        <v>MAIN SWITCHBOARD MSB-KC-02 DRAWING INDEX SH.1</v>
      </c>
    </row>
    <row r="212" spans="3:6">
      <c r="C212" t="s">
        <v>1377</v>
      </c>
      <c r="D212" t="s">
        <v>1378</v>
      </c>
      <c r="F212" t="str">
        <f t="shared" si="4"/>
        <v>MAIN SWITCHBOARD MSB-KC-02 DRAWING INDEX SH.2</v>
      </c>
    </row>
    <row r="213" spans="3:6">
      <c r="C213" t="s">
        <v>1379</v>
      </c>
      <c r="D213" t="s">
        <v>1380</v>
      </c>
      <c r="F213" t="str">
        <f t="shared" si="4"/>
        <v>MAIN SWITCHBOARD MSB-KC-02 SINGLE LINE DIAGRAM 1 OF 3</v>
      </c>
    </row>
    <row r="214" spans="3:6">
      <c r="C214" t="s">
        <v>1381</v>
      </c>
      <c r="D214" t="s">
        <v>1382</v>
      </c>
      <c r="F214" t="str">
        <f t="shared" si="4"/>
        <v>MAIN SWITCHBOARD MSB-KC-02 SINGLE LINE DIAGRAM 2 OF 3</v>
      </c>
    </row>
    <row r="215" spans="3:6">
      <c r="C215" t="s">
        <v>1383</v>
      </c>
      <c r="D215" t="s">
        <v>1384</v>
      </c>
      <c r="F215" t="str">
        <f t="shared" si="4"/>
        <v>MAIN SWITCHBOARD MSB-KC-02 SINGLE LINE DIAGRAM 3 OF 3</v>
      </c>
    </row>
    <row r="216" spans="3:6">
      <c r="C216" t="s">
        <v>1385</v>
      </c>
      <c r="D216" t="s">
        <v>1386</v>
      </c>
      <c r="F216" t="str">
        <f t="shared" si="4"/>
        <v>MAIN SWITCHBOARD MSB-KC-02 EXTERNAL VIEW TIERS 1-8 GENERAL ARRANGEMENT</v>
      </c>
    </row>
    <row r="217" spans="3:6">
      <c r="C217" t="s">
        <v>1387</v>
      </c>
      <c r="D217" t="s">
        <v>1388</v>
      </c>
      <c r="F217" t="str">
        <f t="shared" si="4"/>
        <v>MAIN SWITCHBOARD MSB-KC-02 EXTERNAL VIEW TIERS 9-18 GENERAL ARRANGEMENT</v>
      </c>
    </row>
    <row r="218" spans="3:6">
      <c r="C218" t="s">
        <v>1389</v>
      </c>
      <c r="D218" t="s">
        <v>1390</v>
      </c>
      <c r="F218" t="str">
        <f t="shared" si="4"/>
        <v>MAIN SWITCHBOARD MSB-KC-02 INTERNAL VIEW TIERS 1 GENERAL ARRANGEMENT</v>
      </c>
    </row>
    <row r="219" spans="3:6">
      <c r="C219" t="s">
        <v>1391</v>
      </c>
      <c r="D219" t="s">
        <v>1392</v>
      </c>
      <c r="F219" t="str">
        <f t="shared" si="4"/>
        <v>MAIN SWITCHBOARD MSB-KC-02 INTERNAL VIEW TIERS 2 GENERAL ARRANGEMENT</v>
      </c>
    </row>
    <row r="220" spans="3:6">
      <c r="C220" t="s">
        <v>1393</v>
      </c>
      <c r="D220" t="s">
        <v>1394</v>
      </c>
      <c r="F220" t="str">
        <f t="shared" si="4"/>
        <v>MAIN SWITCHBOARD MSB-KC-02 INTERNAL VIEW TIERS 3 GENERAL ARRANGEMENT</v>
      </c>
    </row>
    <row r="221" spans="3:6">
      <c r="C221" t="s">
        <v>1395</v>
      </c>
      <c r="D221" t="s">
        <v>1396</v>
      </c>
      <c r="F221" t="str">
        <f t="shared" si="4"/>
        <v>MAIN SWITCHBOARD MSB-KC-02 INTERNAL VIEW TIERS 4 GENERAL ARRANGEMENT</v>
      </c>
    </row>
    <row r="222" spans="3:6">
      <c r="C222" t="s">
        <v>1397</v>
      </c>
      <c r="D222" t="s">
        <v>1398</v>
      </c>
      <c r="F222" t="str">
        <f t="shared" si="4"/>
        <v>MAIN SWITCHBOARD MSB-KC-02 INTERNAL VIEW TIERS 5 GENERAL ARRANGEMENT</v>
      </c>
    </row>
    <row r="223" spans="3:6">
      <c r="C223" t="s">
        <v>1399</v>
      </c>
      <c r="D223" t="s">
        <v>1400</v>
      </c>
      <c r="F223" t="str">
        <f t="shared" si="4"/>
        <v>MAIN SWITCHBOARD MSB-KC-02 INTERNAL VIEW TIERS 6 GENERAL ARRANGEMENT</v>
      </c>
    </row>
    <row r="224" spans="3:6">
      <c r="C224" t="s">
        <v>1401</v>
      </c>
      <c r="D224" t="s">
        <v>1402</v>
      </c>
      <c r="F224" t="str">
        <f t="shared" si="4"/>
        <v>MAIN SWITCHBOARD MSB-KC-02 INTERNAL VIEW TIERS 7 GENERAL ARRANGEMENT</v>
      </c>
    </row>
    <row r="225" spans="3:6">
      <c r="C225" t="s">
        <v>1403</v>
      </c>
      <c r="D225" t="s">
        <v>1404</v>
      </c>
      <c r="F225" t="str">
        <f t="shared" si="4"/>
        <v>MAIN SWITCHBOARD MSB-KC-02 INTERNAL VIEW TIERS 8 &amp; 9 GENERAL ARRANGEMENT</v>
      </c>
    </row>
    <row r="226" spans="3:6">
      <c r="C226" t="s">
        <v>1405</v>
      </c>
      <c r="D226" t="s">
        <v>1406</v>
      </c>
      <c r="F226" t="str">
        <f t="shared" si="4"/>
        <v>MAIN SWITCHBOARD MSB-KC-02 INTERNAL VIEW TIERS 10 GENERAL ARRANGEMENT</v>
      </c>
    </row>
    <row r="227" spans="3:6">
      <c r="C227" t="s">
        <v>1407</v>
      </c>
      <c r="D227" t="s">
        <v>1408</v>
      </c>
      <c r="F227" t="str">
        <f t="shared" si="4"/>
        <v>MAIN SWITCHBOARD MSB-KC-02 INTERNAL VIEW TIERS 11 GENERAL ARRANGEMENT</v>
      </c>
    </row>
    <row r="228" spans="3:6">
      <c r="C228" t="s">
        <v>1409</v>
      </c>
      <c r="D228" t="s">
        <v>1410</v>
      </c>
      <c r="F228" t="str">
        <f t="shared" si="4"/>
        <v>MAIN SWITCHBOARD MSB-KC-02 INTERNAL VIEW TIERS 12 GENERAL ARRANGEMENT</v>
      </c>
    </row>
    <row r="229" spans="3:6">
      <c r="C229" t="s">
        <v>1411</v>
      </c>
      <c r="D229" t="s">
        <v>1412</v>
      </c>
      <c r="F229" t="str">
        <f t="shared" si="4"/>
        <v>MAIN SWITCHBOARD MSB-KC-02 INTERNAL VIEW TIERS 13 GENERAL ARRANGEMENT</v>
      </c>
    </row>
    <row r="230" spans="3:6">
      <c r="C230" t="s">
        <v>1413</v>
      </c>
      <c r="D230" t="s">
        <v>1414</v>
      </c>
      <c r="F230" t="str">
        <f t="shared" si="4"/>
        <v>MAIN SWITCHBOARD MSB-KC-02 INTERNAL VIEW TIERS 14 &amp; 15 GENERAL ARRANGEMENT</v>
      </c>
    </row>
    <row r="231" spans="3:6">
      <c r="C231" t="s">
        <v>1415</v>
      </c>
      <c r="D231" t="s">
        <v>1416</v>
      </c>
      <c r="F231" t="str">
        <f t="shared" si="4"/>
        <v>MAIN SWITCHBOARD MSB-KC-02 INTERNAL VIEW TIERS 16 GENERAL ARRANGEMENT</v>
      </c>
    </row>
    <row r="232" spans="3:6">
      <c r="C232" t="s">
        <v>1417</v>
      </c>
      <c r="D232" t="s">
        <v>1418</v>
      </c>
      <c r="F232" t="str">
        <f t="shared" si="4"/>
        <v>MAIN SWITCHBOARD MSB-KC-02 INTERNAL VIEW TIERS 17 &amp; 18 GENERAL ARRANGEMENT</v>
      </c>
    </row>
    <row r="233" spans="3:6">
      <c r="C233" t="s">
        <v>1419</v>
      </c>
      <c r="D233" t="s">
        <v>1420</v>
      </c>
      <c r="F233" t="str">
        <f t="shared" si="4"/>
        <v>MAIN SWITCHBOARD MSB-KC-02 EXTERNAL REAR VIEW TIERS GENERAL ARRANGEMENT</v>
      </c>
    </row>
    <row r="234" spans="3:6">
      <c r="C234" t="s">
        <v>1421</v>
      </c>
      <c r="D234" t="s">
        <v>1422</v>
      </c>
      <c r="F234" t="str">
        <f t="shared" si="4"/>
        <v>MAIN SWITCHBOARD MSB-KC-02 PLINTH DETAILS GENERAL ARRANGEMENT 1 OF 2</v>
      </c>
    </row>
    <row r="235" spans="3:6">
      <c r="C235" t="s">
        <v>1423</v>
      </c>
      <c r="D235" t="s">
        <v>1424</v>
      </c>
      <c r="F235" t="str">
        <f t="shared" si="4"/>
        <v>MAIN SWITCHBOARD MSB-KC-02 PLINTH DETAILS GENERAL ARRANGEMENT 2 OF 2</v>
      </c>
    </row>
    <row r="236" spans="3:6">
      <c r="C236" t="s">
        <v>1425</v>
      </c>
      <c r="D236" t="s">
        <v>1426</v>
      </c>
      <c r="F236" t="str">
        <f t="shared" si="4"/>
        <v>MAIN SWITCHBOARD MSB-KC-02 BILL OF MATERIALS 1 OF 5</v>
      </c>
    </row>
    <row r="237" spans="3:6">
      <c r="C237" t="s">
        <v>1427</v>
      </c>
      <c r="D237" t="s">
        <v>1428</v>
      </c>
      <c r="F237" t="str">
        <f t="shared" si="4"/>
        <v>MAIN SWITCHBOARD MSB-KC-02 BILL OF MATERIALS 2 OF 5</v>
      </c>
    </row>
    <row r="238" spans="3:6">
      <c r="C238" t="s">
        <v>1429</v>
      </c>
      <c r="D238" t="s">
        <v>1430</v>
      </c>
      <c r="F238" t="str">
        <f t="shared" si="4"/>
        <v>MAIN SWITCHBOARD MSB-KC-02 BILL OF MATERIALS 3 OF 5</v>
      </c>
    </row>
    <row r="239" spans="3:6">
      <c r="C239" t="s">
        <v>1431</v>
      </c>
      <c r="D239" t="s">
        <v>1432</v>
      </c>
      <c r="F239" t="str">
        <f t="shared" si="4"/>
        <v>MAIN SWITCHBOARD MSB-KC-02 BILL OF MATERIALS 4 OF 5</v>
      </c>
    </row>
    <row r="240" spans="3:6">
      <c r="C240" t="s">
        <v>1433</v>
      </c>
      <c r="D240" t="s">
        <v>1434</v>
      </c>
      <c r="F240" t="str">
        <f t="shared" si="4"/>
        <v>MAIN SWITCHBOARD MSB-KC-02 BILL OF MATERIALS 5 OF 5</v>
      </c>
    </row>
    <row r="241" spans="3:6">
      <c r="C241" t="s">
        <v>1435</v>
      </c>
      <c r="D241" t="s">
        <v>1436</v>
      </c>
      <c r="F241" t="str">
        <f t="shared" si="4"/>
        <v>MAIN SWITCHBOARD MSB-KC-02 1F MSB-KC-02 CHILLER SECTION LABEL SCHEDULE</v>
      </c>
    </row>
    <row r="242" spans="3:6">
      <c r="C242" t="s">
        <v>1437</v>
      </c>
      <c r="D242" t="s">
        <v>1438</v>
      </c>
      <c r="F242" t="str">
        <f t="shared" si="4"/>
        <v>MAIN SWITCHBOARD MSB-KC-02 2F MSB-KC-02 SECOND FEED SECTION LABEL SCHEDULE</v>
      </c>
    </row>
    <row r="243" spans="3:6">
      <c r="C243" t="s">
        <v>1439</v>
      </c>
      <c r="D243" t="s">
        <v>1440</v>
      </c>
      <c r="F243" t="str">
        <f t="shared" si="4"/>
        <v>MAIN SWITCHBOARD MSB-KC-02 3F-4F-5F LGT, PWR, &amp; MCC SECTIONS LABEL SCHEDULE</v>
      </c>
    </row>
    <row r="244" spans="3:6">
      <c r="C244" t="s">
        <v>1441</v>
      </c>
      <c r="D244" t="s">
        <v>1442</v>
      </c>
      <c r="F244" t="str">
        <f t="shared" si="4"/>
        <v>MAIN SWITCHBOARD MSB-KC-02 6F-7F HYPER DH &amp; BUS TIE SECTIONS LABEL SCHEDULE</v>
      </c>
    </row>
    <row r="245" spans="3:6">
      <c r="C245" t="s">
        <v>1443</v>
      </c>
      <c r="D245" t="s">
        <v>1444</v>
      </c>
      <c r="F245" t="str">
        <f t="shared" si="4"/>
        <v>MAIN SWITCHBOARD MSB-KC-02 8F-9F MSB-KC-02 SECTIONS LABEL SCHEDULE</v>
      </c>
    </row>
    <row r="246" spans="3:6">
      <c r="C246" t="s">
        <v>1445</v>
      </c>
      <c r="D246" t="s">
        <v>1446</v>
      </c>
      <c r="F246" t="str">
        <f t="shared" si="4"/>
        <v>MAIN SWITCHBOARD MSB-KC-02 10F-13F MSB-KC-02 SECTIONS LABEL SCHEDULE</v>
      </c>
    </row>
    <row r="247" spans="3:6">
      <c r="C247" t="s">
        <v>1447</v>
      </c>
      <c r="D247" t="s">
        <v>1448</v>
      </c>
      <c r="F247" t="str">
        <f t="shared" si="4"/>
        <v>MAIN SWITCHBOARD MSB-KC-02 11F-12F-14F UPS INCOMMERS SECTIONS LABEL SCHEDULE</v>
      </c>
    </row>
    <row r="248" spans="3:6">
      <c r="C248" t="s">
        <v>1449</v>
      </c>
      <c r="D248" t="s">
        <v>1450</v>
      </c>
      <c r="F248" t="str">
        <f t="shared" si="4"/>
        <v>MAIN SWITCHBOARD MSB-KC-02 15F-16F USP FEEDERS SECTIONS LABEL SCHEDULE</v>
      </c>
    </row>
    <row r="249" spans="3:6">
      <c r="C249" t="s">
        <v>1451</v>
      </c>
      <c r="D249" t="s">
        <v>1452</v>
      </c>
      <c r="F249" t="str">
        <f t="shared" si="4"/>
        <v>MAIN SWITCHBOARD MSB-KC-02 17F-18F UPS FIRE SERVICES SECTIONS LABEL SCHEDULE</v>
      </c>
    </row>
    <row r="250" spans="3:6">
      <c r="C250" t="s">
        <v>1453</v>
      </c>
      <c r="D250" t="s">
        <v>1454</v>
      </c>
      <c r="E250" t="s">
        <v>1015</v>
      </c>
      <c r="F250" t="str">
        <f t="shared" si="4"/>
        <v>MAIN SWITCHBOARD MSB-KC-02MAIN INCOMER POWER DIAGRAM</v>
      </c>
    </row>
    <row r="251" spans="3:6">
      <c r="C251" t="s">
        <v>1455</v>
      </c>
      <c r="D251" t="s">
        <v>1454</v>
      </c>
      <c r="E251" t="s">
        <v>1109</v>
      </c>
      <c r="F251" t="str">
        <f t="shared" si="4"/>
        <v>MAIN SWITCHBOARD MSB-KC-02MAIN BUS POWER DIAGRAM</v>
      </c>
    </row>
    <row r="252" spans="3:6">
      <c r="C252" t="s">
        <v>1456</v>
      </c>
      <c r="D252" t="s">
        <v>1457</v>
      </c>
      <c r="F252" t="str">
        <f t="shared" si="4"/>
        <v>MAIN SWITCHBOARD MSB-KC-02 HYPER DH BRANCH FEEDER POWER DIAGRAM</v>
      </c>
    </row>
    <row r="253" spans="3:6">
      <c r="C253" t="s">
        <v>1458</v>
      </c>
      <c r="D253" t="s">
        <v>1459</v>
      </c>
      <c r="F253" t="str">
        <f t="shared" si="4"/>
        <v>MAIN SWITCHBOARD MSB-KC-02 MCC-X CHILLER FEEDERS POWER DIAGRAM</v>
      </c>
    </row>
    <row r="254" spans="3:6">
      <c r="C254" t="s">
        <v>1460</v>
      </c>
      <c r="D254" t="s">
        <v>1454</v>
      </c>
      <c r="E254" t="s">
        <v>1115</v>
      </c>
      <c r="F254" t="str">
        <f t="shared" si="4"/>
        <v>MAIN SWITCHBOARD MSB-KC-02MAIN DISTRIBUTION POWER DIAGRAM 1 OF 3</v>
      </c>
    </row>
    <row r="255" spans="3:6">
      <c r="C255" t="s">
        <v>1461</v>
      </c>
      <c r="D255" t="s">
        <v>1454</v>
      </c>
      <c r="E255" t="s">
        <v>1117</v>
      </c>
      <c r="F255" t="str">
        <f t="shared" si="4"/>
        <v>MAIN SWITCHBOARD MSB-KC-02MAIN DISTRIBUTION POWER DIAGRAM 2 OF 3</v>
      </c>
    </row>
    <row r="256" spans="3:6">
      <c r="C256" t="s">
        <v>1462</v>
      </c>
      <c r="D256" t="s">
        <v>1454</v>
      </c>
      <c r="E256" t="s">
        <v>1119</v>
      </c>
      <c r="F256" t="str">
        <f t="shared" si="4"/>
        <v>MAIN SWITCHBOARD MSB-KC-02MAIN DISTRIBUTION POWER DIAGRAM 3 OF 3</v>
      </c>
    </row>
    <row r="257" spans="3:6">
      <c r="C257" t="s">
        <v>1463</v>
      </c>
      <c r="D257" t="s">
        <v>1464</v>
      </c>
      <c r="F257" t="str">
        <f t="shared" si="4"/>
        <v>MAIN SWITCHBOARD MSB-KC-02 BUS TIE POWER DIAGRAM</v>
      </c>
    </row>
    <row r="258" spans="3:6">
      <c r="C258" t="s">
        <v>1465</v>
      </c>
      <c r="D258" t="s">
        <v>1466</v>
      </c>
      <c r="F258" t="str">
        <f t="shared" si="4"/>
        <v>MAIN SWITCHBOARD MSB-KC-02 UPS DISTRIBUTION POWER DIAGRAM</v>
      </c>
    </row>
    <row r="259" spans="3:6">
      <c r="C259" t="s">
        <v>1467</v>
      </c>
      <c r="D259" t="s">
        <v>1468</v>
      </c>
      <c r="F259" t="str">
        <f t="shared" si="4"/>
        <v>MAIN SWITCHBOARD MSB-KC-02 LOAD BANK FEEDER POWER DIAGRAM</v>
      </c>
    </row>
    <row r="260" spans="3:6">
      <c r="C260" t="s">
        <v>1469</v>
      </c>
      <c r="D260" t="s">
        <v>1470</v>
      </c>
      <c r="F260" t="str">
        <f t="shared" si="4"/>
        <v>MAIN SWITCHBOARD MSB-KC-02 UPS-X1 INCOMER POWER DIAGRAM</v>
      </c>
    </row>
    <row r="261" spans="3:6">
      <c r="C261" t="s">
        <v>1471</v>
      </c>
      <c r="D261" t="s">
        <v>1472</v>
      </c>
      <c r="F261" t="str">
        <f t="shared" si="4"/>
        <v>MAIN SWITCHBOARD MSB-KC-02 UPS-X2 INCOMER POWER DIAGRAM</v>
      </c>
    </row>
    <row r="262" spans="3:6">
      <c r="C262" t="s">
        <v>1473</v>
      </c>
      <c r="D262" t="s">
        <v>1474</v>
      </c>
      <c r="F262" t="str">
        <f t="shared" si="4"/>
        <v>MAIN SWITCHBOARD MSB-KC-02 ESSENTIAL SERVICES POWER DIAGRAM 1 OF 2</v>
      </c>
    </row>
    <row r="263" spans="3:6">
      <c r="C263" t="s">
        <v>1475</v>
      </c>
      <c r="D263" t="s">
        <v>1476</v>
      </c>
      <c r="F263" t="str">
        <f t="shared" si="4"/>
        <v>MAIN SWITCHBOARD MSB-KC-02 ESSENTIAL SERVICES POWER DIAGRAM 2 OF 2</v>
      </c>
    </row>
    <row r="264" spans="3:6">
      <c r="C264" t="s">
        <v>1477</v>
      </c>
      <c r="D264" t="s">
        <v>1478</v>
      </c>
      <c r="F264" t="str">
        <f t="shared" si="4"/>
        <v>MAIN SWITCHBOARD MSB-KC-02 UPS FEEDERS POWER DIAGRAM</v>
      </c>
    </row>
    <row r="265" spans="3:6">
      <c r="C265" t="s">
        <v>1479</v>
      </c>
      <c r="D265" t="s">
        <v>1480</v>
      </c>
      <c r="F265" t="str">
        <f t="shared" si="4"/>
        <v>MAIN SWITCHBOARD MSB-KC-02 110VDC POWER SUPPLY POWER DIAGRAM</v>
      </c>
    </row>
    <row r="266" spans="3:6">
      <c r="C266" t="s">
        <v>1481</v>
      </c>
      <c r="D266" t="s">
        <v>1482</v>
      </c>
      <c r="F266" t="str">
        <f t="shared" ref="F266:F329" si="5">_xlfn.CONCAT(D266,E266)</f>
        <v>MAIN SWITCHBOARD MSB-KC-02 24VDC POWER SUPPLY POWER DIAGRAM 1 OF 2</v>
      </c>
    </row>
    <row r="267" spans="3:6">
      <c r="C267" t="s">
        <v>1483</v>
      </c>
      <c r="D267" t="s">
        <v>1484</v>
      </c>
      <c r="F267" t="str">
        <f t="shared" si="5"/>
        <v>MAIN SWITCHBOARD MSB-KC-02 24VDC POWER SUPPLY POWER DIAGRAM 2 OF 2</v>
      </c>
    </row>
    <row r="268" spans="3:6">
      <c r="C268" t="s">
        <v>1485</v>
      </c>
      <c r="D268" t="s">
        <v>1486</v>
      </c>
      <c r="F268" t="str">
        <f t="shared" si="5"/>
        <v>MAIN SWITCHBOARD MSB-KC-02 CL KEY SWITCH 20A 2NO 2NC FOR UPS BOARD</v>
      </c>
    </row>
    <row r="269" spans="3:6">
      <c r="C269" t="s">
        <v>1487</v>
      </c>
      <c r="D269" t="s">
        <v>1488</v>
      </c>
      <c r="F269" t="str">
        <f t="shared" si="5"/>
        <v>MAIN SWITCHBOARD MSB-KC-02 ENERLIN'X COMMS NETWORK DIAGRAM</v>
      </c>
    </row>
    <row r="270" spans="3:6">
      <c r="C270" t="s">
        <v>1489</v>
      </c>
      <c r="D270" t="s">
        <v>1490</v>
      </c>
      <c r="F270" t="str">
        <f t="shared" si="5"/>
        <v>MAIN SWITCHBOARD MSB-KC-02 NETWORK SWITCH NETWORK DIAGRAM</v>
      </c>
    </row>
    <row r="271" spans="3:6">
      <c r="C271" t="s">
        <v>1491</v>
      </c>
      <c r="D271" t="s">
        <v>1492</v>
      </c>
      <c r="F271" t="str">
        <f t="shared" si="5"/>
        <v>MAIN SWITCHBOARD MSB-KD-01 DRAWING INDEX</v>
      </c>
    </row>
    <row r="272" spans="3:6">
      <c r="C272" t="s">
        <v>1493</v>
      </c>
      <c r="D272" t="s">
        <v>1494</v>
      </c>
      <c r="F272" t="str">
        <f t="shared" si="5"/>
        <v>MAIN SWITCHBOARD MSB-KD-01 SINGLE LINE DIAGRAM</v>
      </c>
    </row>
    <row r="273" spans="3:6">
      <c r="C273" t="s">
        <v>1495</v>
      </c>
      <c r="D273" t="s">
        <v>1496</v>
      </c>
      <c r="F273" t="str">
        <f t="shared" si="5"/>
        <v>MAIN SWITCHBOARD MSB-KD-01 MSB-KD-1 ENCLOSURE GENERAL ARRANGEMENT</v>
      </c>
    </row>
    <row r="274" spans="3:6">
      <c r="C274" t="s">
        <v>1497</v>
      </c>
      <c r="D274" t="s">
        <v>1498</v>
      </c>
      <c r="F274" t="str">
        <f t="shared" si="5"/>
        <v>MAIN SWITCHBOARD MSB-KD-01 GEN INCOMER SECTION GENERAL ARRANGEMENT</v>
      </c>
    </row>
    <row r="275" spans="3:6">
      <c r="C275" t="s">
        <v>1499</v>
      </c>
      <c r="D275" t="s">
        <v>1500</v>
      </c>
      <c r="F275" t="str">
        <f t="shared" si="5"/>
        <v>MAIN SWITCHBOARD MSB-KD-01 LOAD BANK SECTION GENERAL ARRANGEMENT</v>
      </c>
    </row>
    <row r="276" spans="3:6">
      <c r="C276" t="s">
        <v>1501</v>
      </c>
      <c r="D276" t="s">
        <v>1502</v>
      </c>
      <c r="F276" t="str">
        <f t="shared" si="5"/>
        <v>MAIN SWITCHBOARD MSB-KD-01 GEN BUSTIE SECTION GENERAL ARRANGEMENT</v>
      </c>
    </row>
    <row r="277" spans="3:6">
      <c r="C277" t="s">
        <v>1503</v>
      </c>
      <c r="D277" t="s">
        <v>1504</v>
      </c>
      <c r="E277" t="s">
        <v>983</v>
      </c>
      <c r="F277" t="str">
        <f t="shared" si="5"/>
        <v>MAIN SWITCHBOARD MSB-KD-01MAIN INCOMER SECTION GENERAL ARRANGEMENT</v>
      </c>
    </row>
    <row r="278" spans="3:6">
      <c r="C278" t="s">
        <v>1505</v>
      </c>
      <c r="D278" t="s">
        <v>1506</v>
      </c>
      <c r="F278" t="str">
        <f t="shared" si="5"/>
        <v>MAIN SWITCHBOARD MSB-KD-01 ATS SECTION GENERAL ARRANGEMENT</v>
      </c>
    </row>
    <row r="279" spans="3:6">
      <c r="C279" t="s">
        <v>1507</v>
      </c>
      <c r="D279" t="s">
        <v>1508</v>
      </c>
      <c r="F279" t="str">
        <f t="shared" si="5"/>
        <v>MAIN SWITCHBOARD MSB-KD-01 REAR VIEW GENERAL ARRANGEMENT</v>
      </c>
    </row>
    <row r="280" spans="3:6">
      <c r="C280" t="s">
        <v>1509</v>
      </c>
      <c r="D280" t="s">
        <v>1510</v>
      </c>
      <c r="F280" t="str">
        <f t="shared" si="5"/>
        <v>MAIN SWITCHBOARD MSB-KD-01 PLINTH DETAILS GENERAL ARRANGEMENT</v>
      </c>
    </row>
    <row r="281" spans="3:6">
      <c r="C281" t="s">
        <v>1511</v>
      </c>
      <c r="D281" t="s">
        <v>1512</v>
      </c>
      <c r="F281" t="str">
        <f t="shared" si="5"/>
        <v>MAIN SWITCHBOARD MSB-KD-01 BILL OF MATERIALS</v>
      </c>
    </row>
    <row r="282" spans="3:6">
      <c r="C282" t="s">
        <v>1513</v>
      </c>
      <c r="D282" t="s">
        <v>1512</v>
      </c>
      <c r="F282" t="str">
        <f t="shared" si="5"/>
        <v>MAIN SWITCHBOARD MSB-KD-01 BILL OF MATERIALS</v>
      </c>
    </row>
    <row r="283" spans="3:6">
      <c r="C283" t="s">
        <v>1514</v>
      </c>
      <c r="D283" t="s">
        <v>1512</v>
      </c>
      <c r="F283" t="str">
        <f t="shared" si="5"/>
        <v>MAIN SWITCHBOARD MSB-KD-01 BILL OF MATERIALS</v>
      </c>
    </row>
    <row r="284" spans="3:6">
      <c r="C284" t="s">
        <v>1515</v>
      </c>
      <c r="D284" t="s">
        <v>1516</v>
      </c>
      <c r="F284" t="str">
        <f t="shared" si="5"/>
        <v>MAIN SWITCHBOARD MSB-KD-01 1F GSB-KB GEN INCOMING SECTION LABEL SCHEDULE</v>
      </c>
    </row>
    <row r="285" spans="3:6">
      <c r="C285" t="s">
        <v>1517</v>
      </c>
      <c r="D285" t="s">
        <v>1518</v>
      </c>
      <c r="E285" t="s">
        <v>1176</v>
      </c>
      <c r="F285" t="str">
        <f t="shared" si="5"/>
        <v>MAIN SWITCHBOARD MSB-KD-01 2F3F GSB-KB LOADBANK OUT SECTION LABEL SCHEDULE</v>
      </c>
    </row>
    <row r="286" spans="3:6">
      <c r="C286" t="s">
        <v>1519</v>
      </c>
      <c r="D286" t="s">
        <v>1520</v>
      </c>
      <c r="F286" t="str">
        <f t="shared" si="5"/>
        <v>MAIN SWITCHBOARD MSB-KD-01 4F MSB-KD-PART-1 GEN BUS TIE SECTION LABEL SCHEDULE</v>
      </c>
    </row>
    <row r="287" spans="3:6">
      <c r="C287" t="s">
        <v>1521</v>
      </c>
      <c r="D287" t="s">
        <v>1522</v>
      </c>
      <c r="E287" t="s">
        <v>1003</v>
      </c>
      <c r="F287" t="str">
        <f t="shared" si="5"/>
        <v>MAIN SWITCHBOARD MSB-KD-01 5F MSB-KD-PART-1MAINS INCOMING SECTION LABEL SCHEDULE</v>
      </c>
    </row>
    <row r="288" spans="3:6">
      <c r="C288" t="s">
        <v>1523</v>
      </c>
      <c r="D288" t="s">
        <v>1524</v>
      </c>
      <c r="F288" t="str">
        <f t="shared" si="5"/>
        <v>MAIN SWITCHBOARD MSB-KD-01 6F MSB-KD-PART-1 ATS SECTION LABEL SCHEDULE</v>
      </c>
    </row>
    <row r="289" spans="3:6">
      <c r="C289" t="s">
        <v>1525</v>
      </c>
      <c r="D289" t="s">
        <v>1526</v>
      </c>
      <c r="F289" t="str">
        <f t="shared" si="5"/>
        <v>MAIN SWITCHBOARD MSB-KD-01 GENERATOR INCOMER POWER DIAGRAM</v>
      </c>
    </row>
    <row r="290" spans="3:6">
      <c r="C290" t="s">
        <v>1527</v>
      </c>
      <c r="D290" t="s">
        <v>1528</v>
      </c>
      <c r="F290" t="str">
        <f t="shared" si="5"/>
        <v>MAIN SWITCHBOARD MSB-KD-01 LOAD BANK FEEDER 1 OF 2 POWER DIAGRAM</v>
      </c>
    </row>
    <row r="291" spans="3:6">
      <c r="C291" t="s">
        <v>1529</v>
      </c>
      <c r="D291" t="s">
        <v>1530</v>
      </c>
      <c r="F291" t="str">
        <f t="shared" si="5"/>
        <v>MAIN SWITCHBOARD MSB-KD-01 LOAD BANK FEEDER 2 OF 2 POWER DIAGRAM</v>
      </c>
    </row>
    <row r="292" spans="3:6">
      <c r="C292" t="s">
        <v>1531</v>
      </c>
      <c r="D292" t="s">
        <v>1532</v>
      </c>
      <c r="F292" t="str">
        <f t="shared" si="5"/>
        <v>MAIN SWITCHBOARD MSB-KD-01 BUS TIE POWER DIAGRAM</v>
      </c>
    </row>
    <row r="293" spans="3:6">
      <c r="C293" t="s">
        <v>1533</v>
      </c>
      <c r="D293" t="s">
        <v>1504</v>
      </c>
      <c r="E293" t="s">
        <v>1015</v>
      </c>
      <c r="F293" t="str">
        <f t="shared" si="5"/>
        <v>MAIN SWITCHBOARD MSB-KD-01MAIN INCOMER POWER DIAGRAM</v>
      </c>
    </row>
    <row r="294" spans="3:6">
      <c r="C294" t="s">
        <v>1534</v>
      </c>
      <c r="D294" t="s">
        <v>1535</v>
      </c>
      <c r="F294" t="str">
        <f t="shared" si="5"/>
        <v>MAIN SWITCHBOARD MSB-KD-01 MSB-KD-PART-2 FEEDER POWER DIAGRAM</v>
      </c>
    </row>
    <row r="295" spans="3:6">
      <c r="C295" t="s">
        <v>1536</v>
      </c>
      <c r="D295" t="s">
        <v>1537</v>
      </c>
      <c r="F295" t="str">
        <f t="shared" si="5"/>
        <v>MAIN SWITCHBOARD MSB-KD-01 110VDC POWER SUPPLY POWER DIAGRAM</v>
      </c>
    </row>
    <row r="296" spans="3:6">
      <c r="C296" t="s">
        <v>1538</v>
      </c>
      <c r="D296" t="s">
        <v>1539</v>
      </c>
      <c r="F296" t="str">
        <f t="shared" si="5"/>
        <v>MAIN SWITCHBOARD MSB-KD-01 24VDC POWER SUPPLY POWER DIAGRAM</v>
      </c>
    </row>
    <row r="297" spans="3:6">
      <c r="C297" t="s">
        <v>1540</v>
      </c>
      <c r="D297" t="s">
        <v>1541</v>
      </c>
      <c r="F297" t="str">
        <f t="shared" si="5"/>
        <v>MAIN SWITCHBOARD MSB-KD-01 24VDC DISTRIBUTION POWER DIAGRAM</v>
      </c>
    </row>
    <row r="298" spans="3:6">
      <c r="C298" t="s">
        <v>1542</v>
      </c>
      <c r="D298" t="s">
        <v>1543</v>
      </c>
      <c r="F298" t="str">
        <f t="shared" si="5"/>
        <v>MAIN SWITCHBOARD MSB-KD-01 AUTOMATIC TRANSFER SWITCH CONTROL DIAGRAM</v>
      </c>
    </row>
    <row r="299" spans="3:6">
      <c r="C299" t="s">
        <v>1544</v>
      </c>
      <c r="D299" t="s">
        <v>1545</v>
      </c>
      <c r="F299" t="str">
        <f t="shared" si="5"/>
        <v>MAIN SWITCHBOARD MSB-KD-01 NETWORK DIAGRAM</v>
      </c>
    </row>
    <row r="300" spans="3:6">
      <c r="C300" t="s">
        <v>1546</v>
      </c>
      <c r="D300" t="s">
        <v>1547</v>
      </c>
      <c r="F300" t="str">
        <f t="shared" si="5"/>
        <v>MAIN SWITCHBOARD MSB-KD-02 DRAWING INDEX SH.1</v>
      </c>
    </row>
    <row r="301" spans="3:6">
      <c r="C301" t="s">
        <v>1548</v>
      </c>
      <c r="D301" t="s">
        <v>1549</v>
      </c>
      <c r="F301" t="str">
        <f t="shared" si="5"/>
        <v>MAIN SWITCHBOARD MSB-KD-02 DRAWING INDEX SH.2</v>
      </c>
    </row>
    <row r="302" spans="3:6">
      <c r="C302" t="s">
        <v>1550</v>
      </c>
      <c r="D302" t="s">
        <v>1551</v>
      </c>
      <c r="F302" t="str">
        <f t="shared" si="5"/>
        <v>MAIN SWITCHBOARD MSB-KD-02 SINGLE LINE DIAGRAM 1 OF 3</v>
      </c>
    </row>
    <row r="303" spans="3:6">
      <c r="C303" t="s">
        <v>1552</v>
      </c>
      <c r="D303" t="s">
        <v>1553</v>
      </c>
      <c r="F303" t="str">
        <f t="shared" si="5"/>
        <v>MAIN SWITCHBOARD MSB-KD-02 SINGLE LINE DIAGRAM 2 OF 3</v>
      </c>
    </row>
    <row r="304" spans="3:6">
      <c r="C304" t="s">
        <v>1554</v>
      </c>
      <c r="D304" t="s">
        <v>1555</v>
      </c>
      <c r="F304" t="str">
        <f t="shared" si="5"/>
        <v>MAIN SWITCHBOARD MSB-KD-02 SINGLE LINE DIAGRAM 3 OF 3</v>
      </c>
    </row>
    <row r="305" spans="3:6">
      <c r="C305" t="s">
        <v>1556</v>
      </c>
      <c r="D305" t="s">
        <v>1557</v>
      </c>
      <c r="F305" t="str">
        <f t="shared" si="5"/>
        <v>MAIN SWITCHBOARD MSB-KD-02 EXTERNAL VIEW TIERS 1-8 GENERAL ARRANGEMENT</v>
      </c>
    </row>
    <row r="306" spans="3:6">
      <c r="C306" t="s">
        <v>1558</v>
      </c>
      <c r="D306" t="s">
        <v>1559</v>
      </c>
      <c r="F306" t="str">
        <f t="shared" si="5"/>
        <v>MAIN SWITCHBOARD MSB-KD-02 EXTERNAL VIEW TIERS 9-18 GENERAL ARRANGEMENT</v>
      </c>
    </row>
    <row r="307" spans="3:6">
      <c r="C307" t="s">
        <v>1560</v>
      </c>
      <c r="D307" t="s">
        <v>1561</v>
      </c>
      <c r="F307" t="str">
        <f t="shared" si="5"/>
        <v>MAIN SWITCHBOARD MSB-KD-02 INTERNAL VIEW TIERS 1 GENERAL ARRANGEMENT</v>
      </c>
    </row>
    <row r="308" spans="3:6">
      <c r="C308" t="s">
        <v>1562</v>
      </c>
      <c r="D308" t="s">
        <v>1563</v>
      </c>
      <c r="F308" t="str">
        <f t="shared" si="5"/>
        <v>MAIN SWITCHBOARD MSB-KD-02 INTERNAL VIEW TIERS 2 GENERAL ARRANGEMENT</v>
      </c>
    </row>
    <row r="309" spans="3:6">
      <c r="C309" t="s">
        <v>1564</v>
      </c>
      <c r="D309" t="s">
        <v>1565</v>
      </c>
      <c r="F309" t="str">
        <f t="shared" si="5"/>
        <v>MAIN SWITCHBOARD MSB-KD-02 INTERNAL VIEW TIERS 3 GENERAL ARRANGEMENT</v>
      </c>
    </row>
    <row r="310" spans="3:6">
      <c r="C310" t="s">
        <v>1566</v>
      </c>
      <c r="D310" t="s">
        <v>1567</v>
      </c>
      <c r="F310" t="str">
        <f t="shared" si="5"/>
        <v>MAIN SWITCHBOARD MSB-KD-02 INTERNAL VIEW TIERS 4 GENERAL ARRANGEMENT</v>
      </c>
    </row>
    <row r="311" spans="3:6">
      <c r="C311" t="s">
        <v>1568</v>
      </c>
      <c r="D311" t="s">
        <v>1569</v>
      </c>
      <c r="F311" t="str">
        <f t="shared" si="5"/>
        <v>MAIN SWITCHBOARD MSB-KD-02 INTERNAL VIEW TIERS 5 GENERAL ARRANGEMENT</v>
      </c>
    </row>
    <row r="312" spans="3:6">
      <c r="C312" t="s">
        <v>1570</v>
      </c>
      <c r="D312" t="s">
        <v>1571</v>
      </c>
      <c r="F312" t="str">
        <f t="shared" si="5"/>
        <v>MAIN SWITCHBOARD MSB-KD-02 INTERNAL VIEW TIERS 6 GENERAL ARRANGEMENT</v>
      </c>
    </row>
    <row r="313" spans="3:6">
      <c r="C313" t="s">
        <v>1572</v>
      </c>
      <c r="D313" t="s">
        <v>1573</v>
      </c>
      <c r="F313" t="str">
        <f t="shared" si="5"/>
        <v>MAIN SWITCHBOARD MSB-KD-02 INTERNAL VIEW TIERS 7 GENERAL ARRANGEMENT</v>
      </c>
    </row>
    <row r="314" spans="3:6">
      <c r="C314" t="s">
        <v>1574</v>
      </c>
      <c r="D314" t="s">
        <v>1575</v>
      </c>
      <c r="F314" t="str">
        <f t="shared" si="5"/>
        <v>MAIN SWITCHBOARD MSB-KD-02 INTERNAL VIEW TIERS 8 &amp; 9 GENERAL ARRANGEMENT</v>
      </c>
    </row>
    <row r="315" spans="3:6">
      <c r="C315" t="s">
        <v>1576</v>
      </c>
      <c r="D315" t="s">
        <v>1577</v>
      </c>
      <c r="F315" t="str">
        <f t="shared" si="5"/>
        <v>MAIN SWITCHBOARD MSB-KD-02 INTERNAL VIEW TIERS 10 GENERAL ARRANGEMENT</v>
      </c>
    </row>
    <row r="316" spans="3:6">
      <c r="C316" t="s">
        <v>1578</v>
      </c>
      <c r="D316" t="s">
        <v>1579</v>
      </c>
      <c r="F316" t="str">
        <f t="shared" si="5"/>
        <v>MAIN SWITCHBOARD MSB-KD-02 INTERNAL VIEW TIERS 11 GENERAL ARRANGEMENT</v>
      </c>
    </row>
    <row r="317" spans="3:6">
      <c r="C317" t="s">
        <v>1580</v>
      </c>
      <c r="D317" t="s">
        <v>1581</v>
      </c>
      <c r="F317" t="str">
        <f t="shared" si="5"/>
        <v>MAIN SWITCHBOARD MSB-KD-02 INTERNAL VIEW TIERS 12 GENERAL ARRANGEMENT</v>
      </c>
    </row>
    <row r="318" spans="3:6">
      <c r="C318" t="s">
        <v>1582</v>
      </c>
      <c r="D318" t="s">
        <v>1583</v>
      </c>
      <c r="F318" t="str">
        <f t="shared" si="5"/>
        <v>MAIN SWITCHBOARD MSB-KD-02 INTERNAL VIEW TIERS 13 GENERAL ARRANGEMENT</v>
      </c>
    </row>
    <row r="319" spans="3:6">
      <c r="C319" t="s">
        <v>1584</v>
      </c>
      <c r="D319" t="s">
        <v>1585</v>
      </c>
      <c r="F319" t="str">
        <f t="shared" si="5"/>
        <v>MAIN SWITCHBOARD MSB-KD-02 INTERNAL VIEW TIERS 14 &amp; 15 GENERAL ARRANGEMENT</v>
      </c>
    </row>
    <row r="320" spans="3:6">
      <c r="C320" t="s">
        <v>1586</v>
      </c>
      <c r="D320" t="s">
        <v>1587</v>
      </c>
      <c r="F320" t="str">
        <f t="shared" si="5"/>
        <v>MAIN SWITCHBOARD MSB-KD-02 INTERNAL VIEW TIERS 16 GENERAL ARRANGEMENT</v>
      </c>
    </row>
    <row r="321" spans="3:6">
      <c r="C321" t="s">
        <v>1588</v>
      </c>
      <c r="D321" t="s">
        <v>1589</v>
      </c>
      <c r="F321" t="str">
        <f t="shared" si="5"/>
        <v>MAIN SWITCHBOARD MSB-KD-02 INTERNAL VIEW TIERS 17 &amp; 18 GENERAL ARRANGEMENT</v>
      </c>
    </row>
    <row r="322" spans="3:6">
      <c r="C322" t="s">
        <v>1590</v>
      </c>
      <c r="D322" t="s">
        <v>1591</v>
      </c>
      <c r="F322" t="str">
        <f t="shared" si="5"/>
        <v>MAIN SWITCHBOARD MSB-KD-02 EXTERNAL REAR VIEW TIERS GENERAL ARRANGEMENT</v>
      </c>
    </row>
    <row r="323" spans="3:6">
      <c r="C323" t="s">
        <v>1592</v>
      </c>
      <c r="D323" t="s">
        <v>1593</v>
      </c>
      <c r="F323" t="str">
        <f t="shared" si="5"/>
        <v>MAIN SWITCHBOARD MSB-KD-02 PLINTH DETAILS GENERAL ARRANGEMENT 1 OF 2</v>
      </c>
    </row>
    <row r="324" spans="3:6">
      <c r="C324" t="s">
        <v>1594</v>
      </c>
      <c r="D324" t="s">
        <v>1595</v>
      </c>
      <c r="F324" t="str">
        <f t="shared" si="5"/>
        <v>MAIN SWITCHBOARD MSB-KD-02 PLINTH DETAILS GENERAL ARRANGEMENT 2 OF 2</v>
      </c>
    </row>
    <row r="325" spans="3:6">
      <c r="C325" t="s">
        <v>1596</v>
      </c>
      <c r="D325" t="s">
        <v>1597</v>
      </c>
      <c r="F325" t="str">
        <f t="shared" si="5"/>
        <v>MAIN SWITCHBOARD MSB-KD-02 BILL OF MATERIALS 1 OF 5</v>
      </c>
    </row>
    <row r="326" spans="3:6">
      <c r="C326" t="s">
        <v>1598</v>
      </c>
      <c r="D326" t="s">
        <v>1599</v>
      </c>
      <c r="F326" t="str">
        <f t="shared" si="5"/>
        <v>MAIN SWITCHBOARD MSB-KD-02 BILL OF MATERIALS 2 OF 5</v>
      </c>
    </row>
    <row r="327" spans="3:6">
      <c r="C327" t="s">
        <v>1600</v>
      </c>
      <c r="D327" t="s">
        <v>1601</v>
      </c>
      <c r="F327" t="str">
        <f t="shared" si="5"/>
        <v>MAIN SWITCHBOARD MSB-KD-02 BILL OF MATERIALS 3 OF 5</v>
      </c>
    </row>
    <row r="328" spans="3:6">
      <c r="C328" t="s">
        <v>1602</v>
      </c>
      <c r="D328" t="s">
        <v>1603</v>
      </c>
      <c r="F328" t="str">
        <f t="shared" si="5"/>
        <v>MAIN SWITCHBOARD MSB-KD-02 BILL OF MATERIALS 4 OF 5</v>
      </c>
    </row>
    <row r="329" spans="3:6">
      <c r="C329" t="s">
        <v>1604</v>
      </c>
      <c r="D329" t="s">
        <v>1605</v>
      </c>
      <c r="F329" t="str">
        <f t="shared" si="5"/>
        <v>MAIN SWITCHBOARD MSB-KD-02 BILL OF MATERIALS 5 OF 5</v>
      </c>
    </row>
    <row r="330" spans="3:6">
      <c r="C330" t="s">
        <v>1606</v>
      </c>
      <c r="D330" t="s">
        <v>1607</v>
      </c>
      <c r="F330" t="str">
        <f t="shared" ref="F330:F393" si="6">_xlfn.CONCAT(D330,E330)</f>
        <v>MAIN SWITCHBOARD MSB-KD-02 1F MSB-KD-02 CHILLER SECTION LABEL SCHEDULE</v>
      </c>
    </row>
    <row r="331" spans="3:6">
      <c r="C331" t="s">
        <v>1608</v>
      </c>
      <c r="D331" t="s">
        <v>1609</v>
      </c>
      <c r="F331" t="str">
        <f t="shared" si="6"/>
        <v>MAIN SWITCHBOARD MSB-KD-02 2F MSB-KD-02 SECOND FEED SECTION LABEL SCHEDULE</v>
      </c>
    </row>
    <row r="332" spans="3:6">
      <c r="C332" t="s">
        <v>1610</v>
      </c>
      <c r="D332" t="s">
        <v>1611</v>
      </c>
      <c r="F332" t="str">
        <f t="shared" si="6"/>
        <v>MAIN SWITCHBOARD MSB-KD-02 3F-4F-5F LGT, PWR, &amp; MCC SECTIONS LABEL SCHEDULE</v>
      </c>
    </row>
    <row r="333" spans="3:6">
      <c r="C333" t="s">
        <v>1612</v>
      </c>
      <c r="D333" t="s">
        <v>1613</v>
      </c>
      <c r="F333" t="str">
        <f t="shared" si="6"/>
        <v>MAIN SWITCHBOARD MSB-KD-02 6F-7F HYPER DH &amp; BUS TIE SECTIONS LABEL SCHEDULE</v>
      </c>
    </row>
    <row r="334" spans="3:6">
      <c r="C334" t="s">
        <v>1614</v>
      </c>
      <c r="D334" t="s">
        <v>1615</v>
      </c>
      <c r="F334" t="str">
        <f t="shared" si="6"/>
        <v>MAIN SWITCHBOARD MSB-KD-02 8F-9F MSB-KD-02 SECTIONS LABEL SCHEDULE</v>
      </c>
    </row>
    <row r="335" spans="3:6">
      <c r="C335" t="s">
        <v>1616</v>
      </c>
      <c r="D335" t="s">
        <v>1617</v>
      </c>
      <c r="F335" t="str">
        <f t="shared" si="6"/>
        <v>MAIN SWITCHBOARD MSB-KD-02 10F-13F MSB-KD-02 SECTIONS LABEL SCHEDULE</v>
      </c>
    </row>
    <row r="336" spans="3:6">
      <c r="C336" t="s">
        <v>1618</v>
      </c>
      <c r="D336" t="s">
        <v>1619</v>
      </c>
      <c r="F336" t="str">
        <f t="shared" si="6"/>
        <v>MAIN SWITCHBOARD MSB-KD-02 11F-12F-14F UPS INCOMMERS SECTIONS LABEL SCHEDULE</v>
      </c>
    </row>
    <row r="337" spans="3:6">
      <c r="C337" t="s">
        <v>1620</v>
      </c>
      <c r="D337" t="s">
        <v>1621</v>
      </c>
      <c r="F337" t="str">
        <f t="shared" si="6"/>
        <v>MAIN SWITCHBOARD MSB-KD-02 15F-16F USP FEEDERS SECTIONS LABEL SCHEDULE</v>
      </c>
    </row>
    <row r="338" spans="3:6">
      <c r="C338" t="s">
        <v>1622</v>
      </c>
      <c r="D338" t="s">
        <v>1623</v>
      </c>
      <c r="F338" t="str">
        <f t="shared" si="6"/>
        <v>MAIN SWITCHBOARD MSB-KD-02 17F-18F UPS FIRE SERVICES SECTIONS LABEL SCHEDULE</v>
      </c>
    </row>
    <row r="339" spans="3:6">
      <c r="C339" t="s">
        <v>1624</v>
      </c>
      <c r="D339" t="s">
        <v>1625</v>
      </c>
      <c r="E339" t="s">
        <v>1015</v>
      </c>
      <c r="F339" t="str">
        <f t="shared" si="6"/>
        <v>MAIN SWITCHBOARD MSB-KD-02MAIN INCOMER POWER DIAGRAM</v>
      </c>
    </row>
    <row r="340" spans="3:6">
      <c r="C340" t="s">
        <v>1626</v>
      </c>
      <c r="D340" t="s">
        <v>1625</v>
      </c>
      <c r="E340" t="s">
        <v>1109</v>
      </c>
      <c r="F340" t="str">
        <f t="shared" si="6"/>
        <v>MAIN SWITCHBOARD MSB-KD-02MAIN BUS POWER DIAGRAM</v>
      </c>
    </row>
    <row r="341" spans="3:6">
      <c r="C341" t="s">
        <v>1627</v>
      </c>
      <c r="D341" t="s">
        <v>1628</v>
      </c>
      <c r="F341" t="str">
        <f t="shared" si="6"/>
        <v>MAIN SWITCHBOARD MSB-KD-02 HYPER DH BRANCH FEEDER POWER DIAGRAM</v>
      </c>
    </row>
    <row r="342" spans="3:6">
      <c r="C342" t="s">
        <v>1629</v>
      </c>
      <c r="D342" t="s">
        <v>1630</v>
      </c>
      <c r="F342" t="str">
        <f t="shared" si="6"/>
        <v>MAIN SWITCHBOARD MSB-KD-02 MCC-X CHILLER FEEDERS POWER DIAGRAM</v>
      </c>
    </row>
    <row r="343" spans="3:6">
      <c r="C343" t="s">
        <v>1631</v>
      </c>
      <c r="D343" t="s">
        <v>1625</v>
      </c>
      <c r="E343" t="s">
        <v>1115</v>
      </c>
      <c r="F343" t="str">
        <f t="shared" si="6"/>
        <v>MAIN SWITCHBOARD MSB-KD-02MAIN DISTRIBUTION POWER DIAGRAM 1 OF 3</v>
      </c>
    </row>
    <row r="344" spans="3:6">
      <c r="C344" t="s">
        <v>1632</v>
      </c>
      <c r="D344" t="s">
        <v>1625</v>
      </c>
      <c r="E344" t="s">
        <v>1117</v>
      </c>
      <c r="F344" t="str">
        <f t="shared" si="6"/>
        <v>MAIN SWITCHBOARD MSB-KD-02MAIN DISTRIBUTION POWER DIAGRAM 2 OF 3</v>
      </c>
    </row>
    <row r="345" spans="3:6">
      <c r="C345" t="s">
        <v>1633</v>
      </c>
      <c r="D345" t="s">
        <v>1625</v>
      </c>
      <c r="E345" t="s">
        <v>1119</v>
      </c>
      <c r="F345" t="str">
        <f t="shared" si="6"/>
        <v>MAIN SWITCHBOARD MSB-KD-02MAIN DISTRIBUTION POWER DIAGRAM 3 OF 3</v>
      </c>
    </row>
    <row r="346" spans="3:6">
      <c r="C346" t="s">
        <v>1634</v>
      </c>
      <c r="D346" t="s">
        <v>1635</v>
      </c>
      <c r="F346" t="str">
        <f t="shared" si="6"/>
        <v>MAIN SWITCHBOARD MSB-KD-02 BUS TIE POWER DIAGRAM</v>
      </c>
    </row>
    <row r="347" spans="3:6">
      <c r="C347" t="s">
        <v>1636</v>
      </c>
      <c r="D347" t="s">
        <v>1637</v>
      </c>
      <c r="F347" t="str">
        <f t="shared" si="6"/>
        <v>MAIN SWITCHBOARD MSB-KD-02 UPS DISTRIBUTION POWER DIAGRAM</v>
      </c>
    </row>
    <row r="348" spans="3:6">
      <c r="C348" t="s">
        <v>1638</v>
      </c>
      <c r="D348" t="s">
        <v>1639</v>
      </c>
      <c r="F348" t="str">
        <f t="shared" si="6"/>
        <v>MAIN SWITCHBOARD MSB-KD-02 LOAD BANK FEEDER POWER DIAGRAM</v>
      </c>
    </row>
    <row r="349" spans="3:6">
      <c r="C349" t="s">
        <v>1640</v>
      </c>
      <c r="D349" t="s">
        <v>1641</v>
      </c>
      <c r="F349" t="str">
        <f t="shared" si="6"/>
        <v>MAIN SWITCHBOARD MSB-KD-02 UPS-X1 INCOMER POWER DIAGRAM</v>
      </c>
    </row>
    <row r="350" spans="3:6">
      <c r="C350" t="s">
        <v>1642</v>
      </c>
      <c r="D350" t="s">
        <v>1643</v>
      </c>
      <c r="F350" t="str">
        <f t="shared" si="6"/>
        <v>MAIN SWITCHBOARD MSB-KD-02 UPS-X2 INCOMER POWER DIAGRAM</v>
      </c>
    </row>
    <row r="351" spans="3:6">
      <c r="C351" t="s">
        <v>1644</v>
      </c>
      <c r="D351" t="s">
        <v>1645</v>
      </c>
      <c r="F351" t="str">
        <f t="shared" si="6"/>
        <v>MAIN SWITCHBOARD MSB-KD-02 ESSENTIAL SERVICES POWER DIAGRAM 1 OF 2</v>
      </c>
    </row>
    <row r="352" spans="3:6">
      <c r="C352" t="s">
        <v>1646</v>
      </c>
      <c r="D352" t="s">
        <v>1647</v>
      </c>
      <c r="F352" t="str">
        <f t="shared" si="6"/>
        <v>MAIN SWITCHBOARD MSB-KD-02 ESSENTIAL SERVICES POWER DIAGRAM 2 OF 2</v>
      </c>
    </row>
    <row r="353" spans="3:6">
      <c r="C353" t="s">
        <v>1648</v>
      </c>
      <c r="D353" t="s">
        <v>1649</v>
      </c>
      <c r="F353" t="str">
        <f t="shared" si="6"/>
        <v>MAIN SWITCHBOARD MSB-KD-02 UPS FEEDERS POWER DIAGRAM</v>
      </c>
    </row>
    <row r="354" spans="3:6">
      <c r="C354" t="s">
        <v>1650</v>
      </c>
      <c r="D354" t="s">
        <v>1651</v>
      </c>
      <c r="F354" t="str">
        <f t="shared" si="6"/>
        <v>MAIN SWITCHBOARD MSB-KD-02 110VDC POWER SUPPLY POWER DIAGRAM</v>
      </c>
    </row>
    <row r="355" spans="3:6">
      <c r="C355" t="s">
        <v>1652</v>
      </c>
      <c r="D355" t="s">
        <v>1653</v>
      </c>
      <c r="F355" t="str">
        <f t="shared" si="6"/>
        <v>MAIN SWITCHBOARD MSB-KD-02 24VDC POWER SUPPLY POWER DIAGRAM 1 OF 2</v>
      </c>
    </row>
    <row r="356" spans="3:6">
      <c r="C356" t="s">
        <v>1654</v>
      </c>
      <c r="D356" t="s">
        <v>1655</v>
      </c>
      <c r="F356" t="str">
        <f t="shared" si="6"/>
        <v>MAIN SWITCHBOARD MSB-KD-02 24VDC POWER SUPPLY POWER DIAGRAM 2 OF 2</v>
      </c>
    </row>
    <row r="357" spans="3:6">
      <c r="C357" t="s">
        <v>1656</v>
      </c>
      <c r="D357" t="s">
        <v>1657</v>
      </c>
      <c r="F357" t="str">
        <f t="shared" si="6"/>
        <v>MAIN SWITCHBOARD MSB-KD-02 CL KEY SWITCH 20A 2NO 2NC FOR UPS BOARD</v>
      </c>
    </row>
    <row r="358" spans="3:6">
      <c r="C358" t="s">
        <v>1658</v>
      </c>
      <c r="D358" t="s">
        <v>1659</v>
      </c>
      <c r="F358" t="str">
        <f t="shared" si="6"/>
        <v>MAIN SWITCHBOARD MSB-KD-02 ENERLIN'X COMMS NETWORK DIAGRAM</v>
      </c>
    </row>
    <row r="359" spans="3:6">
      <c r="C359" t="s">
        <v>1660</v>
      </c>
      <c r="D359" t="s">
        <v>1661</v>
      </c>
      <c r="F359" t="str">
        <f t="shared" si="6"/>
        <v>MAIN SWITCHBOARD MSB-KD-02 NETWORK SWITCH NETWORK DIAGRAM</v>
      </c>
    </row>
    <row r="360" spans="3:6">
      <c r="C360" t="s">
        <v>1662</v>
      </c>
      <c r="D360" t="s">
        <v>1663</v>
      </c>
      <c r="F360" t="str">
        <f t="shared" si="6"/>
        <v>MAIN SWITCHBOARD MSB-KE-01 DRAWING INDEX</v>
      </c>
    </row>
    <row r="361" spans="3:6">
      <c r="C361" t="s">
        <v>1664</v>
      </c>
      <c r="D361" t="s">
        <v>1665</v>
      </c>
      <c r="F361" t="str">
        <f t="shared" si="6"/>
        <v>MAIN SWITCHBOARD MSB-KE-01 SINGLE LINE DIAGRAM</v>
      </c>
    </row>
    <row r="362" spans="3:6">
      <c r="C362" t="s">
        <v>1666</v>
      </c>
      <c r="D362" t="s">
        <v>1667</v>
      </c>
      <c r="F362" t="str">
        <f t="shared" si="6"/>
        <v>MAIN SWITCHBOARD MSB-KE-01 MSB-KE-1 ENCLOSURE GENERAL ARRANGEMENT</v>
      </c>
    </row>
    <row r="363" spans="3:6">
      <c r="C363" t="s">
        <v>1668</v>
      </c>
      <c r="D363" t="s">
        <v>1669</v>
      </c>
      <c r="F363" t="str">
        <f t="shared" si="6"/>
        <v>MAIN SWITCHBOARD MSB-KE-01 GEN INCOMER SECTION GENERAL ARRANGEMENT</v>
      </c>
    </row>
    <row r="364" spans="3:6">
      <c r="C364" t="s">
        <v>1670</v>
      </c>
      <c r="D364" t="s">
        <v>1671</v>
      </c>
      <c r="F364" t="str">
        <f t="shared" si="6"/>
        <v>MAIN SWITCHBOARD MSB-KE-01 LOAD BANK SECTION GENERAL ARRANGEMENT</v>
      </c>
    </row>
    <row r="365" spans="3:6">
      <c r="C365" t="s">
        <v>1672</v>
      </c>
      <c r="D365" t="s">
        <v>1673</v>
      </c>
      <c r="F365" t="str">
        <f t="shared" si="6"/>
        <v>MAIN SWITCHBOARD MSB-KE-01 GEN BUSTIE SECTION GENERAL ARRANGEMENT</v>
      </c>
    </row>
    <row r="366" spans="3:6">
      <c r="C366" t="s">
        <v>1674</v>
      </c>
      <c r="D366" t="s">
        <v>1675</v>
      </c>
      <c r="E366" t="s">
        <v>983</v>
      </c>
      <c r="F366" t="str">
        <f t="shared" si="6"/>
        <v>MAIN SWITCHBOARD MSB-KE-01MAIN INCOMER SECTION GENERAL ARRANGEMENT</v>
      </c>
    </row>
    <row r="367" spans="3:6">
      <c r="C367" t="s">
        <v>1676</v>
      </c>
      <c r="D367" t="s">
        <v>1677</v>
      </c>
      <c r="F367" t="str">
        <f t="shared" si="6"/>
        <v>MAIN SWITCHBOARD MSB-KE-01 ATS SECTION GENERAL ARRANGEMENT</v>
      </c>
    </row>
    <row r="368" spans="3:6">
      <c r="C368" t="s">
        <v>1678</v>
      </c>
      <c r="D368" t="s">
        <v>1679</v>
      </c>
      <c r="F368" t="str">
        <f t="shared" si="6"/>
        <v>MAIN SWITCHBOARD MSB-KE-01 REAR VIEW GENERAL ARRANGEMENT</v>
      </c>
    </row>
    <row r="369" spans="3:6">
      <c r="C369" t="s">
        <v>1680</v>
      </c>
      <c r="D369" t="s">
        <v>1681</v>
      </c>
      <c r="F369" t="str">
        <f t="shared" si="6"/>
        <v>MAIN SWITCHBOARD MSB-KE-01 PLINTH DETAILS GENERAL ARRANGEMENT</v>
      </c>
    </row>
    <row r="370" spans="3:6">
      <c r="C370" t="s">
        <v>1682</v>
      </c>
      <c r="D370" t="s">
        <v>1683</v>
      </c>
      <c r="F370" t="str">
        <f t="shared" si="6"/>
        <v>MAIN SWITCHBOARD MSB-KE-01 BILL OF MATERIALS</v>
      </c>
    </row>
    <row r="371" spans="3:6">
      <c r="C371" t="s">
        <v>1684</v>
      </c>
      <c r="D371" t="s">
        <v>1683</v>
      </c>
      <c r="F371" t="str">
        <f t="shared" si="6"/>
        <v>MAIN SWITCHBOARD MSB-KE-01 BILL OF MATERIALS</v>
      </c>
    </row>
    <row r="372" spans="3:6">
      <c r="C372" t="s">
        <v>1685</v>
      </c>
      <c r="D372" t="s">
        <v>1683</v>
      </c>
      <c r="F372" t="str">
        <f t="shared" si="6"/>
        <v>MAIN SWITCHBOARD MSB-KE-01 BILL OF MATERIALS</v>
      </c>
    </row>
    <row r="373" spans="3:6">
      <c r="C373" t="s">
        <v>1686</v>
      </c>
      <c r="D373" t="s">
        <v>1687</v>
      </c>
      <c r="F373" t="str">
        <f t="shared" si="6"/>
        <v>MAIN SWITCHBOARD MSB-KE-01 1F GSB-KB GEN INCOMING SECTION LABEL SCHEDULE</v>
      </c>
    </row>
    <row r="374" spans="3:6">
      <c r="C374" t="s">
        <v>1688</v>
      </c>
      <c r="D374" t="s">
        <v>1689</v>
      </c>
      <c r="E374" t="s">
        <v>1176</v>
      </c>
      <c r="F374" t="str">
        <f t="shared" si="6"/>
        <v>MAIN SWITCHBOARD MSB-KE-01 2F3F GSB-KB LOADBANK OUT SECTION LABEL SCHEDULE</v>
      </c>
    </row>
    <row r="375" spans="3:6">
      <c r="C375" t="s">
        <v>1690</v>
      </c>
      <c r="D375" t="s">
        <v>1691</v>
      </c>
      <c r="F375" t="str">
        <f t="shared" si="6"/>
        <v>MAIN SWITCHBOARD MSB-KE-01 4F MSB-KE-PART-1 GEN BUS TIE SECTION LABEL SCHEDULE</v>
      </c>
    </row>
    <row r="376" spans="3:6">
      <c r="C376" t="s">
        <v>1692</v>
      </c>
      <c r="D376" t="s">
        <v>1693</v>
      </c>
      <c r="E376" t="s">
        <v>1003</v>
      </c>
      <c r="F376" t="str">
        <f t="shared" si="6"/>
        <v>MAIN SWITCHBOARD MSB-KE-01 5F MSB-KE-PART-1MAINS INCOMING SECTION LABEL SCHEDULE</v>
      </c>
    </row>
    <row r="377" spans="3:6">
      <c r="C377" t="s">
        <v>1694</v>
      </c>
      <c r="D377" t="s">
        <v>1695</v>
      </c>
      <c r="F377" t="str">
        <f t="shared" si="6"/>
        <v>MAIN SWITCHBOARD MSB-KE-01 6F MSB-KE-PART-1 ATS SECTION LABEL SCHEDULE</v>
      </c>
    </row>
    <row r="378" spans="3:6">
      <c r="C378" t="s">
        <v>1696</v>
      </c>
      <c r="D378" t="s">
        <v>1697</v>
      </c>
      <c r="F378" t="str">
        <f t="shared" si="6"/>
        <v>MAIN SWITCHBOARD MSB-KE-01 GENERATOR INCOMER POWER DIAGRAM</v>
      </c>
    </row>
    <row r="379" spans="3:6">
      <c r="C379" t="s">
        <v>1698</v>
      </c>
      <c r="D379" t="s">
        <v>1699</v>
      </c>
      <c r="F379" t="str">
        <f t="shared" si="6"/>
        <v>MAIN SWITCHBOARD MSB-KE-01 LOAD BANK FEEDER 1 OF 2 POWER DIAGRAM</v>
      </c>
    </row>
    <row r="380" spans="3:6">
      <c r="C380" t="s">
        <v>1700</v>
      </c>
      <c r="D380" t="s">
        <v>1701</v>
      </c>
      <c r="F380" t="str">
        <f t="shared" si="6"/>
        <v>MAIN SWITCHBOARD MSB-KE-01 LOAD BANK FEEDER 2 OF 2 POWER DIAGRAM</v>
      </c>
    </row>
    <row r="381" spans="3:6">
      <c r="C381" t="s">
        <v>1702</v>
      </c>
      <c r="D381" t="s">
        <v>1703</v>
      </c>
      <c r="F381" t="str">
        <f t="shared" si="6"/>
        <v>MAIN SWITCHBOARD MSB-KE-01 BUS TIE POWER DIAGRAM</v>
      </c>
    </row>
    <row r="382" spans="3:6">
      <c r="C382" t="s">
        <v>1704</v>
      </c>
      <c r="D382" t="s">
        <v>1675</v>
      </c>
      <c r="E382" t="s">
        <v>1015</v>
      </c>
      <c r="F382" t="str">
        <f t="shared" si="6"/>
        <v>MAIN SWITCHBOARD MSB-KE-01MAIN INCOMER POWER DIAGRAM</v>
      </c>
    </row>
    <row r="383" spans="3:6">
      <c r="C383" t="s">
        <v>1705</v>
      </c>
      <c r="D383" t="s">
        <v>1706</v>
      </c>
      <c r="F383" t="str">
        <f t="shared" si="6"/>
        <v>MAIN SWITCHBOARD MSB-KE-01 MSB-KE-PART-2 FEEDER POWER DIAGRAM</v>
      </c>
    </row>
    <row r="384" spans="3:6">
      <c r="C384" t="s">
        <v>1707</v>
      </c>
      <c r="D384" t="s">
        <v>1708</v>
      </c>
      <c r="F384" t="str">
        <f t="shared" si="6"/>
        <v>MAIN SWITCHBOARD MSB-KE-01 110VDC POWER SUPPLY POWER DIAGRAM</v>
      </c>
    </row>
    <row r="385" spans="3:6">
      <c r="C385" t="s">
        <v>1709</v>
      </c>
      <c r="D385" t="s">
        <v>1710</v>
      </c>
      <c r="F385" t="str">
        <f t="shared" si="6"/>
        <v>MAIN SWITCHBOARD MSB-KE-01 24VDC POWER SUPPLY POWER DIAGRAM</v>
      </c>
    </row>
    <row r="386" spans="3:6">
      <c r="C386" t="s">
        <v>1711</v>
      </c>
      <c r="D386" t="s">
        <v>1712</v>
      </c>
      <c r="F386" t="str">
        <f t="shared" si="6"/>
        <v>MAIN SWITCHBOARD MSB-KE-01 24VDC DISTRIBUTION POWER DIAGRAM</v>
      </c>
    </row>
    <row r="387" spans="3:6">
      <c r="C387" t="s">
        <v>1713</v>
      </c>
      <c r="D387" t="s">
        <v>1714</v>
      </c>
      <c r="F387" t="str">
        <f t="shared" si="6"/>
        <v>MAIN SWITCHBOARD MSB-KE-01 AUTOMATIC TRANSFER SWITCH CONTROL DIAGRAM</v>
      </c>
    </row>
    <row r="388" spans="3:6">
      <c r="C388" t="s">
        <v>1715</v>
      </c>
      <c r="D388" t="s">
        <v>1716</v>
      </c>
      <c r="F388" t="str">
        <f t="shared" si="6"/>
        <v>MAIN SWITCHBOARD MSB-KE-01 NETWORK DIAGRAM</v>
      </c>
    </row>
    <row r="389" spans="3:6">
      <c r="C389" t="s">
        <v>1717</v>
      </c>
      <c r="D389" t="s">
        <v>1718</v>
      </c>
      <c r="F389" t="str">
        <f t="shared" si="6"/>
        <v>MAIN SWITCHBOARD MSB-KE-02 DRAWING INDEX SH.1</v>
      </c>
    </row>
    <row r="390" spans="3:6">
      <c r="C390" t="s">
        <v>1719</v>
      </c>
      <c r="D390" t="s">
        <v>1720</v>
      </c>
      <c r="F390" t="str">
        <f t="shared" si="6"/>
        <v>MAIN SWITCHBOARD MSB-KE-02 DRAWING INDEX SH.2</v>
      </c>
    </row>
    <row r="391" spans="3:6">
      <c r="C391" t="s">
        <v>1721</v>
      </c>
      <c r="D391" t="s">
        <v>1722</v>
      </c>
      <c r="F391" t="str">
        <f t="shared" si="6"/>
        <v>MAIN SWITCHBOARD MSB-KE-02 SINGLE LINE DIAGRAM 1 OF 3</v>
      </c>
    </row>
    <row r="392" spans="3:6">
      <c r="C392" t="s">
        <v>1723</v>
      </c>
      <c r="D392" t="s">
        <v>1724</v>
      </c>
      <c r="F392" t="str">
        <f t="shared" si="6"/>
        <v>MAIN SWITCHBOARD MSB-KE-02 SINGLE LINE DIAGRAM 2 OF 3</v>
      </c>
    </row>
    <row r="393" spans="3:6">
      <c r="C393" t="s">
        <v>1725</v>
      </c>
      <c r="D393" t="s">
        <v>1726</v>
      </c>
      <c r="F393" t="str">
        <f t="shared" si="6"/>
        <v>MAIN SWITCHBOARD MSB-KE-02 SINGLE LINE DIAGRAM 3 OF 3</v>
      </c>
    </row>
    <row r="394" spans="3:6">
      <c r="C394" t="s">
        <v>1727</v>
      </c>
      <c r="D394" t="s">
        <v>1728</v>
      </c>
      <c r="F394" t="str">
        <f t="shared" ref="F394:F457" si="7">_xlfn.CONCAT(D394,E394)</f>
        <v>MAIN SWITCHBOARD MSB-KE-02 EXTERNAL VIEW TIERS 1-8 GENERAL ARRANGEMENT</v>
      </c>
    </row>
    <row r="395" spans="3:6">
      <c r="C395" t="s">
        <v>1729</v>
      </c>
      <c r="D395" t="s">
        <v>1730</v>
      </c>
      <c r="F395" t="str">
        <f t="shared" si="7"/>
        <v>MAIN SWITCHBOARD MSB-KE-02 EXTERNAL VIEW TIERS 9-18 GENERAL ARRANGEMENT</v>
      </c>
    </row>
    <row r="396" spans="3:6">
      <c r="C396" t="s">
        <v>1731</v>
      </c>
      <c r="D396" t="s">
        <v>1732</v>
      </c>
      <c r="F396" t="str">
        <f t="shared" si="7"/>
        <v>MAIN SWITCHBOARD MSB-KE-02 INTERNAL VIEW TIERS 1 GENERAL ARRANGEMENT</v>
      </c>
    </row>
    <row r="397" spans="3:6">
      <c r="C397" t="s">
        <v>1733</v>
      </c>
      <c r="D397" t="s">
        <v>1734</v>
      </c>
      <c r="F397" t="str">
        <f t="shared" si="7"/>
        <v>MAIN SWITCHBOARD MSB-KE-02 INTERNAL VIEW TIERS 2 GENERAL ARRANGEMENT</v>
      </c>
    </row>
    <row r="398" spans="3:6">
      <c r="C398" t="s">
        <v>1735</v>
      </c>
      <c r="D398" t="s">
        <v>1736</v>
      </c>
      <c r="F398" t="str">
        <f t="shared" si="7"/>
        <v>MAIN SWITCHBOARD MSB-KE-02 INTERNAL VIEW TIERS 3 GENERAL ARRANGEMENT</v>
      </c>
    </row>
    <row r="399" spans="3:6">
      <c r="C399" t="s">
        <v>1737</v>
      </c>
      <c r="D399" t="s">
        <v>1738</v>
      </c>
      <c r="F399" t="str">
        <f t="shared" si="7"/>
        <v>MAIN SWITCHBOARD MSB-KE-02 INTERNAL VIEW TIERS 4 GENERAL ARRANGEMENT</v>
      </c>
    </row>
    <row r="400" spans="3:6">
      <c r="C400" t="s">
        <v>1739</v>
      </c>
      <c r="D400" t="s">
        <v>1740</v>
      </c>
      <c r="F400" t="str">
        <f t="shared" si="7"/>
        <v>MAIN SWITCHBOARD MSB-KE-02 INTERNAL VIEW TIERS 5 GENERAL ARRANGEMENT</v>
      </c>
    </row>
    <row r="401" spans="3:6">
      <c r="C401" t="s">
        <v>1741</v>
      </c>
      <c r="D401" t="s">
        <v>1742</v>
      </c>
      <c r="F401" t="str">
        <f t="shared" si="7"/>
        <v>MAIN SWITCHBOARD MSB-KE-02 INTERNAL VIEW TIERS 6 GENERAL ARRANGEMENT</v>
      </c>
    </row>
    <row r="402" spans="3:6">
      <c r="C402" t="s">
        <v>1743</v>
      </c>
      <c r="D402" t="s">
        <v>1744</v>
      </c>
      <c r="F402" t="str">
        <f t="shared" si="7"/>
        <v>MAIN SWITCHBOARD MSB-KE-02 INTERNAL VIEW TIERS 7 GENERAL ARRANGEMENT</v>
      </c>
    </row>
    <row r="403" spans="3:6">
      <c r="C403" t="s">
        <v>1745</v>
      </c>
      <c r="D403" t="s">
        <v>1746</v>
      </c>
      <c r="F403" t="str">
        <f t="shared" si="7"/>
        <v>MAIN SWITCHBOARD MSB-KE-02 INTERNAL VIEW TIERS 8 &amp; 9 GENERAL ARRANGEMENT</v>
      </c>
    </row>
    <row r="404" spans="3:6">
      <c r="C404" t="s">
        <v>1747</v>
      </c>
      <c r="D404" t="s">
        <v>1748</v>
      </c>
      <c r="F404" t="str">
        <f t="shared" si="7"/>
        <v>MAIN SWITCHBOARD MSB-KE-02 INTERNAL VIEW TIERS 10 GENERAL ARRANGEMENT</v>
      </c>
    </row>
    <row r="405" spans="3:6">
      <c r="C405" t="s">
        <v>1749</v>
      </c>
      <c r="D405" t="s">
        <v>1750</v>
      </c>
      <c r="F405" t="str">
        <f t="shared" si="7"/>
        <v>MAIN SWITCHBOARD MSB-KE-02 INTERNAL VIEW TIERS 11 GENERAL ARRANGEMENT</v>
      </c>
    </row>
    <row r="406" spans="3:6">
      <c r="C406" t="s">
        <v>1751</v>
      </c>
      <c r="D406" t="s">
        <v>1752</v>
      </c>
      <c r="F406" t="str">
        <f t="shared" si="7"/>
        <v>MAIN SWITCHBOARD MSB-KE-02 INTERNAL VIEW TIERS 12 GENERAL ARRANGEMENT</v>
      </c>
    </row>
    <row r="407" spans="3:6">
      <c r="C407" t="s">
        <v>1753</v>
      </c>
      <c r="D407" t="s">
        <v>1754</v>
      </c>
      <c r="F407" t="str">
        <f t="shared" si="7"/>
        <v>MAIN SWITCHBOARD MSB-KE-02 INTERNAL VIEW TIERS 13 GENERAL ARRANGEMENT</v>
      </c>
    </row>
    <row r="408" spans="3:6">
      <c r="C408" t="s">
        <v>1755</v>
      </c>
      <c r="D408" t="s">
        <v>1756</v>
      </c>
      <c r="F408" t="str">
        <f t="shared" si="7"/>
        <v>MAIN SWITCHBOARD MSB-KE-02 INTERNAL VIEW TIERS 14 &amp; 15 GENERAL ARRANGEMENT</v>
      </c>
    </row>
    <row r="409" spans="3:6">
      <c r="C409" t="s">
        <v>1757</v>
      </c>
      <c r="D409" t="s">
        <v>1758</v>
      </c>
      <c r="F409" t="str">
        <f t="shared" si="7"/>
        <v>MAIN SWITCHBOARD MSB-KE-02 INTERNAL VIEW TIERS 16 GENERAL ARRANGEMENT</v>
      </c>
    </row>
    <row r="410" spans="3:6">
      <c r="C410" t="s">
        <v>1759</v>
      </c>
      <c r="D410" t="s">
        <v>1760</v>
      </c>
      <c r="F410" t="str">
        <f t="shared" si="7"/>
        <v>MAIN SWITCHBOARD MSB-KE-02 INTERNAL VIEW TIERS 17 &amp; 18 GENERAL ARRANGEMENT</v>
      </c>
    </row>
    <row r="411" spans="3:6">
      <c r="C411" t="s">
        <v>1761</v>
      </c>
      <c r="D411" t="s">
        <v>1762</v>
      </c>
      <c r="F411" t="str">
        <f t="shared" si="7"/>
        <v>MAIN SWITCHBOARD MSB-KE-02 EXTERNAL REAR VIEW TIERS GENERAL ARRANGEMENT</v>
      </c>
    </row>
    <row r="412" spans="3:6">
      <c r="C412" t="s">
        <v>1763</v>
      </c>
      <c r="D412" t="s">
        <v>1764</v>
      </c>
      <c r="F412" t="str">
        <f t="shared" si="7"/>
        <v>MAIN SWITCHBOARD MSB-KE-02 PLINTH DETAILS GENERAL ARRANGEMENT 1 OF 2</v>
      </c>
    </row>
    <row r="413" spans="3:6">
      <c r="C413" t="s">
        <v>1765</v>
      </c>
      <c r="D413" t="s">
        <v>1766</v>
      </c>
      <c r="F413" t="str">
        <f t="shared" si="7"/>
        <v>MAIN SWITCHBOARD MSB-KE-02 PLINTH DETAILS GENERAL ARRANGEMENT 2 OF 2</v>
      </c>
    </row>
    <row r="414" spans="3:6">
      <c r="C414" t="s">
        <v>1767</v>
      </c>
      <c r="D414" t="s">
        <v>1768</v>
      </c>
      <c r="F414" t="str">
        <f t="shared" si="7"/>
        <v>MAIN SWITCHBOARD MSB-KE-02 BILL OF MATERIALS 1 OF 5</v>
      </c>
    </row>
    <row r="415" spans="3:6">
      <c r="C415" t="s">
        <v>1769</v>
      </c>
      <c r="D415" t="s">
        <v>1770</v>
      </c>
      <c r="F415" t="str">
        <f t="shared" si="7"/>
        <v>MAIN SWITCHBOARD MSB-KE-02 BILL OF MATERIALS 2 OF 5</v>
      </c>
    </row>
    <row r="416" spans="3:6">
      <c r="C416" t="s">
        <v>1771</v>
      </c>
      <c r="D416" t="s">
        <v>1772</v>
      </c>
      <c r="F416" t="str">
        <f t="shared" si="7"/>
        <v>MAIN SWITCHBOARD MSB-KE-02 BILL OF MATERIALS 3 OF 5</v>
      </c>
    </row>
    <row r="417" spans="3:6">
      <c r="C417" t="s">
        <v>1773</v>
      </c>
      <c r="D417" t="s">
        <v>1774</v>
      </c>
      <c r="F417" t="str">
        <f t="shared" si="7"/>
        <v>MAIN SWITCHBOARD MSB-KE-02 BILL OF MATERIALS 4 OF 5</v>
      </c>
    </row>
    <row r="418" spans="3:6">
      <c r="C418" t="s">
        <v>1775</v>
      </c>
      <c r="D418" t="s">
        <v>1776</v>
      </c>
      <c r="F418" t="str">
        <f t="shared" si="7"/>
        <v>MAIN SWITCHBOARD MSB-KE-02 BILL OF MATERIALS 5 OF 5</v>
      </c>
    </row>
    <row r="419" spans="3:6">
      <c r="C419" t="s">
        <v>1777</v>
      </c>
      <c r="D419" t="s">
        <v>1778</v>
      </c>
      <c r="F419" t="str">
        <f t="shared" si="7"/>
        <v>MAIN SWITCHBOARD MSB-KE-02 1F MSB-KE-02 CHILLER SECTION LABEL SCHEDULE</v>
      </c>
    </row>
    <row r="420" spans="3:6">
      <c r="C420" t="s">
        <v>1779</v>
      </c>
      <c r="D420" t="s">
        <v>1780</v>
      </c>
      <c r="F420" t="str">
        <f t="shared" si="7"/>
        <v>MAIN SWITCHBOARD MSB-KE-02 2F MSB-KE-02 SECOND FEED SECTION LABEL SCHEDULE</v>
      </c>
    </row>
    <row r="421" spans="3:6">
      <c r="C421" t="s">
        <v>1781</v>
      </c>
      <c r="D421" t="s">
        <v>1782</v>
      </c>
      <c r="F421" t="str">
        <f t="shared" si="7"/>
        <v>MAIN SWITCHBOARD MSB-KE-02 3F-4F-5F LGT, PWR, &amp; MCC SECTIONS LABEL SCHEDULE</v>
      </c>
    </row>
    <row r="422" spans="3:6">
      <c r="C422" t="s">
        <v>1783</v>
      </c>
      <c r="D422" t="s">
        <v>1784</v>
      </c>
      <c r="F422" t="str">
        <f t="shared" si="7"/>
        <v>MAIN SWITCHBOARD MSB-KE-02 6F-7F HYPER DH &amp; BUS TIE SECTIONS LABEL SCHEDULE</v>
      </c>
    </row>
    <row r="423" spans="3:6">
      <c r="C423" t="s">
        <v>1785</v>
      </c>
      <c r="D423" t="s">
        <v>1786</v>
      </c>
      <c r="F423" t="str">
        <f t="shared" si="7"/>
        <v>MAIN SWITCHBOARD MSB-KE-02 8F-9F MSB-KE-02 SECTIONS LABEL SCHEDULE</v>
      </c>
    </row>
    <row r="424" spans="3:6">
      <c r="C424" t="s">
        <v>1787</v>
      </c>
      <c r="D424" t="s">
        <v>1788</v>
      </c>
      <c r="F424" t="str">
        <f t="shared" si="7"/>
        <v>MAIN SWITCHBOARD MSB-KE-02 10F-13F MSB-KE-02 SECTIONS LABEL SCHEDULE</v>
      </c>
    </row>
    <row r="425" spans="3:6">
      <c r="C425" t="s">
        <v>1789</v>
      </c>
      <c r="D425" t="s">
        <v>1790</v>
      </c>
      <c r="F425" t="str">
        <f t="shared" si="7"/>
        <v>MAIN SWITCHBOARD MSB-KE-02 11F-12F-14F UPS INCOMMERS SECTIONS LABEL SCHEDULE</v>
      </c>
    </row>
    <row r="426" spans="3:6">
      <c r="C426" t="s">
        <v>1791</v>
      </c>
      <c r="D426" t="s">
        <v>1792</v>
      </c>
      <c r="F426" t="str">
        <f t="shared" si="7"/>
        <v>MAIN SWITCHBOARD MSB-KE-02 15F-16F USP FEEDERS SECTIONS LABEL SCHEDULE</v>
      </c>
    </row>
    <row r="427" spans="3:6">
      <c r="C427" t="s">
        <v>1793</v>
      </c>
      <c r="D427" t="s">
        <v>1794</v>
      </c>
      <c r="F427" t="str">
        <f t="shared" si="7"/>
        <v>MAIN SWITCHBOARD MSB-KE-02 17F-18F UPS FIRE SERVICES SECTIONS LABEL SCHEDULE</v>
      </c>
    </row>
    <row r="428" spans="3:6">
      <c r="C428" t="s">
        <v>1795</v>
      </c>
      <c r="D428" t="s">
        <v>1796</v>
      </c>
      <c r="E428" t="s">
        <v>1015</v>
      </c>
      <c r="F428" t="str">
        <f t="shared" si="7"/>
        <v>MAIN SWITCHBOARD MSB-KE-02MAIN INCOMER POWER DIAGRAM</v>
      </c>
    </row>
    <row r="429" spans="3:6">
      <c r="C429" t="s">
        <v>1797</v>
      </c>
      <c r="D429" t="s">
        <v>1796</v>
      </c>
      <c r="E429" t="s">
        <v>1109</v>
      </c>
      <c r="F429" t="str">
        <f t="shared" si="7"/>
        <v>MAIN SWITCHBOARD MSB-KE-02MAIN BUS POWER DIAGRAM</v>
      </c>
    </row>
    <row r="430" spans="3:6">
      <c r="C430" t="s">
        <v>1798</v>
      </c>
      <c r="D430" t="s">
        <v>1799</v>
      </c>
      <c r="F430" t="str">
        <f t="shared" si="7"/>
        <v>MAIN SWITCHBOARD MSB-KE-02 HYPER DH BRANCH FEEDER POWER DIAGRAM</v>
      </c>
    </row>
    <row r="431" spans="3:6">
      <c r="C431" t="s">
        <v>1800</v>
      </c>
      <c r="D431" t="s">
        <v>1801</v>
      </c>
      <c r="F431" t="str">
        <f t="shared" si="7"/>
        <v>MAIN SWITCHBOARD MSB-KE-02 MCC-X CHILLER FEEDERS POWER DIAGRAM</v>
      </c>
    </row>
    <row r="432" spans="3:6">
      <c r="C432" t="s">
        <v>1802</v>
      </c>
      <c r="D432" t="s">
        <v>1796</v>
      </c>
      <c r="E432" t="s">
        <v>1115</v>
      </c>
      <c r="F432" t="str">
        <f t="shared" si="7"/>
        <v>MAIN SWITCHBOARD MSB-KE-02MAIN DISTRIBUTION POWER DIAGRAM 1 OF 3</v>
      </c>
    </row>
    <row r="433" spans="3:6">
      <c r="C433" t="s">
        <v>1803</v>
      </c>
      <c r="D433" t="s">
        <v>1796</v>
      </c>
      <c r="E433" t="s">
        <v>1117</v>
      </c>
      <c r="F433" t="str">
        <f t="shared" si="7"/>
        <v>MAIN SWITCHBOARD MSB-KE-02MAIN DISTRIBUTION POWER DIAGRAM 2 OF 3</v>
      </c>
    </row>
    <row r="434" spans="3:6">
      <c r="C434" t="s">
        <v>1804</v>
      </c>
      <c r="D434" t="s">
        <v>1796</v>
      </c>
      <c r="E434" t="s">
        <v>1119</v>
      </c>
      <c r="F434" t="str">
        <f t="shared" si="7"/>
        <v>MAIN SWITCHBOARD MSB-KE-02MAIN DISTRIBUTION POWER DIAGRAM 3 OF 3</v>
      </c>
    </row>
    <row r="435" spans="3:6">
      <c r="C435" t="s">
        <v>1805</v>
      </c>
      <c r="D435" t="s">
        <v>1806</v>
      </c>
      <c r="F435" t="str">
        <f t="shared" si="7"/>
        <v>MAIN SWITCHBOARD MSB-KE-02 BUS TIE POWER DIAGRAM</v>
      </c>
    </row>
    <row r="436" spans="3:6">
      <c r="C436" t="s">
        <v>1807</v>
      </c>
      <c r="D436" t="s">
        <v>1808</v>
      </c>
      <c r="F436" t="str">
        <f t="shared" si="7"/>
        <v>MAIN SWITCHBOARD MSB-KE-02 UPS DISTRIBUTION POWER DIAGRAM</v>
      </c>
    </row>
    <row r="437" spans="3:6">
      <c r="C437" t="s">
        <v>1809</v>
      </c>
      <c r="D437" t="s">
        <v>1810</v>
      </c>
      <c r="F437" t="str">
        <f t="shared" si="7"/>
        <v>MAIN SWITCHBOARD MSB-KE-02 LOAD BANK FEEDER POWER DIAGRAM</v>
      </c>
    </row>
    <row r="438" spans="3:6">
      <c r="C438" t="s">
        <v>1811</v>
      </c>
      <c r="D438" t="s">
        <v>1812</v>
      </c>
      <c r="F438" t="str">
        <f t="shared" si="7"/>
        <v>MAIN SWITCHBOARD MSB-KE-02 UPS-X1 INCOMER POWER DIAGRAM</v>
      </c>
    </row>
    <row r="439" spans="3:6">
      <c r="C439" t="s">
        <v>1813</v>
      </c>
      <c r="D439" t="s">
        <v>1814</v>
      </c>
      <c r="F439" t="str">
        <f t="shared" si="7"/>
        <v>MAIN SWITCHBOARD MSB-KE-02 UPS-X2 INCOMER POWER DIAGRAM</v>
      </c>
    </row>
    <row r="440" spans="3:6">
      <c r="C440" t="s">
        <v>1815</v>
      </c>
      <c r="D440" t="s">
        <v>1816</v>
      </c>
      <c r="F440" t="str">
        <f t="shared" si="7"/>
        <v>MAIN SWITCHBOARD MSB-KE-02 ESSENTIAL SERVICES POWER DIAGRAM 1 OF 2</v>
      </c>
    </row>
    <row r="441" spans="3:6">
      <c r="C441" t="s">
        <v>1817</v>
      </c>
      <c r="D441" t="s">
        <v>1818</v>
      </c>
      <c r="F441" t="str">
        <f t="shared" si="7"/>
        <v>MAIN SWITCHBOARD MSB-KE-02 ESSENTIAL SERVICES POWER DIAGRAM 2 OF 2</v>
      </c>
    </row>
    <row r="442" spans="3:6">
      <c r="C442" t="s">
        <v>1819</v>
      </c>
      <c r="D442" t="s">
        <v>1820</v>
      </c>
      <c r="F442" t="str">
        <f t="shared" si="7"/>
        <v>MAIN SWITCHBOARD MSB-KE-02 UPS FEEDERS POWER DIAGRAM</v>
      </c>
    </row>
    <row r="443" spans="3:6">
      <c r="C443" t="s">
        <v>1821</v>
      </c>
      <c r="D443" t="s">
        <v>1822</v>
      </c>
      <c r="F443" t="str">
        <f t="shared" si="7"/>
        <v>MAIN SWITCHBOARD MSB-KE-02 110VDC POWER SUPPLY POWER DIAGRAM</v>
      </c>
    </row>
    <row r="444" spans="3:6">
      <c r="C444" t="s">
        <v>1823</v>
      </c>
      <c r="D444" t="s">
        <v>1824</v>
      </c>
      <c r="F444" t="str">
        <f t="shared" si="7"/>
        <v>MAIN SWITCHBOARD MSB-KE-02 24VDC POWER SUPPLY POWER DIAGRAM 1 OF 2</v>
      </c>
    </row>
    <row r="445" spans="3:6">
      <c r="C445" t="s">
        <v>1825</v>
      </c>
      <c r="D445" t="s">
        <v>1826</v>
      </c>
      <c r="F445" t="str">
        <f t="shared" si="7"/>
        <v>MAIN SWITCHBOARD MSB-KE-02 24VDC POWER SUPPLY POWER DIAGRAM 2 OF 2</v>
      </c>
    </row>
    <row r="446" spans="3:6">
      <c r="C446" t="s">
        <v>1827</v>
      </c>
      <c r="D446" t="s">
        <v>1828</v>
      </c>
      <c r="F446" t="str">
        <f t="shared" si="7"/>
        <v>MAIN SWITCHBOARD MSB-KE-02 CL KEY SWITCH 20A 2NO 2NC FOR UPS BOARD</v>
      </c>
    </row>
    <row r="447" spans="3:6">
      <c r="C447" t="s">
        <v>1829</v>
      </c>
      <c r="D447" t="s">
        <v>1830</v>
      </c>
      <c r="F447" t="str">
        <f t="shared" si="7"/>
        <v>MAIN SWITCHBOARD MSB-KE-02 ENERLIN'X COMMS NETWORK DIAGRAM</v>
      </c>
    </row>
    <row r="448" spans="3:6">
      <c r="C448" t="s">
        <v>1831</v>
      </c>
      <c r="D448" t="s">
        <v>1832</v>
      </c>
      <c r="F448" t="str">
        <f t="shared" si="7"/>
        <v>MAIN SWITCHBOARD MSB-KE-02 NETWORK SWITCH NETWORK DIAGRAM</v>
      </c>
    </row>
    <row r="449" spans="3:6">
      <c r="C449" t="s">
        <v>1833</v>
      </c>
      <c r="D449" t="s">
        <v>1834</v>
      </c>
      <c r="F449" t="str">
        <f t="shared" si="7"/>
        <v>MAIN SWITCHBOARD MSB-KF-01 DRAWING INDEX</v>
      </c>
    </row>
    <row r="450" spans="3:6">
      <c r="C450" t="s">
        <v>1835</v>
      </c>
      <c r="D450" t="s">
        <v>1836</v>
      </c>
      <c r="F450" t="str">
        <f t="shared" si="7"/>
        <v>MAIN SWITCHBOARD MSB-KF-01 SINGLE LINE DIAGRAM</v>
      </c>
    </row>
    <row r="451" spans="3:6">
      <c r="C451" t="s">
        <v>1837</v>
      </c>
      <c r="D451" t="s">
        <v>1838</v>
      </c>
      <c r="F451" t="str">
        <f t="shared" si="7"/>
        <v>MAIN SWITCHBOARD MSB-KF-01 MSB-KF-1 ENCLOSURE GENERAL ARRANGEMENT</v>
      </c>
    </row>
    <row r="452" spans="3:6">
      <c r="C452" t="s">
        <v>1839</v>
      </c>
      <c r="D452" t="s">
        <v>1840</v>
      </c>
      <c r="F452" t="str">
        <f t="shared" si="7"/>
        <v>MAIN SWITCHBOARD MSB-KF-01 GEN INCOMER SECTION GENERAL ARRANGEMENT</v>
      </c>
    </row>
    <row r="453" spans="3:6">
      <c r="C453" t="s">
        <v>1841</v>
      </c>
      <c r="D453" t="s">
        <v>1842</v>
      </c>
      <c r="F453" t="str">
        <f t="shared" si="7"/>
        <v>MAIN SWITCHBOARD MSB-KF-01 LOAD BANK SECTION GENERAL ARRANGEMENT</v>
      </c>
    </row>
    <row r="454" spans="3:6">
      <c r="C454" t="s">
        <v>1843</v>
      </c>
      <c r="D454" t="s">
        <v>1844</v>
      </c>
      <c r="F454" t="str">
        <f t="shared" si="7"/>
        <v>MAIN SWITCHBOARD MSB-KF-01 GEN BUSTIE SECTION GENERAL ARRANGEMENT</v>
      </c>
    </row>
    <row r="455" spans="3:6">
      <c r="C455" t="s">
        <v>1845</v>
      </c>
      <c r="D455" t="s">
        <v>1846</v>
      </c>
      <c r="E455" t="s">
        <v>983</v>
      </c>
      <c r="F455" t="str">
        <f t="shared" si="7"/>
        <v>MAIN SWITCHBOARD MSB-KF-01MAIN INCOMER SECTION GENERAL ARRANGEMENT</v>
      </c>
    </row>
    <row r="456" spans="3:6">
      <c r="C456" t="s">
        <v>1847</v>
      </c>
      <c r="D456" t="s">
        <v>1848</v>
      </c>
      <c r="F456" t="str">
        <f t="shared" si="7"/>
        <v>MAIN SWITCHBOARD MSB-KF-01 ATS SECTION GENERAL ARRANGEMENT</v>
      </c>
    </row>
    <row r="457" spans="3:6">
      <c r="C457" t="s">
        <v>1849</v>
      </c>
      <c r="D457" t="s">
        <v>1850</v>
      </c>
      <c r="F457" t="str">
        <f t="shared" si="7"/>
        <v>MAIN SWITCHBOARD MSB-KF-01 REAR VIEW GENERAL ARRANGEMENT</v>
      </c>
    </row>
    <row r="458" spans="3:6">
      <c r="C458" t="s">
        <v>1851</v>
      </c>
      <c r="D458" t="s">
        <v>1852</v>
      </c>
      <c r="F458" t="str">
        <f t="shared" ref="F458:F521" si="8">_xlfn.CONCAT(D458,E458)</f>
        <v>MAIN SWITCHBOARD MSB-KF-01 PLINTH DETAILS GENERAL ARRANGEMENT</v>
      </c>
    </row>
    <row r="459" spans="3:6">
      <c r="C459" t="s">
        <v>1853</v>
      </c>
      <c r="D459" t="s">
        <v>1854</v>
      </c>
      <c r="F459" t="str">
        <f t="shared" si="8"/>
        <v>MAIN SWITCHBOARD MSB-KF-01 BILL OF MATERIALS</v>
      </c>
    </row>
    <row r="460" spans="3:6">
      <c r="C460" t="s">
        <v>1855</v>
      </c>
      <c r="D460" t="s">
        <v>1854</v>
      </c>
      <c r="F460" t="str">
        <f t="shared" si="8"/>
        <v>MAIN SWITCHBOARD MSB-KF-01 BILL OF MATERIALS</v>
      </c>
    </row>
    <row r="461" spans="3:6">
      <c r="C461" t="s">
        <v>1856</v>
      </c>
      <c r="D461" t="s">
        <v>1854</v>
      </c>
      <c r="F461" t="str">
        <f t="shared" si="8"/>
        <v>MAIN SWITCHBOARD MSB-KF-01 BILL OF MATERIALS</v>
      </c>
    </row>
    <row r="462" spans="3:6">
      <c r="C462" t="s">
        <v>1857</v>
      </c>
      <c r="D462" t="s">
        <v>1858</v>
      </c>
      <c r="F462" t="str">
        <f t="shared" si="8"/>
        <v>MAIN SWITCHBOARD MSB-KF-01 1F GSB-KB GEN INCOMING SECTION LABEL SCHEDULE</v>
      </c>
    </row>
    <row r="463" spans="3:6">
      <c r="C463" t="s">
        <v>1859</v>
      </c>
      <c r="D463" t="s">
        <v>1860</v>
      </c>
      <c r="E463" t="s">
        <v>1176</v>
      </c>
      <c r="F463" t="str">
        <f t="shared" si="8"/>
        <v>MAIN SWITCHBOARD MSB-KF-01 2F3F GSB-KB LOADBANK OUT SECTION LABEL SCHEDULE</v>
      </c>
    </row>
    <row r="464" spans="3:6">
      <c r="C464" t="s">
        <v>1861</v>
      </c>
      <c r="D464" t="s">
        <v>1862</v>
      </c>
      <c r="F464" t="str">
        <f t="shared" si="8"/>
        <v>MAIN SWITCHBOARD MSB-KF-01 4F MSB-KF-PART-1 GEN BUS TIE SECTION LABEL SCHEDULE</v>
      </c>
    </row>
    <row r="465" spans="3:6">
      <c r="C465" t="s">
        <v>1863</v>
      </c>
      <c r="D465" t="s">
        <v>1864</v>
      </c>
      <c r="E465" t="s">
        <v>1003</v>
      </c>
      <c r="F465" t="str">
        <f t="shared" si="8"/>
        <v>MAIN SWITCHBOARD MSB-KF-01 5F MSB-KF-PART-1MAINS INCOMING SECTION LABEL SCHEDULE</v>
      </c>
    </row>
    <row r="466" spans="3:6">
      <c r="C466" t="s">
        <v>1865</v>
      </c>
      <c r="D466" t="s">
        <v>1866</v>
      </c>
      <c r="F466" t="str">
        <f t="shared" si="8"/>
        <v>MAIN SWITCHBOARD MSB-KF-01 6F MSB-KF-PART-1 ATS SECTION LABEL SCHEDULE</v>
      </c>
    </row>
    <row r="467" spans="3:6">
      <c r="C467" t="s">
        <v>1867</v>
      </c>
      <c r="D467" t="s">
        <v>1868</v>
      </c>
      <c r="F467" t="str">
        <f t="shared" si="8"/>
        <v>MAIN SWITCHBOARD MSB-KF-01 GENERATOR INCOMER POWER DIAGRAM</v>
      </c>
    </row>
    <row r="468" spans="3:6">
      <c r="C468" t="s">
        <v>1869</v>
      </c>
      <c r="D468" t="s">
        <v>1870</v>
      </c>
      <c r="F468" t="str">
        <f t="shared" si="8"/>
        <v>MAIN SWITCHBOARD MSB-KF-01 LOAD BANK FEEDER 1 OF 2 POWER DIAGRAM</v>
      </c>
    </row>
    <row r="469" spans="3:6">
      <c r="C469" t="s">
        <v>1871</v>
      </c>
      <c r="D469" t="s">
        <v>1872</v>
      </c>
      <c r="F469" t="str">
        <f t="shared" si="8"/>
        <v>MAIN SWITCHBOARD MSB-KF-01 LOAD BANK FEEDER 2 OF 2 POWER DIAGRAM</v>
      </c>
    </row>
    <row r="470" spans="3:6">
      <c r="C470" t="s">
        <v>1873</v>
      </c>
      <c r="D470" t="s">
        <v>1874</v>
      </c>
      <c r="F470" t="str">
        <f t="shared" si="8"/>
        <v>MAIN SWITCHBOARD MSB-KF-01 BUS TIE POWER DIAGRAM</v>
      </c>
    </row>
    <row r="471" spans="3:6">
      <c r="C471" t="s">
        <v>1875</v>
      </c>
      <c r="D471" t="s">
        <v>1846</v>
      </c>
      <c r="E471" t="s">
        <v>1015</v>
      </c>
      <c r="F471" t="str">
        <f t="shared" si="8"/>
        <v>MAIN SWITCHBOARD MSB-KF-01MAIN INCOMER POWER DIAGRAM</v>
      </c>
    </row>
    <row r="472" spans="3:6">
      <c r="C472" t="s">
        <v>1876</v>
      </c>
      <c r="D472" t="s">
        <v>1877</v>
      </c>
      <c r="F472" t="str">
        <f t="shared" si="8"/>
        <v>MAIN SWITCHBOARD MSB-KF-01 MSB-KF-PART-2 FEEDER POWER DIAGRAM</v>
      </c>
    </row>
    <row r="473" spans="3:6">
      <c r="C473" t="s">
        <v>1878</v>
      </c>
      <c r="D473" t="s">
        <v>1879</v>
      </c>
      <c r="F473" t="str">
        <f t="shared" si="8"/>
        <v>MAIN SWITCHBOARD MSB-KF-01 110VDC POWER SUPPLY POWER DIAGRAM</v>
      </c>
    </row>
    <row r="474" spans="3:6">
      <c r="C474" t="s">
        <v>1880</v>
      </c>
      <c r="D474" t="s">
        <v>1881</v>
      </c>
      <c r="F474" t="str">
        <f t="shared" si="8"/>
        <v>MAIN SWITCHBOARD MSB-KF-01 24VDC POWER SUPPLY POWER DIAGRAM</v>
      </c>
    </row>
    <row r="475" spans="3:6">
      <c r="C475" t="s">
        <v>1882</v>
      </c>
      <c r="D475" t="s">
        <v>1883</v>
      </c>
      <c r="F475" t="str">
        <f t="shared" si="8"/>
        <v>MAIN SWITCHBOARD MSB-KF-01 24VDC DISTRIBUTION POWER DIAGRAM</v>
      </c>
    </row>
    <row r="476" spans="3:6">
      <c r="C476" t="s">
        <v>1884</v>
      </c>
      <c r="D476" t="s">
        <v>1885</v>
      </c>
      <c r="F476" t="str">
        <f t="shared" si="8"/>
        <v>MAIN SWITCHBOARD MSB-KF-01 AUTOMATIC TRANSFER SWITCH CONTROL DIAGRAM</v>
      </c>
    </row>
    <row r="477" spans="3:6">
      <c r="C477" t="s">
        <v>1886</v>
      </c>
      <c r="D477" t="s">
        <v>1887</v>
      </c>
      <c r="F477" t="str">
        <f t="shared" si="8"/>
        <v>MAIN SWITCHBOARD MSB-KF-01 NETWORK DIAGRAM</v>
      </c>
    </row>
    <row r="478" spans="3:6">
      <c r="C478" t="s">
        <v>1888</v>
      </c>
      <c r="D478" t="s">
        <v>1889</v>
      </c>
      <c r="F478" t="str">
        <f t="shared" si="8"/>
        <v>MAIN SWITCHBOARD MSB-KF-02 DRAWING INDEX SH.1</v>
      </c>
    </row>
    <row r="479" spans="3:6">
      <c r="C479" t="s">
        <v>1890</v>
      </c>
      <c r="D479" t="s">
        <v>1891</v>
      </c>
      <c r="F479" t="str">
        <f t="shared" si="8"/>
        <v>MAIN SWITCHBOARD MSB-KF-02 DRAWING INDEX SH.2</v>
      </c>
    </row>
    <row r="480" spans="3:6">
      <c r="C480" t="s">
        <v>1892</v>
      </c>
      <c r="D480" t="s">
        <v>1893</v>
      </c>
      <c r="F480" t="str">
        <f t="shared" si="8"/>
        <v>MAIN SWITCHBOARD MSB-KF-02 SINGLE LINE DIAGRAM 1 OF 3</v>
      </c>
    </row>
    <row r="481" spans="3:6">
      <c r="C481" t="s">
        <v>1894</v>
      </c>
      <c r="D481" t="s">
        <v>1895</v>
      </c>
      <c r="F481" t="str">
        <f t="shared" si="8"/>
        <v>MAIN SWITCHBOARD MSB-KF-02 SINGLE LINE DIAGRAM 2 OF 3</v>
      </c>
    </row>
    <row r="482" spans="3:6">
      <c r="C482" t="s">
        <v>1896</v>
      </c>
      <c r="D482" t="s">
        <v>1897</v>
      </c>
      <c r="F482" t="str">
        <f t="shared" si="8"/>
        <v>MAIN SWITCHBOARD MSB-KF-02 SINGLE LINE DIAGRAM 3 OF 3</v>
      </c>
    </row>
    <row r="483" spans="3:6">
      <c r="C483" t="s">
        <v>1898</v>
      </c>
      <c r="D483" t="s">
        <v>1899</v>
      </c>
      <c r="F483" t="str">
        <f t="shared" si="8"/>
        <v>MAIN SWITCHBOARD MSB-KF-02 EXTERNAL VIEW TIERS 1-8 GENERAL ARRANGEMENT</v>
      </c>
    </row>
    <row r="484" spans="3:6">
      <c r="C484" t="s">
        <v>1900</v>
      </c>
      <c r="D484" t="s">
        <v>1901</v>
      </c>
      <c r="F484" t="str">
        <f t="shared" si="8"/>
        <v>MAIN SWITCHBOARD MSB-KF-02 EXTERNAL VIEW TIERS 9-18 GENERAL ARRANGEMENT</v>
      </c>
    </row>
    <row r="485" spans="3:6">
      <c r="C485" t="s">
        <v>1902</v>
      </c>
      <c r="D485" t="s">
        <v>1903</v>
      </c>
      <c r="F485" t="str">
        <f t="shared" si="8"/>
        <v>MAIN SWITCHBOARD MSB-KF-02 INTERNAL VIEW TIERS 1 GENERAL ARRANGEMENT</v>
      </c>
    </row>
    <row r="486" spans="3:6">
      <c r="C486" t="s">
        <v>1904</v>
      </c>
      <c r="D486" t="s">
        <v>1905</v>
      </c>
      <c r="F486" t="str">
        <f t="shared" si="8"/>
        <v>MAIN SWITCHBOARD MSB-KF-02 INTERNAL VIEW TIERS 2 GENERAL ARRANGEMENT</v>
      </c>
    </row>
    <row r="487" spans="3:6">
      <c r="C487" t="s">
        <v>1906</v>
      </c>
      <c r="D487" t="s">
        <v>1907</v>
      </c>
      <c r="F487" t="str">
        <f t="shared" si="8"/>
        <v>MAIN SWITCHBOARD MSB-KF-02 INTERNAL VIEW TIERS 3 GENERAL ARRANGEMENT</v>
      </c>
    </row>
    <row r="488" spans="3:6">
      <c r="C488" t="s">
        <v>1908</v>
      </c>
      <c r="D488" t="s">
        <v>1909</v>
      </c>
      <c r="F488" t="str">
        <f t="shared" si="8"/>
        <v>MAIN SWITCHBOARD MSB-KF-02 INTERNAL VIEW TIERS 4 GENERAL ARRANGEMENT</v>
      </c>
    </row>
    <row r="489" spans="3:6">
      <c r="C489" t="s">
        <v>1910</v>
      </c>
      <c r="D489" t="s">
        <v>1911</v>
      </c>
      <c r="F489" t="str">
        <f t="shared" si="8"/>
        <v>MAIN SWITCHBOARD MSB-KF-02 INTERNAL VIEW TIERS 5 GENERAL ARRANGEMENT</v>
      </c>
    </row>
    <row r="490" spans="3:6">
      <c r="C490" t="s">
        <v>1912</v>
      </c>
      <c r="D490" t="s">
        <v>1913</v>
      </c>
      <c r="F490" t="str">
        <f t="shared" si="8"/>
        <v>MAIN SWITCHBOARD MSB-KF-02 INTERNAL VIEW TIERS 6 GENERAL ARRANGEMENT</v>
      </c>
    </row>
    <row r="491" spans="3:6">
      <c r="C491" t="s">
        <v>1914</v>
      </c>
      <c r="D491" t="s">
        <v>1915</v>
      </c>
      <c r="F491" t="str">
        <f t="shared" si="8"/>
        <v>MAIN SWITCHBOARD MSB-KF-02 INTERNAL VIEW TIERS 7 GENERAL ARRANGEMENT</v>
      </c>
    </row>
    <row r="492" spans="3:6">
      <c r="C492" t="s">
        <v>1916</v>
      </c>
      <c r="D492" t="s">
        <v>1917</v>
      </c>
      <c r="F492" t="str">
        <f t="shared" si="8"/>
        <v>MAIN SWITCHBOARD MSB-KF-02 INTERNAL VIEW TIERS 8 &amp; 9 GENERAL ARRANGEMENT</v>
      </c>
    </row>
    <row r="493" spans="3:6">
      <c r="C493" t="s">
        <v>1918</v>
      </c>
      <c r="D493" t="s">
        <v>1919</v>
      </c>
      <c r="F493" t="str">
        <f t="shared" si="8"/>
        <v>MAIN SWITCHBOARD MSB-KF-02 INTERNAL VIEW TIERS 10 GENERAL ARRANGEMENT</v>
      </c>
    </row>
    <row r="494" spans="3:6">
      <c r="C494" t="s">
        <v>1920</v>
      </c>
      <c r="D494" t="s">
        <v>1921</v>
      </c>
      <c r="F494" t="str">
        <f t="shared" si="8"/>
        <v>MAIN SWITCHBOARD MSB-KF-02 INTERNAL VIEW TIERS 11 GENERAL ARRANGEMENT</v>
      </c>
    </row>
    <row r="495" spans="3:6">
      <c r="C495" t="s">
        <v>1922</v>
      </c>
      <c r="D495" t="s">
        <v>1923</v>
      </c>
      <c r="F495" t="str">
        <f t="shared" si="8"/>
        <v>MAIN SWITCHBOARD MSB-KF-02 INTERNAL VIEW TIERS 12 GENERAL ARRANGEMENT</v>
      </c>
    </row>
    <row r="496" spans="3:6">
      <c r="C496" t="s">
        <v>1924</v>
      </c>
      <c r="D496" t="s">
        <v>1925</v>
      </c>
      <c r="F496" t="str">
        <f t="shared" si="8"/>
        <v>MAIN SWITCHBOARD MSB-KF-02 INTERNAL VIEW TIERS 13 GENERAL ARRANGEMENT</v>
      </c>
    </row>
    <row r="497" spans="3:6">
      <c r="C497" t="s">
        <v>1926</v>
      </c>
      <c r="D497" t="s">
        <v>1927</v>
      </c>
      <c r="F497" t="str">
        <f t="shared" si="8"/>
        <v>MAIN SWITCHBOARD MSB-KF-02 INTERNAL VIEW TIERS 14 &amp; 15 GENERAL ARRANGEMENT</v>
      </c>
    </row>
    <row r="498" spans="3:6">
      <c r="C498" t="s">
        <v>1928</v>
      </c>
      <c r="D498" t="s">
        <v>1929</v>
      </c>
      <c r="F498" t="str">
        <f t="shared" si="8"/>
        <v>MAIN SWITCHBOARD MSB-KF-02 INTERNAL VIEW TIERS 16 GENERAL ARRANGEMENT</v>
      </c>
    </row>
    <row r="499" spans="3:6">
      <c r="C499" t="s">
        <v>1930</v>
      </c>
      <c r="D499" t="s">
        <v>1931</v>
      </c>
      <c r="F499" t="str">
        <f t="shared" si="8"/>
        <v>MAIN SWITCHBOARD MSB-KF-02 INTERNAL VIEW TIERS 17 &amp; 18 GENERAL ARRANGEMENT</v>
      </c>
    </row>
    <row r="500" spans="3:6">
      <c r="C500" t="s">
        <v>1932</v>
      </c>
      <c r="D500" t="s">
        <v>1933</v>
      </c>
      <c r="F500" t="str">
        <f t="shared" si="8"/>
        <v>MAIN SWITCHBOARD MSB-KF-02 EXTERNAL REAR VIEW TIERS GENERAL ARRANGEMENT</v>
      </c>
    </row>
    <row r="501" spans="3:6">
      <c r="C501" t="s">
        <v>1934</v>
      </c>
      <c r="D501" t="s">
        <v>1935</v>
      </c>
      <c r="F501" t="str">
        <f t="shared" si="8"/>
        <v>MAIN SWITCHBOARD MSB-KF-02 PLINTH DETAILS GENERAL ARRANGEMENT 1 OF 2</v>
      </c>
    </row>
    <row r="502" spans="3:6">
      <c r="C502" t="s">
        <v>1936</v>
      </c>
      <c r="D502" t="s">
        <v>1937</v>
      </c>
      <c r="F502" t="str">
        <f t="shared" si="8"/>
        <v>MAIN SWITCHBOARD MSB-KF-02 PLINTH DETAILS GENERAL ARRANGEMENT 2 OF 2</v>
      </c>
    </row>
    <row r="503" spans="3:6">
      <c r="C503" t="s">
        <v>1938</v>
      </c>
      <c r="D503" t="s">
        <v>1939</v>
      </c>
      <c r="F503" t="str">
        <f t="shared" si="8"/>
        <v>MAIN SWITCHBOARD MSB-KF-02 BILL OF MATERIALS 1 OF 5</v>
      </c>
    </row>
    <row r="504" spans="3:6">
      <c r="C504" t="s">
        <v>1940</v>
      </c>
      <c r="F504" t="str">
        <f t="shared" si="8"/>
        <v/>
      </c>
    </row>
    <row r="505" spans="3:6">
      <c r="C505" t="s">
        <v>1941</v>
      </c>
      <c r="D505" t="s">
        <v>1942</v>
      </c>
      <c r="F505" t="str">
        <f t="shared" si="8"/>
        <v>MAIN SWITCHBOARD MSB-KF-02 BILL OF MATERIALS 2 OF 5</v>
      </c>
    </row>
    <row r="506" spans="3:6">
      <c r="C506" t="s">
        <v>1943</v>
      </c>
      <c r="D506" t="s">
        <v>1944</v>
      </c>
      <c r="F506" t="str">
        <f t="shared" si="8"/>
        <v>MAIN SWITCHBOARD MSB-KF-02 BILL OF MATERIALS 3 OF 5</v>
      </c>
    </row>
    <row r="507" spans="3:6">
      <c r="C507" t="s">
        <v>1945</v>
      </c>
      <c r="D507" t="s">
        <v>1946</v>
      </c>
      <c r="F507" t="str">
        <f t="shared" si="8"/>
        <v>MAIN SWITCHBOARD MSB-KF-02 BILL OF MATERIALS 4 OF 5</v>
      </c>
    </row>
    <row r="508" spans="3:6">
      <c r="C508" t="s">
        <v>1947</v>
      </c>
      <c r="D508" t="s">
        <v>1948</v>
      </c>
      <c r="F508" t="str">
        <f t="shared" si="8"/>
        <v>MAIN SWITCHBOARD MSB-KF-02 BILL OF MATERIALS 5 OF 5</v>
      </c>
    </row>
    <row r="509" spans="3:6">
      <c r="C509" t="s">
        <v>1949</v>
      </c>
      <c r="D509" t="s">
        <v>1950</v>
      </c>
      <c r="F509" t="str">
        <f t="shared" si="8"/>
        <v>MAIN SWITCHBOARD MSB-KF-02 1F MSB-KF-02 CHILLER SECTION LABEL SCHEDULE</v>
      </c>
    </row>
    <row r="510" spans="3:6">
      <c r="C510" t="s">
        <v>1951</v>
      </c>
      <c r="D510" t="s">
        <v>1952</v>
      </c>
      <c r="F510" t="str">
        <f t="shared" si="8"/>
        <v>MAIN SWITCHBOARD MSB-KF-02 2F MSB-KF-02 SECOND FEED SECTION LABEL SCHEDULE</v>
      </c>
    </row>
    <row r="511" spans="3:6">
      <c r="C511" t="s">
        <v>1953</v>
      </c>
      <c r="D511" t="s">
        <v>1954</v>
      </c>
      <c r="F511" t="str">
        <f t="shared" si="8"/>
        <v>MAIN SWITCHBOARD MSB-KF-02 3F-4F-5F LGT, PWR, &amp; MCC SECTIONS LABEL SCHEDULE</v>
      </c>
    </row>
    <row r="512" spans="3:6">
      <c r="C512" t="s">
        <v>1955</v>
      </c>
      <c r="D512" t="s">
        <v>1956</v>
      </c>
      <c r="F512" t="str">
        <f t="shared" si="8"/>
        <v>MAIN SWITCHBOARD MSB-KF-02 6F-7F HYPER DH &amp; BUS TIE SECTIONS LABEL SCHEDULE</v>
      </c>
    </row>
    <row r="513" spans="3:6">
      <c r="C513" t="s">
        <v>1957</v>
      </c>
      <c r="D513" t="s">
        <v>1958</v>
      </c>
      <c r="F513" t="str">
        <f t="shared" si="8"/>
        <v>MAIN SWITCHBOARD MSB-KF-02 8F-9F MSB-KF-02 SECTIONS LABEL SCHEDULE</v>
      </c>
    </row>
    <row r="514" spans="3:6">
      <c r="C514" t="s">
        <v>1959</v>
      </c>
      <c r="D514" t="s">
        <v>1960</v>
      </c>
      <c r="F514" t="str">
        <f t="shared" si="8"/>
        <v>MAIN SWITCHBOARD MSB-KF-02 10F-13F MSB-KF-02 SECTIONS LABEL SCHEDULE</v>
      </c>
    </row>
    <row r="515" spans="3:6">
      <c r="C515" t="s">
        <v>1961</v>
      </c>
      <c r="D515" t="s">
        <v>1962</v>
      </c>
      <c r="F515" t="str">
        <f t="shared" si="8"/>
        <v>MAIN SWITCHBOARD MSB-KF-02 11F-12F-14F UPS INCOMMERS SECTIONS LABEL SCHEDULE</v>
      </c>
    </row>
    <row r="516" spans="3:6">
      <c r="C516" t="s">
        <v>1963</v>
      </c>
      <c r="D516" t="s">
        <v>1964</v>
      </c>
      <c r="F516" t="str">
        <f t="shared" si="8"/>
        <v>MAIN SWITCHBOARD MSB-KF-02 15F-16F USP FEEDERS SECTIONS LABEL SCHEDULE</v>
      </c>
    </row>
    <row r="517" spans="3:6">
      <c r="C517" t="s">
        <v>1965</v>
      </c>
      <c r="D517" t="s">
        <v>1966</v>
      </c>
      <c r="F517" t="str">
        <f t="shared" si="8"/>
        <v>MAIN SWITCHBOARD MSB-KF-02 17F-18F UPS FIRE SERVICES SECTIONS LABEL SCHEDULE</v>
      </c>
    </row>
    <row r="518" spans="3:6">
      <c r="C518" t="s">
        <v>1967</v>
      </c>
      <c r="D518" t="s">
        <v>1968</v>
      </c>
      <c r="E518" t="s">
        <v>1015</v>
      </c>
      <c r="F518" t="str">
        <f t="shared" si="8"/>
        <v>MAIN SWITCHBOARD MSB-KF-02MAIN INCOMER POWER DIAGRAM</v>
      </c>
    </row>
    <row r="519" spans="3:6">
      <c r="C519" t="s">
        <v>1969</v>
      </c>
      <c r="D519" t="s">
        <v>1968</v>
      </c>
      <c r="E519" t="s">
        <v>1109</v>
      </c>
      <c r="F519" t="str">
        <f t="shared" si="8"/>
        <v>MAIN SWITCHBOARD MSB-KF-02MAIN BUS POWER DIAGRAM</v>
      </c>
    </row>
    <row r="520" spans="3:6">
      <c r="C520" t="s">
        <v>1970</v>
      </c>
      <c r="D520" t="s">
        <v>1971</v>
      </c>
      <c r="F520" t="str">
        <f t="shared" si="8"/>
        <v>MAIN SWITCHBOARD MSB-KF-02 HYPER DH BRANCH FEEDER POWER DIAGRAM</v>
      </c>
    </row>
    <row r="521" spans="3:6">
      <c r="C521" t="s">
        <v>1972</v>
      </c>
      <c r="D521" t="s">
        <v>1973</v>
      </c>
      <c r="F521" t="str">
        <f t="shared" si="8"/>
        <v>MAIN SWITCHBOARD MSB-KF-02 MCC-X CHILLER FEEDERS POWER DIAGRAM</v>
      </c>
    </row>
    <row r="522" spans="3:6">
      <c r="C522" t="s">
        <v>1974</v>
      </c>
      <c r="D522" t="s">
        <v>1968</v>
      </c>
      <c r="E522" t="s">
        <v>1115</v>
      </c>
      <c r="F522" t="str">
        <f t="shared" ref="F522:F537" si="9">_xlfn.CONCAT(D522,E522)</f>
        <v>MAIN SWITCHBOARD MSB-KF-02MAIN DISTRIBUTION POWER DIAGRAM 1 OF 3</v>
      </c>
    </row>
    <row r="523" spans="3:6">
      <c r="C523" t="s">
        <v>1975</v>
      </c>
      <c r="D523" t="s">
        <v>1968</v>
      </c>
      <c r="E523" t="s">
        <v>1117</v>
      </c>
      <c r="F523" t="str">
        <f t="shared" si="9"/>
        <v>MAIN SWITCHBOARD MSB-KF-02MAIN DISTRIBUTION POWER DIAGRAM 2 OF 3</v>
      </c>
    </row>
    <row r="524" spans="3:6">
      <c r="C524" t="s">
        <v>1976</v>
      </c>
      <c r="D524" t="s">
        <v>1968</v>
      </c>
      <c r="E524" t="s">
        <v>1119</v>
      </c>
      <c r="F524" t="str">
        <f t="shared" si="9"/>
        <v>MAIN SWITCHBOARD MSB-KF-02MAIN DISTRIBUTION POWER DIAGRAM 3 OF 3</v>
      </c>
    </row>
    <row r="525" spans="3:6">
      <c r="C525" t="s">
        <v>1977</v>
      </c>
      <c r="D525" t="s">
        <v>1978</v>
      </c>
      <c r="F525" t="str">
        <f t="shared" si="9"/>
        <v>MAIN SWITCHBOARD MSB-KF-02 BUS TIE POWER DIAGRAM</v>
      </c>
    </row>
    <row r="526" spans="3:6">
      <c r="C526" t="s">
        <v>1979</v>
      </c>
      <c r="D526" t="s">
        <v>1980</v>
      </c>
      <c r="F526" t="str">
        <f t="shared" si="9"/>
        <v>MAIN SWITCHBOARD MSB-KF-02 UPS DISTRIBUTION POWER DIAGRAM</v>
      </c>
    </row>
    <row r="527" spans="3:6">
      <c r="C527" t="s">
        <v>1981</v>
      </c>
      <c r="D527" t="s">
        <v>1982</v>
      </c>
      <c r="F527" t="str">
        <f t="shared" si="9"/>
        <v>MAIN SWITCHBOARD MSB-KF-02 LOAD BANK FEEDER POWER DIAGRAM</v>
      </c>
    </row>
    <row r="528" spans="3:6">
      <c r="C528" t="s">
        <v>1983</v>
      </c>
      <c r="D528" t="s">
        <v>1984</v>
      </c>
      <c r="F528" t="str">
        <f t="shared" si="9"/>
        <v>MAIN SWITCHBOARD MSB-KF-02 UPS-X1 INCOMER POWER DIAGRAM</v>
      </c>
    </row>
    <row r="529" spans="3:6">
      <c r="C529" t="s">
        <v>1985</v>
      </c>
      <c r="D529" t="s">
        <v>1986</v>
      </c>
      <c r="F529" t="str">
        <f t="shared" si="9"/>
        <v>MAIN SWITCHBOARD MSB-KF-02 UPS-X2 INCOMER POWER DIAGRAM</v>
      </c>
    </row>
    <row r="530" spans="3:6">
      <c r="C530" t="s">
        <v>1987</v>
      </c>
      <c r="D530" t="s">
        <v>1988</v>
      </c>
      <c r="F530" t="str">
        <f t="shared" si="9"/>
        <v>MAIN SWITCHBOARD MSB-KF-02 ESSENTIAL SERVICES POWER DIAGRAM 1 OF 2</v>
      </c>
    </row>
    <row r="531" spans="3:6">
      <c r="C531" t="s">
        <v>1989</v>
      </c>
      <c r="D531" t="s">
        <v>1990</v>
      </c>
      <c r="F531" t="str">
        <f t="shared" si="9"/>
        <v>MAIN SWITCHBOARD MSB-KF-02 ESSENTIAL SERVICES POWER DIAGRAM 2 OF 2</v>
      </c>
    </row>
    <row r="532" spans="3:6">
      <c r="C532" t="s">
        <v>1991</v>
      </c>
      <c r="D532" t="s">
        <v>1992</v>
      </c>
      <c r="F532" t="str">
        <f t="shared" si="9"/>
        <v>MAIN SWITCHBOARD MSB-KF-02 UPS FEEDERS POWER DIAGRAM</v>
      </c>
    </row>
    <row r="533" spans="3:6">
      <c r="C533" t="s">
        <v>1993</v>
      </c>
      <c r="D533" t="s">
        <v>1994</v>
      </c>
      <c r="F533" t="str">
        <f t="shared" si="9"/>
        <v>MAIN SWITCHBOARD MSB-KF-02 110VDC POWER SUPPLY POWER DIAGRAM</v>
      </c>
    </row>
    <row r="534" spans="3:6">
      <c r="C534" t="s">
        <v>1995</v>
      </c>
      <c r="D534" t="s">
        <v>1996</v>
      </c>
      <c r="F534" t="str">
        <f t="shared" si="9"/>
        <v>MAIN SWITCHBOARD MSB-KF-02 24VDC POWER SUPPLY POWER DIAGRAM 1 OF 2</v>
      </c>
    </row>
    <row r="535" spans="3:6">
      <c r="C535" t="s">
        <v>1997</v>
      </c>
      <c r="D535" t="s">
        <v>1998</v>
      </c>
      <c r="F535" t="str">
        <f t="shared" si="9"/>
        <v>MAIN SWITCHBOARD MSB-KF-02 24VDC POWER SUPPLY POWER DIAGRAM 2 OF 2</v>
      </c>
    </row>
    <row r="536" spans="3:6">
      <c r="C536" t="s">
        <v>1999</v>
      </c>
      <c r="D536" t="s">
        <v>2000</v>
      </c>
      <c r="F536" t="str">
        <f t="shared" si="9"/>
        <v>MAIN SWITCHBOARD MSB-KF-02 CL KEY SWITCH 20A 2NO 2NC FOR UPS BOARD</v>
      </c>
    </row>
    <row r="537" spans="3:6">
      <c r="C537" t="s">
        <v>2001</v>
      </c>
      <c r="D537" t="s">
        <v>2002</v>
      </c>
      <c r="F537" t="str">
        <f t="shared" si="9"/>
        <v>MAIN SWITCHBOARD MSB-KF-02 ENERLIN'X COMMS NETWORK DIAGRAM</v>
      </c>
    </row>
    <row r="538" spans="3:6">
      <c r="C538" t="s">
        <v>2003</v>
      </c>
    </row>
  </sheetData>
  <sortState ref="C3:C538">
    <sortCondition ref="C3"/>
  </sortState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F18"/>
  <sheetViews>
    <sheetView topLeftCell="A4" workbookViewId="0">
      <selection activeCell="C15" sqref="C15:F18"/>
    </sheetView>
  </sheetViews>
  <sheetFormatPr defaultColWidth="8.66666666666667" defaultRowHeight="14" outlineLevelCol="5"/>
  <cols>
    <col min="3" max="3" width="27.3333333333333" style="81" customWidth="1"/>
    <col min="4" max="4" width="14.5" style="64" customWidth="1"/>
    <col min="5" max="5" width="11.3333333333333" style="64" customWidth="1"/>
    <col min="6" max="6" width="12.5833333333333" style="64" customWidth="1"/>
  </cols>
  <sheetData>
    <row r="4" spans="3:6">
      <c r="C4" s="82" t="s">
        <v>2004</v>
      </c>
    </row>
    <row r="5" spans="3:6">
      <c r="C5" s="83" t="s">
        <v>2005</v>
      </c>
      <c r="D5" s="84" t="s">
        <v>2006</v>
      </c>
      <c r="E5" s="85" t="s">
        <v>2007</v>
      </c>
      <c r="F5" s="84" t="s">
        <v>2008</v>
      </c>
    </row>
    <row r="6" spans="3:6">
      <c r="C6" s="86" t="s">
        <v>2009</v>
      </c>
      <c r="D6" s="71" t="s">
        <v>2010</v>
      </c>
      <c r="E6" s="73" t="s">
        <v>2011</v>
      </c>
      <c r="F6" s="71" t="s">
        <v>2012</v>
      </c>
    </row>
    <row r="7" spans="3:6">
      <c r="C7" s="86" t="s">
        <v>2013</v>
      </c>
      <c r="D7" s="71" t="s">
        <v>2011</v>
      </c>
      <c r="E7" s="73" t="s">
        <v>2012</v>
      </c>
      <c r="F7" s="71" t="s">
        <v>2014</v>
      </c>
    </row>
    <row r="8" spans="3:6">
      <c r="C8" s="87" t="s">
        <v>2015</v>
      </c>
      <c r="D8" s="71" t="s">
        <v>2010</v>
      </c>
      <c r="E8" s="73" t="s">
        <v>2011</v>
      </c>
      <c r="F8" s="71" t="s">
        <v>2012</v>
      </c>
    </row>
    <row r="9" spans="3:6">
      <c r="C9" s="86" t="s">
        <v>2016</v>
      </c>
      <c r="D9" s="71" t="s">
        <v>2011</v>
      </c>
      <c r="E9" s="73" t="s">
        <v>2012</v>
      </c>
      <c r="F9" s="71" t="s">
        <v>2014</v>
      </c>
    </row>
    <row r="10" spans="3:6">
      <c r="C10" s="86" t="s">
        <v>2017</v>
      </c>
      <c r="D10" s="71" t="s">
        <v>2014</v>
      </c>
      <c r="E10" s="73" t="s">
        <v>2018</v>
      </c>
      <c r="F10" s="71" t="s">
        <v>2019</v>
      </c>
    </row>
    <row r="11" spans="3:6">
      <c r="C11" s="87" t="s">
        <v>2020</v>
      </c>
      <c r="D11" s="71" t="s">
        <v>2021</v>
      </c>
      <c r="E11" s="73" t="s">
        <v>2022</v>
      </c>
      <c r="F11" s="71" t="s">
        <v>2010</v>
      </c>
    </row>
    <row r="15" spans="3:6">
      <c r="C15" s="88" t="s">
        <v>2023</v>
      </c>
      <c r="D15" s="89" t="s">
        <v>2024</v>
      </c>
    </row>
    <row r="16" spans="3:6">
      <c r="C16" s="90" t="s">
        <v>2025</v>
      </c>
      <c r="D16" s="91" t="s">
        <v>2026</v>
      </c>
    </row>
    <row r="17" spans="3:4">
      <c r="C17" s="90" t="s">
        <v>2027</v>
      </c>
      <c r="D17" s="91" t="s">
        <v>2028</v>
      </c>
    </row>
    <row r="18" spans="3:4">
      <c r="C18" s="90" t="s">
        <v>2029</v>
      </c>
      <c r="D18" s="92" t="s">
        <v>2030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G17"/>
  <sheetViews>
    <sheetView workbookViewId="0">
      <selection activeCell="E14" sqref="E14"/>
    </sheetView>
  </sheetViews>
  <sheetFormatPr defaultColWidth="8.66666666666667" defaultRowHeight="14" outlineLevelCol="6"/>
  <cols>
    <col min="1" max="1" width="14.7583333333333" customWidth="1"/>
    <col min="2" max="3" width="8.66666666666667" style="64"/>
    <col min="4" max="4" width="16.8333333333333" style="64" customWidth="1"/>
    <col min="5" max="5" width="13.9166666666667" style="64" customWidth="1"/>
    <col min="6" max="8" width="8.66666666666667" style="64"/>
  </cols>
  <sheetData>
    <row r="5" s="67" customFormat="1" ht="25" customHeight="1" spans="1:7">
      <c r="A5" s="68"/>
      <c r="B5" s="69" t="s">
        <v>2031</v>
      </c>
      <c r="C5" s="69" t="s">
        <v>908</v>
      </c>
      <c r="D5" s="69" t="s">
        <v>2032</v>
      </c>
      <c r="E5" s="69" t="s">
        <v>2033</v>
      </c>
      <c r="F5" s="69" t="s">
        <v>2034</v>
      </c>
      <c r="G5" s="69" t="s">
        <v>2035</v>
      </c>
    </row>
    <row r="6" ht="24" customHeight="1" spans="1:7">
      <c r="A6" s="70" t="s">
        <v>2036</v>
      </c>
      <c r="B6" s="71" t="s">
        <v>2037</v>
      </c>
      <c r="C6" s="71" t="s">
        <v>2038</v>
      </c>
      <c r="D6" s="71" t="s">
        <v>2039</v>
      </c>
      <c r="E6" s="71" t="s">
        <v>2040</v>
      </c>
      <c r="F6" s="200" t="s">
        <v>2041</v>
      </c>
      <c r="G6" s="73" t="s">
        <v>2042</v>
      </c>
    </row>
    <row r="7" spans="1:7">
      <c r="A7" s="70"/>
      <c r="B7" s="71"/>
      <c r="C7" s="71"/>
      <c r="D7" s="71"/>
      <c r="E7" s="71"/>
      <c r="F7" s="72"/>
      <c r="G7" s="73"/>
    </row>
    <row r="8" spans="1:7">
      <c r="A8" s="70" t="s">
        <v>2043</v>
      </c>
      <c r="B8" s="71" t="s">
        <v>2037</v>
      </c>
      <c r="C8" s="71" t="s">
        <v>2038</v>
      </c>
      <c r="D8" s="71" t="s">
        <v>2039</v>
      </c>
      <c r="E8" s="71" t="s">
        <v>2044</v>
      </c>
      <c r="F8" s="200" t="s">
        <v>2041</v>
      </c>
      <c r="G8" s="73" t="s">
        <v>2042</v>
      </c>
    </row>
    <row r="11" ht="14.75"/>
    <row r="12" spans="1:7">
      <c r="A12" s="74" t="s">
        <v>2045</v>
      </c>
      <c r="B12" s="75"/>
      <c r="C12" s="75"/>
      <c r="D12" s="76"/>
    </row>
    <row r="13" spans="1:7">
      <c r="A13" s="77"/>
      <c r="D13" s="78"/>
    </row>
    <row r="14" spans="1:7">
      <c r="A14" s="70" t="s">
        <v>2046</v>
      </c>
      <c r="B14" s="200" t="s">
        <v>2041</v>
      </c>
      <c r="D14" s="78"/>
    </row>
    <row r="15" spans="1:7">
      <c r="A15" s="70" t="s">
        <v>2047</v>
      </c>
      <c r="B15" s="200" t="s">
        <v>2048</v>
      </c>
      <c r="D15" s="78"/>
    </row>
    <row r="16" spans="1:7">
      <c r="A16" s="70" t="s">
        <v>2049</v>
      </c>
      <c r="B16" s="72">
        <v>1001</v>
      </c>
      <c r="D16" s="78"/>
    </row>
    <row r="17" ht="14.75" spans="1:4">
      <c r="A17" s="70" t="s">
        <v>2050</v>
      </c>
      <c r="B17" s="72">
        <v>1101</v>
      </c>
      <c r="C17" s="79"/>
      <c r="D17" s="80"/>
    </row>
  </sheetData>
  <pageMargins left="0.75" right="0.75" top="1" bottom="1" header="0.5" footer="0.5"/>
  <headerFooter/>
  <ignoredErrors>
    <ignoredError sqref="F6:F8 B14:B18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22"/>
  <sheetViews>
    <sheetView zoomScale="70" zoomScaleNormal="70" topLeftCell="A5" workbookViewId="0">
      <selection activeCell="I14" sqref="I14"/>
    </sheetView>
  </sheetViews>
  <sheetFormatPr defaultColWidth="8.66666666666667" defaultRowHeight="14" outlineLevelCol="6"/>
  <cols>
    <col min="1" max="2" width="5.10833333333333" customWidth="1"/>
    <col min="3" max="3" width="29.0833333333333" style="55" customWidth="1"/>
    <col min="4" max="4" width="25.825" style="55" customWidth="1"/>
  </cols>
  <sheetData>
    <row r="3" spans="3:7">
      <c r="C3" s="56" t="s">
        <v>2051</v>
      </c>
      <c r="D3" s="57" t="s">
        <v>2052</v>
      </c>
    </row>
    <row r="4" spans="3:7">
      <c r="C4" s="56" t="s">
        <v>2053</v>
      </c>
      <c r="D4" s="57" t="s">
        <v>2052</v>
      </c>
    </row>
    <row r="5" spans="3:7">
      <c r="C5" s="56" t="s">
        <v>2054</v>
      </c>
      <c r="D5" s="57" t="s">
        <v>2052</v>
      </c>
    </row>
    <row r="6" spans="3:7">
      <c r="C6" s="56" t="s">
        <v>2055</v>
      </c>
      <c r="D6" s="57" t="s">
        <v>2052</v>
      </c>
    </row>
    <row r="7" spans="3:7">
      <c r="C7" s="56" t="s">
        <v>2056</v>
      </c>
      <c r="D7" s="57" t="s">
        <v>2052</v>
      </c>
    </row>
    <row r="8" spans="3:7">
      <c r="C8" s="56" t="s">
        <v>2057</v>
      </c>
      <c r="D8" s="57" t="s">
        <v>2052</v>
      </c>
    </row>
    <row r="9" spans="3:7">
      <c r="C9" s="56" t="s">
        <v>2058</v>
      </c>
      <c r="D9" s="57" t="s">
        <v>2052</v>
      </c>
    </row>
    <row r="10" spans="3:7">
      <c r="C10" s="58"/>
      <c r="D10" s="58"/>
    </row>
    <row r="11" spans="3:7">
      <c r="C11" s="58"/>
      <c r="D11" s="58"/>
    </row>
    <row r="12" ht="27" customHeight="1" spans="3:7">
      <c r="C12" s="59" t="s">
        <v>2025</v>
      </c>
      <c r="D12" s="60" t="s">
        <v>2059</v>
      </c>
    </row>
    <row r="13" spans="3:7">
      <c r="C13" s="59" t="s">
        <v>2027</v>
      </c>
      <c r="D13" s="61" t="s">
        <v>2059</v>
      </c>
    </row>
    <row r="14" spans="3:7">
      <c r="C14" s="58"/>
      <c r="D14" s="58"/>
    </row>
    <row r="15" spans="3:7">
      <c r="C15" s="58"/>
      <c r="D15" s="58"/>
    </row>
    <row r="16" spans="3:7">
      <c r="C16" s="57" t="s">
        <v>2060</v>
      </c>
      <c r="D16" s="62" t="s">
        <v>2061</v>
      </c>
      <c r="G16" s="58"/>
    </row>
    <row r="17" spans="3:7">
      <c r="C17" s="57" t="s">
        <v>2062</v>
      </c>
      <c r="D17" s="63"/>
    </row>
    <row r="18" spans="3:7">
      <c r="C18" s="58"/>
      <c r="D18" s="58"/>
      <c r="G18" s="64"/>
    </row>
    <row r="19" spans="3:7">
      <c r="C19" s="58"/>
      <c r="D19" s="58"/>
    </row>
    <row r="20" spans="3:7">
      <c r="C20" s="65" t="s">
        <v>2029</v>
      </c>
      <c r="D20" s="66" t="s">
        <v>2063</v>
      </c>
    </row>
    <row r="21" spans="3:7">
      <c r="C21" s="57" t="s">
        <v>2064</v>
      </c>
      <c r="D21" s="57" t="s">
        <v>2065</v>
      </c>
    </row>
    <row r="22" spans="3:7">
      <c r="C22" s="57" t="s">
        <v>2066</v>
      </c>
      <c r="D22" s="57" t="s">
        <v>2067</v>
      </c>
    </row>
  </sheetData>
  <autoFilter xmlns:etc="http://www.wps.cn/officeDocument/2017/etCustomData" ref="C3:D22" etc:filterBottomFollowUsedRange="0">
    <extLst/>
  </autoFilter>
  <mergeCells count="1">
    <mergeCell ref="D16:D17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5"/>
  <sheetViews>
    <sheetView zoomScale="55" zoomScaleNormal="55" topLeftCell="A10" workbookViewId="0">
      <selection activeCell="G13" sqref="G13"/>
    </sheetView>
  </sheetViews>
  <sheetFormatPr defaultColWidth="8.875" defaultRowHeight="30" customHeight="1"/>
  <cols>
    <col min="1" max="1" width="31" style="3" customWidth="1"/>
    <col min="2" max="3" width="18.875" style="3" customWidth="1"/>
    <col min="4" max="4" width="23.5" style="3" customWidth="1"/>
    <col min="5" max="5" width="28" style="4" customWidth="1"/>
    <col min="6" max="6" width="1.625" style="3" customWidth="1"/>
    <col min="7" max="7" width="31" style="3" customWidth="1"/>
    <col min="8" max="8" width="30.5" style="3" customWidth="1"/>
    <col min="9" max="9" width="25.125" style="3" customWidth="1"/>
    <col min="10" max="10" width="27.5" style="3" customWidth="1"/>
    <col min="11" max="16384" width="8.875" style="3"/>
  </cols>
  <sheetData>
    <row r="1" s="1" customFormat="1" customHeight="1" spans="1:10">
      <c r="A1" s="5" t="s">
        <v>0</v>
      </c>
      <c r="B1" s="5"/>
      <c r="C1" s="5"/>
      <c r="D1" s="5"/>
      <c r="E1" s="6"/>
      <c r="F1" s="5"/>
      <c r="G1" s="5"/>
      <c r="H1" s="5"/>
      <c r="I1" s="5"/>
      <c r="J1" s="5"/>
    </row>
    <row r="2" s="1" customFormat="1" customHeight="1" spans="1:10">
      <c r="A2" s="7" t="s">
        <v>1</v>
      </c>
      <c r="B2" s="8">
        <v>46080</v>
      </c>
      <c r="C2" s="8"/>
      <c r="D2" s="9"/>
      <c r="E2" s="10"/>
      <c r="F2" s="9"/>
      <c r="G2" s="11"/>
      <c r="H2" s="11"/>
      <c r="I2" s="11" t="s">
        <v>2</v>
      </c>
      <c r="J2" s="12" t="s">
        <v>3</v>
      </c>
    </row>
    <row r="3" s="1" customFormat="1" ht="9" customHeight="1" spans="1:10">
      <c r="A3" s="13"/>
      <c r="B3" s="14"/>
      <c r="C3" s="14"/>
      <c r="D3" s="14"/>
      <c r="E3" s="15"/>
      <c r="F3" s="14"/>
      <c r="G3" s="14"/>
      <c r="H3" s="14"/>
      <c r="I3" s="14"/>
      <c r="J3" s="16"/>
    </row>
    <row r="4" s="1" customFormat="1" customHeight="1" spans="1:10">
      <c r="A4" s="17" t="s">
        <v>4</v>
      </c>
      <c r="B4" s="18"/>
      <c r="C4" s="18"/>
      <c r="D4" s="18"/>
      <c r="E4" s="19"/>
      <c r="F4" s="20"/>
      <c r="G4" s="21" t="s">
        <v>5</v>
      </c>
      <c r="H4" s="22"/>
      <c r="I4" s="22"/>
      <c r="J4" s="23" t="s">
        <v>6</v>
      </c>
    </row>
    <row r="5" s="2" customFormat="1" customHeight="1" spans="1:10">
      <c r="A5" s="24" t="s">
        <v>7</v>
      </c>
      <c r="B5" s="25" t="s">
        <v>8</v>
      </c>
      <c r="C5" s="26" t="s">
        <v>9</v>
      </c>
      <c r="D5" s="26" t="s">
        <v>10</v>
      </c>
      <c r="E5" s="27" t="s">
        <v>6</v>
      </c>
      <c r="F5" s="28"/>
      <c r="G5" s="24" t="s">
        <v>7</v>
      </c>
      <c r="H5" s="25" t="s">
        <v>11</v>
      </c>
      <c r="I5" s="26" t="s">
        <v>10</v>
      </c>
      <c r="J5" s="29"/>
    </row>
    <row r="6" customHeight="1" spans="1:10">
      <c r="A6" s="30" t="s">
        <v>2068</v>
      </c>
      <c r="B6" s="31">
        <v>6</v>
      </c>
      <c r="C6" s="31"/>
      <c r="D6" s="31"/>
      <c r="E6" s="32"/>
      <c r="F6" s="33"/>
      <c r="G6" s="30" t="s">
        <v>2069</v>
      </c>
      <c r="H6" s="31">
        <v>4</v>
      </c>
      <c r="I6" s="34"/>
      <c r="J6" s="35"/>
    </row>
    <row r="7" customHeight="1" spans="1:10">
      <c r="A7" s="30" t="s">
        <v>2070</v>
      </c>
      <c r="B7" s="31">
        <v>15</v>
      </c>
      <c r="C7" s="31"/>
      <c r="D7" s="31"/>
      <c r="E7" s="32"/>
      <c r="F7" s="36"/>
      <c r="G7" s="37" t="s">
        <v>2071</v>
      </c>
      <c r="H7" s="31">
        <v>259</v>
      </c>
      <c r="I7" s="34"/>
      <c r="J7" s="35"/>
    </row>
    <row r="8" customHeight="1" spans="1:10">
      <c r="A8" s="30" t="s">
        <v>2072</v>
      </c>
      <c r="B8" s="31">
        <v>36</v>
      </c>
      <c r="C8" s="31"/>
      <c r="D8" s="31"/>
      <c r="E8" s="32"/>
      <c r="F8" s="36"/>
      <c r="G8" s="37" t="s">
        <v>2073</v>
      </c>
      <c r="H8" s="31">
        <v>52</v>
      </c>
      <c r="I8" s="34"/>
      <c r="J8" s="35"/>
    </row>
    <row r="9" customHeight="1" spans="1:10">
      <c r="A9" s="30" t="s">
        <v>2074</v>
      </c>
      <c r="B9" s="31">
        <v>25</v>
      </c>
      <c r="C9" s="31"/>
      <c r="D9" s="31"/>
      <c r="E9" s="32"/>
      <c r="F9" s="36"/>
      <c r="G9" s="37" t="s">
        <v>2075</v>
      </c>
      <c r="H9" s="31">
        <v>45</v>
      </c>
      <c r="I9" s="34"/>
      <c r="J9" s="35"/>
    </row>
    <row r="10" customHeight="1" spans="1:10">
      <c r="A10" s="30" t="s">
        <v>2076</v>
      </c>
      <c r="B10" s="38">
        <v>7</v>
      </c>
      <c r="C10" s="31"/>
      <c r="D10" s="31"/>
      <c r="E10" s="32"/>
      <c r="F10" s="36"/>
      <c r="G10" s="30"/>
      <c r="H10" s="31"/>
      <c r="I10" s="34"/>
      <c r="J10" s="35"/>
    </row>
    <row r="11" customHeight="1" spans="1:10">
      <c r="A11" s="30"/>
      <c r="B11" s="38"/>
      <c r="C11" s="31"/>
      <c r="D11" s="34"/>
      <c r="E11" s="32"/>
      <c r="F11" s="39"/>
      <c r="G11" s="30"/>
      <c r="H11" s="31"/>
      <c r="I11" s="34"/>
      <c r="J11" s="35"/>
    </row>
    <row r="12" customHeight="1" spans="1:10">
      <c r="A12" s="30"/>
      <c r="B12" s="31"/>
      <c r="C12" s="31"/>
      <c r="D12" s="31"/>
      <c r="E12" s="32"/>
      <c r="F12" s="36"/>
      <c r="G12" s="40"/>
      <c r="H12" s="31"/>
      <c r="I12" s="41"/>
      <c r="J12" s="42"/>
    </row>
    <row r="13" customHeight="1" spans="1:10">
      <c r="A13" s="30"/>
      <c r="B13" s="31"/>
      <c r="C13" s="31"/>
      <c r="D13" s="31"/>
      <c r="E13" s="32"/>
      <c r="F13" s="36"/>
      <c r="G13" s="40"/>
      <c r="H13" s="31"/>
      <c r="I13" s="41"/>
      <c r="J13" s="42"/>
    </row>
    <row r="14" customHeight="1" spans="1:10">
      <c r="A14" s="30"/>
      <c r="B14" s="31"/>
      <c r="C14" s="31"/>
      <c r="D14" s="31"/>
      <c r="F14" s="36"/>
      <c r="G14" s="40"/>
      <c r="H14" s="31"/>
      <c r="I14" s="41"/>
      <c r="J14" s="42"/>
    </row>
    <row r="15" customHeight="1" spans="1:10">
      <c r="A15" s="30"/>
      <c r="B15" s="31"/>
      <c r="C15" s="31"/>
      <c r="D15" s="31"/>
      <c r="E15" s="32"/>
      <c r="F15" s="36"/>
      <c r="G15" s="40"/>
      <c r="H15" s="31"/>
      <c r="I15" s="41"/>
      <c r="J15" s="42"/>
    </row>
    <row r="16" customHeight="1" spans="1:10">
      <c r="A16" s="30"/>
      <c r="B16" s="31"/>
      <c r="C16" s="31"/>
      <c r="D16" s="31"/>
      <c r="E16" s="32"/>
      <c r="F16" s="36"/>
      <c r="G16" s="40"/>
      <c r="H16" s="31"/>
      <c r="I16" s="41"/>
      <c r="J16" s="42"/>
    </row>
    <row r="17" customHeight="1" spans="1:10">
      <c r="A17" s="30"/>
      <c r="B17" s="31"/>
      <c r="C17" s="31"/>
      <c r="D17" s="31"/>
      <c r="E17" s="32"/>
      <c r="F17" s="36"/>
      <c r="G17" s="40"/>
      <c r="H17" s="31"/>
      <c r="I17" s="41"/>
      <c r="J17" s="42"/>
    </row>
    <row r="18" customHeight="1" spans="1:10">
      <c r="A18" s="30"/>
      <c r="B18" s="31"/>
      <c r="C18" s="31"/>
      <c r="D18" s="31"/>
      <c r="E18" s="32"/>
      <c r="F18" s="36"/>
      <c r="G18" s="40"/>
      <c r="H18" s="31"/>
      <c r="I18" s="41"/>
      <c r="J18" s="42"/>
    </row>
    <row r="19" customHeight="1" spans="1:10">
      <c r="A19" s="30"/>
      <c r="B19" s="31"/>
      <c r="C19" s="31"/>
      <c r="D19" s="31"/>
      <c r="E19" s="32"/>
      <c r="F19" s="36"/>
      <c r="G19" s="40"/>
      <c r="H19" s="31"/>
      <c r="I19" s="41"/>
      <c r="J19" s="42"/>
    </row>
    <row r="20" customHeight="1" spans="1:10">
      <c r="A20" s="30"/>
      <c r="B20" s="31"/>
      <c r="C20" s="31"/>
      <c r="D20" s="31"/>
      <c r="E20" s="32"/>
      <c r="F20" s="36"/>
      <c r="G20" s="40"/>
      <c r="H20" s="31"/>
      <c r="I20" s="41"/>
      <c r="J20" s="42"/>
    </row>
    <row r="21" customHeight="1" spans="1:10">
      <c r="A21" s="30"/>
      <c r="B21" s="31"/>
      <c r="C21" s="31"/>
      <c r="D21" s="31"/>
      <c r="E21" s="32"/>
      <c r="F21" s="36"/>
      <c r="G21" s="43"/>
      <c r="H21" s="31"/>
      <c r="I21" s="41"/>
      <c r="J21" s="42"/>
    </row>
    <row r="22" customHeight="1" spans="1:10">
      <c r="A22" s="44"/>
      <c r="B22" s="31"/>
      <c r="C22" s="31"/>
      <c r="D22" s="31"/>
      <c r="E22" s="32"/>
      <c r="F22" s="36"/>
      <c r="G22" s="43"/>
      <c r="H22" s="31"/>
      <c r="I22" s="41"/>
      <c r="J22" s="42"/>
    </row>
    <row r="23" customHeight="1" spans="1:10">
      <c r="A23" s="45" t="s">
        <v>55</v>
      </c>
      <c r="B23" s="46">
        <f>SUM(B6:B22)</f>
        <v>89</v>
      </c>
      <c r="C23" s="46">
        <f t="shared" ref="C23:H23" si="0">SUM(C6:C22)</f>
        <v>0</v>
      </c>
      <c r="D23" s="46">
        <f t="shared" si="0"/>
        <v>0</v>
      </c>
      <c r="E23" s="47"/>
      <c r="F23" s="48"/>
      <c r="G23" s="49"/>
      <c r="H23" s="46">
        <f t="shared" si="0"/>
        <v>360</v>
      </c>
      <c r="I23" s="50"/>
      <c r="J23" s="51"/>
    </row>
    <row r="25" customHeight="1" spans="1:10">
      <c r="A25" s="17" t="s">
        <v>56</v>
      </c>
      <c r="B25" s="18"/>
      <c r="C25" s="18"/>
      <c r="D25" s="18"/>
      <c r="E25" s="19"/>
    </row>
    <row r="26" customHeight="1" spans="1:10">
      <c r="A26" s="24" t="s">
        <v>7</v>
      </c>
      <c r="B26" s="25" t="s">
        <v>57</v>
      </c>
      <c r="C26" s="26" t="s">
        <v>11</v>
      </c>
      <c r="D26" s="26" t="s">
        <v>10</v>
      </c>
      <c r="E26" s="27" t="s">
        <v>6</v>
      </c>
    </row>
    <row r="27" customHeight="1" spans="1:10">
      <c r="A27" s="30" t="s">
        <v>2077</v>
      </c>
      <c r="B27" s="52">
        <v>46064</v>
      </c>
      <c r="C27" s="31">
        <v>3</v>
      </c>
      <c r="D27" s="31">
        <v>3</v>
      </c>
      <c r="E27" s="32" t="s">
        <v>2078</v>
      </c>
    </row>
    <row r="28" customHeight="1" spans="1:10">
      <c r="A28" s="30"/>
      <c r="B28" s="52"/>
      <c r="C28" s="31"/>
      <c r="D28" s="31"/>
      <c r="E28" s="32"/>
    </row>
    <row r="29" customHeight="1" spans="1:10">
      <c r="A29" s="30"/>
      <c r="B29" s="52"/>
      <c r="C29" s="31"/>
      <c r="D29" s="31"/>
      <c r="E29" s="53"/>
    </row>
    <row r="30" customHeight="1" spans="1:10">
      <c r="A30" s="54"/>
      <c r="B30" s="52"/>
      <c r="C30" s="31"/>
      <c r="D30" s="31"/>
      <c r="E30" s="32"/>
    </row>
    <row r="31" customHeight="1" spans="1:10">
      <c r="A31" s="30"/>
      <c r="B31" s="31"/>
      <c r="C31" s="31"/>
      <c r="D31" s="31"/>
      <c r="E31" s="32"/>
    </row>
    <row r="32" customHeight="1" spans="1:10">
      <c r="A32" s="44"/>
      <c r="B32" s="31"/>
      <c r="C32" s="31"/>
      <c r="D32" s="31"/>
      <c r="E32" s="32"/>
    </row>
    <row r="33" customHeight="1" spans="1:5">
      <c r="A33" s="44"/>
      <c r="B33" s="31"/>
      <c r="C33" s="31"/>
      <c r="D33" s="31"/>
      <c r="E33" s="32"/>
    </row>
    <row r="34" customHeight="1" spans="1:5">
      <c r="A34" s="44"/>
      <c r="B34" s="31"/>
      <c r="C34" s="31"/>
      <c r="D34" s="31"/>
      <c r="E34" s="32"/>
    </row>
    <row r="35" customHeight="1" spans="1:5">
      <c r="A35" s="45" t="s">
        <v>55</v>
      </c>
      <c r="B35" s="46"/>
      <c r="C35" s="46">
        <f>SUM(C27:C34)</f>
        <v>3</v>
      </c>
      <c r="D35" s="46">
        <f>SUM(D27:D34)</f>
        <v>3</v>
      </c>
      <c r="E35" s="47"/>
    </row>
  </sheetData>
  <mergeCells count="5">
    <mergeCell ref="A1:J1"/>
    <mergeCell ref="A4:D4"/>
    <mergeCell ref="G4:I4"/>
    <mergeCell ref="A25:D25"/>
    <mergeCell ref="J4:J5"/>
  </mergeCells>
  <pageMargins left="0.7" right="0.7" top="0.75" bottom="0.75" header="0.3" footer="0.3"/>
  <pageSetup paperSize="1" scale="47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A77F676-64FC-49B0-BA6F-0CFFFFAB86D6}">
  <ds:schemaRefs/>
</ds:datastoreItem>
</file>

<file path=customXml/itemProps2.xml><?xml version="1.0" encoding="utf-8"?>
<ds:datastoreItem xmlns:ds="http://schemas.openxmlformats.org/officeDocument/2006/customXml" ds:itemID="{18631A5B-3E8A-4EF0-B350-4046A6588612}">
  <ds:schemaRefs/>
</ds:datastoreItem>
</file>

<file path=customXml/itemProps3.xml><?xml version="1.0" encoding="utf-8"?>
<ds:datastoreItem xmlns:ds="http://schemas.openxmlformats.org/officeDocument/2006/customXml" ds:itemID="{E6A58500-7E95-40F3-991D-0A368385DDA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16-10</vt:lpstr>
      <vt:lpstr>15-10</vt:lpstr>
      <vt:lpstr>14-10</vt:lpstr>
      <vt:lpstr>13-10</vt:lpstr>
      <vt:lpstr>12-10</vt:lpstr>
      <vt:lpstr>09-10</vt:lpstr>
      <vt:lpstr>08-10</vt:lpstr>
      <vt:lpstr>07-10</vt:lpstr>
      <vt:lpstr>06-10</vt:lpstr>
      <vt:lpstr>05-10</vt:lpstr>
      <vt:lpstr>02-10</vt:lpstr>
      <vt:lpstr>01-10</vt:lpstr>
      <vt:lpstr>30-09</vt:lpstr>
      <vt:lpstr>29-09</vt:lpstr>
      <vt:lpstr>28-09</vt:lpstr>
      <vt:lpstr>Sheet6</vt:lpstr>
      <vt:lpstr>24-09</vt:lpstr>
      <vt:lpstr>Sheet5</vt:lpstr>
      <vt:lpstr>31-08</vt:lpstr>
      <vt:lpstr>Sheet4</vt:lpstr>
      <vt:lpstr>Sheet3</vt:lpstr>
      <vt:lpstr>Sheet1</vt:lpstr>
      <vt:lpstr>Sheet2</vt:lpstr>
      <vt:lpstr>27-02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Mujeeb Rahman</dc:creator>
  <cp:lastModifiedBy>Harish</cp:lastModifiedBy>
  <dcterms:created xsi:type="dcterms:W3CDTF">2025-05-13T05:09:00Z</dcterms:created>
  <dcterms:modified xsi:type="dcterms:W3CDTF">2026-10-16T17:15:50Z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