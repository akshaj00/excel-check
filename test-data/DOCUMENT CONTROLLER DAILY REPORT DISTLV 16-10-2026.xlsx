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RakeshSobhaRaghavan\Documents\002. DOCUMENT CONTROLLER DAILY RAPORT\10.Oct\16-10-2026\NISHA M (NXD1S2-DISTLVG)\"/>
    </mc:Choice>
  </mc:AlternateContent>
  <xr:revisionPtr revIDLastSave="0" documentId="13_ncr:1_{C67EAC23-5416-4ECB-9CF6-0C7D7252EB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6-10-26" sheetId="292" r:id="rId1"/>
    <sheet name="15-10-26" sheetId="291" r:id="rId2"/>
    <sheet name="14-10-26" sheetId="290" r:id="rId3"/>
    <sheet name="13-10-26" sheetId="289" r:id="rId4"/>
    <sheet name="12-10-26" sheetId="288" r:id="rId5"/>
    <sheet name="09-10-26" sheetId="287" r:id="rId6"/>
    <sheet name="08-10-26" sheetId="286" r:id="rId7"/>
    <sheet name="07-10-26" sheetId="285" r:id="rId8"/>
    <sheet name="06-10-26" sheetId="284" r:id="rId9"/>
    <sheet name="05-10-26" sheetId="283" r:id="rId10"/>
    <sheet name="02-10-26" sheetId="282" r:id="rId11"/>
    <sheet name="01-10-26" sheetId="281" r:id="rId12"/>
    <sheet name="30-09" sheetId="280" r:id="rId13"/>
    <sheet name="29-09" sheetId="279" r:id="rId14"/>
    <sheet name="28-09" sheetId="278" r:id="rId15"/>
    <sheet name="24-09" sheetId="277" r:id="rId16"/>
    <sheet name="23-09" sheetId="276" r:id="rId17"/>
    <sheet name="22-09" sheetId="273" r:id="rId18"/>
    <sheet name="21-09" sheetId="272" r:id="rId19"/>
    <sheet name="18-09" sheetId="271" r:id="rId20"/>
    <sheet name="17-09" sheetId="270" r:id="rId21"/>
    <sheet name="16-09" sheetId="269" r:id="rId22"/>
    <sheet name="15-09" sheetId="268" r:id="rId23"/>
    <sheet name="10-09" sheetId="265" r:id="rId24"/>
    <sheet name="09-09" sheetId="264" r:id="rId25"/>
    <sheet name="08-09" sheetId="263" r:id="rId26"/>
    <sheet name="07-09" sheetId="262" r:id="rId27"/>
    <sheet name="04-09" sheetId="261" r:id="rId28"/>
    <sheet name="03-09" sheetId="260" r:id="rId29"/>
    <sheet name="02-09" sheetId="259" r:id="rId30"/>
    <sheet name="01-09" sheetId="258" r:id="rId3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292" l="1"/>
  <c r="H24" i="292"/>
  <c r="G24" i="292"/>
  <c r="F24" i="292"/>
  <c r="D24" i="292"/>
  <c r="C24" i="292"/>
  <c r="B24" i="292"/>
  <c r="A24" i="292"/>
  <c r="D38" i="291"/>
  <c r="F24" i="291"/>
  <c r="G24" i="291"/>
  <c r="H24" i="291"/>
  <c r="A24" i="291"/>
  <c r="B24" i="291"/>
  <c r="C24" i="291"/>
  <c r="D24" i="291"/>
  <c r="D36" i="290"/>
  <c r="H24" i="290"/>
  <c r="G24" i="290"/>
  <c r="F24" i="290"/>
  <c r="D24" i="290"/>
  <c r="C24" i="290"/>
  <c r="B24" i="290"/>
  <c r="A24" i="290"/>
  <c r="D33" i="289"/>
  <c r="H21" i="289"/>
  <c r="G21" i="289"/>
  <c r="F21" i="289"/>
  <c r="D21" i="289"/>
  <c r="C21" i="289"/>
  <c r="B21" i="289"/>
  <c r="A21" i="289"/>
  <c r="D33" i="288"/>
  <c r="H21" i="288"/>
  <c r="G21" i="288"/>
  <c r="F21" i="288"/>
  <c r="D21" i="288"/>
  <c r="C21" i="288"/>
  <c r="B21" i="288"/>
  <c r="A21" i="288"/>
  <c r="D40" i="287"/>
  <c r="H28" i="287"/>
  <c r="G28" i="287"/>
  <c r="F28" i="287"/>
  <c r="D28" i="287"/>
  <c r="C28" i="287"/>
  <c r="B28" i="287"/>
  <c r="A28" i="287"/>
  <c r="D39" i="286"/>
  <c r="H27" i="286"/>
  <c r="G27" i="286"/>
  <c r="F27" i="286"/>
  <c r="D27" i="286"/>
  <c r="C27" i="286"/>
  <c r="B27" i="286"/>
  <c r="A27" i="286"/>
  <c r="D39" i="285"/>
  <c r="H27" i="285"/>
  <c r="G27" i="285"/>
  <c r="F27" i="285"/>
  <c r="D27" i="285"/>
  <c r="C27" i="285"/>
  <c r="B27" i="285"/>
  <c r="A27" i="285"/>
  <c r="D39" i="284"/>
  <c r="H27" i="284"/>
  <c r="G27" i="284"/>
  <c r="F27" i="284"/>
  <c r="D27" i="284"/>
  <c r="C27" i="284"/>
  <c r="B27" i="284"/>
  <c r="A27" i="284"/>
  <c r="D39" i="283"/>
  <c r="H27" i="283"/>
  <c r="G27" i="283"/>
  <c r="F27" i="283"/>
  <c r="D27" i="283"/>
  <c r="C27" i="283"/>
  <c r="B27" i="283"/>
  <c r="A27" i="283"/>
  <c r="D39" i="282"/>
  <c r="H27" i="282"/>
  <c r="G27" i="282"/>
  <c r="F27" i="282"/>
  <c r="D27" i="282"/>
  <c r="C27" i="282"/>
  <c r="B27" i="282"/>
  <c r="A27" i="282"/>
  <c r="D43" i="281"/>
  <c r="H33" i="281"/>
  <c r="G33" i="281"/>
  <c r="F33" i="281"/>
  <c r="D33" i="281"/>
  <c r="C33" i="281"/>
  <c r="B33" i="281"/>
  <c r="A33" i="281"/>
  <c r="D43" i="280"/>
  <c r="H33" i="280"/>
  <c r="G33" i="280"/>
  <c r="F33" i="280"/>
  <c r="D33" i="280"/>
  <c r="C33" i="280"/>
  <c r="B33" i="280"/>
  <c r="A33" i="280"/>
  <c r="D43" i="279"/>
  <c r="H33" i="279"/>
  <c r="G33" i="279"/>
  <c r="F33" i="279"/>
  <c r="D33" i="279"/>
  <c r="C33" i="279"/>
  <c r="B33" i="279"/>
  <c r="A33" i="279"/>
  <c r="D43" i="278"/>
  <c r="H33" i="278"/>
  <c r="G33" i="278"/>
  <c r="F33" i="278"/>
  <c r="D33" i="278"/>
  <c r="C33" i="278"/>
  <c r="B33" i="278"/>
  <c r="A33" i="278"/>
  <c r="G33" i="277"/>
  <c r="D43" i="277"/>
  <c r="H33" i="277"/>
  <c r="F33" i="277"/>
  <c r="D33" i="277"/>
  <c r="C33" i="277"/>
  <c r="B33" i="277"/>
  <c r="A33" i="277"/>
  <c r="D43" i="276"/>
  <c r="H33" i="276"/>
  <c r="G33" i="276"/>
  <c r="F33" i="276"/>
  <c r="D33" i="276"/>
  <c r="C33" i="276"/>
  <c r="B33" i="276"/>
  <c r="A33" i="276"/>
  <c r="D43" i="273"/>
  <c r="H33" i="273"/>
  <c r="G33" i="273"/>
  <c r="F33" i="273"/>
  <c r="D33" i="273"/>
  <c r="C33" i="273"/>
  <c r="B33" i="273"/>
  <c r="A33" i="273"/>
  <c r="D43" i="272"/>
  <c r="H33" i="272"/>
  <c r="G33" i="272"/>
  <c r="F33" i="272"/>
  <c r="D33" i="272"/>
  <c r="C33" i="272"/>
  <c r="B33" i="272"/>
  <c r="A33" i="272"/>
  <c r="D43" i="271"/>
  <c r="H33" i="271"/>
  <c r="G33" i="271"/>
  <c r="F33" i="271"/>
  <c r="D33" i="271"/>
  <c r="C33" i="271"/>
  <c r="B33" i="271"/>
  <c r="A33" i="271"/>
  <c r="D41" i="270"/>
  <c r="H33" i="270"/>
  <c r="G33" i="270"/>
  <c r="F33" i="270"/>
  <c r="D33" i="270"/>
  <c r="C33" i="270"/>
  <c r="B33" i="270"/>
  <c r="A33" i="270"/>
  <c r="D41" i="269"/>
  <c r="H33" i="269"/>
  <c r="G33" i="269"/>
  <c r="F33" i="269"/>
  <c r="D33" i="269"/>
  <c r="C33" i="269"/>
  <c r="B33" i="269"/>
  <c r="A33" i="269"/>
  <c r="D41" i="268"/>
  <c r="H33" i="268"/>
  <c r="G33" i="268"/>
  <c r="F33" i="268"/>
  <c r="D33" i="268"/>
  <c r="C33" i="268"/>
  <c r="B33" i="268"/>
  <c r="A33" i="268"/>
  <c r="G33" i="265"/>
  <c r="D41" i="265"/>
  <c r="H33" i="265"/>
  <c r="F33" i="265"/>
  <c r="D33" i="265"/>
  <c r="C33" i="265"/>
  <c r="B33" i="265"/>
  <c r="A33" i="265"/>
  <c r="G33" i="264"/>
  <c r="D41" i="264"/>
  <c r="H33" i="264"/>
  <c r="F33" i="264"/>
  <c r="D33" i="264"/>
  <c r="C33" i="264"/>
  <c r="B33" i="264"/>
  <c r="A33" i="264"/>
  <c r="D41" i="263"/>
  <c r="H33" i="263"/>
  <c r="G33" i="263"/>
  <c r="F33" i="263"/>
  <c r="D33" i="263"/>
  <c r="C33" i="263"/>
  <c r="B33" i="263"/>
  <c r="A33" i="263"/>
  <c r="D41" i="262"/>
  <c r="H33" i="262"/>
  <c r="G33" i="262"/>
  <c r="F33" i="262"/>
  <c r="D33" i="262"/>
  <c r="C33" i="262"/>
  <c r="B33" i="262"/>
  <c r="A33" i="262"/>
  <c r="D41" i="261"/>
  <c r="H33" i="261"/>
  <c r="G33" i="261"/>
  <c r="F33" i="261"/>
  <c r="D33" i="261"/>
  <c r="C33" i="261"/>
  <c r="B33" i="261"/>
  <c r="A33" i="261"/>
  <c r="D41" i="260"/>
  <c r="H33" i="260"/>
  <c r="G33" i="260"/>
  <c r="F33" i="260"/>
  <c r="D33" i="260"/>
  <c r="C33" i="260"/>
  <c r="B33" i="260"/>
  <c r="A33" i="260"/>
  <c r="G33" i="259"/>
  <c r="D41" i="259"/>
  <c r="H33" i="259"/>
  <c r="F33" i="259"/>
  <c r="D33" i="259"/>
  <c r="C33" i="259"/>
  <c r="B33" i="259"/>
  <c r="A33" i="259"/>
  <c r="D41" i="258"/>
  <c r="H33" i="258"/>
  <c r="G33" i="258"/>
  <c r="F33" i="258"/>
  <c r="D33" i="258"/>
  <c r="C33" i="258"/>
  <c r="B33" i="258"/>
  <c r="A33" i="258"/>
</calcChain>
</file>

<file path=xl/sharedStrings.xml><?xml version="1.0" encoding="utf-8"?>
<sst xmlns="http://schemas.openxmlformats.org/spreadsheetml/2006/main" count="2307" uniqueCount="894">
  <si>
    <t>KPG | RDS | DOCUMENT CONTROLLER DAILY REPORT</t>
  </si>
  <si>
    <t>Date:</t>
  </si>
  <si>
    <t xml:space="preserve">Project: </t>
  </si>
  <si>
    <t>DISTLV</t>
  </si>
  <si>
    <t>Incoming  Transmittals</t>
  </si>
  <si>
    <t>Close out</t>
  </si>
  <si>
    <t>Transmittals</t>
  </si>
  <si>
    <t>No. of Drawings</t>
  </si>
  <si>
    <t>No. of Technical data</t>
  </si>
  <si>
    <t>Pending Number of Documents</t>
  </si>
  <si>
    <t>Remarks</t>
  </si>
  <si>
    <t>No. of Documents</t>
  </si>
  <si>
    <t>TIVINTL-TRANSMIT-000022</t>
  </si>
  <si>
    <t>#1501, WF-001484, WF-001485</t>
  </si>
  <si>
    <t>WAM-TRANSMIT-000880</t>
  </si>
  <si>
    <t>KPTG-TRANSMIT-004417</t>
  </si>
  <si>
    <t>ccair-TRANSMIT-000044</t>
  </si>
  <si>
    <t>#1504, WF-001486</t>
  </si>
  <si>
    <t>KALLIBRE-TRANSMIT-000008</t>
  </si>
  <si>
    <t>KPTG-TRANSMIT-004420</t>
  </si>
  <si>
    <t>RDSBIM-TRANSMIT-000136</t>
  </si>
  <si>
    <t>#1505, WF-001487</t>
  </si>
  <si>
    <t>ccair-TRANSMIT-000042</t>
  </si>
  <si>
    <t>KPTG-TRANSMIT-004424</t>
  </si>
  <si>
    <t xml:space="preserve"> KRAU-FA-SMP-001</t>
  </si>
  <si>
    <t>WF-001488</t>
  </si>
  <si>
    <t>L.E.S.-TRANSMIT-000108</t>
  </si>
  <si>
    <t>KPTG-TRANSMIT-004427: rejected</t>
  </si>
  <si>
    <t>L.E.S.-TRANSMIT-000107</t>
  </si>
  <si>
    <t>WF-001490</t>
  </si>
  <si>
    <t>L.E.S.-TRANSMIT-000106</t>
  </si>
  <si>
    <t>rejected: KPTG-TRANSMIT-004426</t>
  </si>
  <si>
    <t>L.E.S.-TRANSMIT-000105</t>
  </si>
  <si>
    <t>WF-001489</t>
  </si>
  <si>
    <t>L.E.S.-TRANSMIT-000109</t>
  </si>
  <si>
    <t>#1507, WF-001491</t>
  </si>
  <si>
    <t>rejectedKPTG-TRANSMIT-004427</t>
  </si>
  <si>
    <t>ccair-TRANSMIT-000045</t>
  </si>
  <si>
    <t>WF-001492</t>
  </si>
  <si>
    <t>PCForm-TRANSMIT-000351</t>
  </si>
  <si>
    <t>#1511</t>
  </si>
  <si>
    <t>PCForm-TRANSMIT-000352</t>
  </si>
  <si>
    <t>#1509</t>
  </si>
  <si>
    <t>Pending  Transmittals</t>
  </si>
  <si>
    <t>PCForm-TRANSMIT-000278</t>
  </si>
  <si>
    <t>Jarrod to clarify</t>
  </si>
  <si>
    <t>Jangho-TRANSMIT-000295</t>
  </si>
  <si>
    <t>Jaanbir to clarify</t>
  </si>
  <si>
    <t>Jangho-TRANSMIT-000358</t>
  </si>
  <si>
    <t>Firesafe-TRANSMIT-000027</t>
  </si>
  <si>
    <t>JOHN TO CLARITY</t>
  </si>
  <si>
    <t>Kone-VIC-TRANSMIT-000007</t>
  </si>
  <si>
    <t>ZLH P/L-TRANSMIT-000002</t>
  </si>
  <si>
    <t>Michael to clarify</t>
  </si>
  <si>
    <t>L.E.S.-TRANSMIT-000101</t>
  </si>
  <si>
    <t>KPTG-IntCorr-001554</t>
  </si>
  <si>
    <t>A.P.E-TRANSMIT-000008</t>
  </si>
  <si>
    <t>Dima</t>
  </si>
  <si>
    <t>KPTG-IntCorr-001556</t>
  </si>
  <si>
    <t>OPTCO-TRANSMIT-000003</t>
  </si>
  <si>
    <t>KPTG-WTRAN-002318 - Jangho-TRANSMIT-000190</t>
  </si>
  <si>
    <t>hold - no client stamp KPTG-IntCorr-001197</t>
  </si>
  <si>
    <t>KPTG-WTRAN-002322</t>
  </si>
  <si>
    <t>KPTG-IntCorr-001198 hold no client stamp</t>
  </si>
  <si>
    <t>G&amp;CHyd-TRANSMIT-000009</t>
  </si>
  <si>
    <t>KPTG-TRANSMIT-003757</t>
  </si>
  <si>
    <t>KPTG-WTRAN-002921</t>
  </si>
  <si>
    <t>Final (WF-001351) DISTLV| SAMPLE &amp; TECH DATA I CONSULTANT REVIEW | HYD | G&amp;CHyd-TRANSMIT-000030 - HYD TECH DATA - Cleaners Sink</t>
  </si>
  <si>
    <t>Jangho-TRANSMIT-000377</t>
  </si>
  <si>
    <t>#1486</t>
  </si>
  <si>
    <t>G&amp;CHyd-TRANSMIT-000041</t>
  </si>
  <si>
    <t>REJECTED: KPTG-TRANSMIT-004416</t>
  </si>
  <si>
    <t>RDSBIM-TRANSMIT-000134</t>
  </si>
  <si>
    <t>#1482</t>
  </si>
  <si>
    <t>KPTG-TRANSMIT-004407</t>
  </si>
  <si>
    <t>RDSBIM-TRANSMIT-000135</t>
  </si>
  <si>
    <t>#1485, WF-001479</t>
  </si>
  <si>
    <t>KPTG-TRANSMIT-004414</t>
  </si>
  <si>
    <t>L.E.S.-TRANSMIT-000102</t>
  </si>
  <si>
    <t>#1488</t>
  </si>
  <si>
    <t>Jaycon-TRANSMIT-000005</t>
  </si>
  <si>
    <t xml:space="preserve">Rejected: </t>
  </si>
  <si>
    <t>WAM-TRANSMIT-000882</t>
  </si>
  <si>
    <t>#1497, WF-001483</t>
  </si>
  <si>
    <t>Axiom-TRANSMIT-000036</t>
  </si>
  <si>
    <t>#1490, WF-001481</t>
  </si>
  <si>
    <t>#1493</t>
  </si>
  <si>
    <t>WAM-TRANSMIT-000883</t>
  </si>
  <si>
    <t>#1495, WF-001482</t>
  </si>
  <si>
    <t>Jangho-TRANSMIT-000376</t>
  </si>
  <si>
    <t>WF-001472</t>
  </si>
  <si>
    <t>BIMF-TRANSMIT-000035</t>
  </si>
  <si>
    <t>KPTG-TRANSMIT-004404 rejected</t>
  </si>
  <si>
    <t>RDSBIM-TRANSMIT-000130</t>
  </si>
  <si>
    <t>#1471</t>
  </si>
  <si>
    <t>RDSBIM-TRANSMIT-000129</t>
  </si>
  <si>
    <t>KPTG-TRANSMIT-004394 rejected</t>
  </si>
  <si>
    <t>RDSBIM-TRANSMIT-000126</t>
  </si>
  <si>
    <t>KPTG-TRANSMIT-004391</t>
  </si>
  <si>
    <t>KPTG-TRANSMIT-004396</t>
  </si>
  <si>
    <t>RDSBIM-TRANSMIT-000131</t>
  </si>
  <si>
    <t>#1473</t>
  </si>
  <si>
    <t>WAM-TRANSMIT-000879</t>
  </si>
  <si>
    <t>KPTG-TRANSMIT-004398</t>
  </si>
  <si>
    <t>L.E.S.-TRANSMIT-000100</t>
  </si>
  <si>
    <t>#1475</t>
  </si>
  <si>
    <t>A.P.E-TRANSMIT-000006</t>
  </si>
  <si>
    <t>replaced A.P.E-TRANSMIT-000007</t>
  </si>
  <si>
    <t>ccair-TRANSMIT-000043</t>
  </si>
  <si>
    <t>#1477</t>
  </si>
  <si>
    <t>Jaycon-TRANSMIT-000004</t>
  </si>
  <si>
    <t>rejected : KPTG-TRANSMIT-004393</t>
  </si>
  <si>
    <t>A.P.E-TRANSMIT-000007</t>
  </si>
  <si>
    <t>rejected: KPTG-TRANSMIT-004402</t>
  </si>
  <si>
    <t>RDSBIM-TRANSMIT-000127</t>
  </si>
  <si>
    <t>#1465</t>
  </si>
  <si>
    <t>Jangho-TRANSMIT-000374</t>
  </si>
  <si>
    <t>TERMINATED - KPTG-IntCorr-001540</t>
  </si>
  <si>
    <t>NUBRIK-FA-SMP-002, NUBRIK-FA-SMP-003 AND NUBRIK-FA-SMP-004</t>
  </si>
  <si>
    <t>WF-001464</t>
  </si>
  <si>
    <t>KPTG-TRANSMIT-004375</t>
  </si>
  <si>
    <t>WF-001466</t>
  </si>
  <si>
    <t>L.E.S.-TRANSMIT-000099</t>
  </si>
  <si>
    <t>KPTG-TRANSMIT-004387</t>
  </si>
  <si>
    <t>Jangho-TRANSMIT-000375</t>
  </si>
  <si>
    <t>WF-001468</t>
  </si>
  <si>
    <t>L.E.S.-TRANSMIT-000098</t>
  </si>
  <si>
    <t>#1469</t>
  </si>
  <si>
    <t>Jangho-TRANSMIT-000354</t>
  </si>
  <si>
    <t>WF-001471</t>
  </si>
  <si>
    <t>ArcadiaL-TRANSMIT-000010</t>
  </si>
  <si>
    <t>KPTG-TRANSMIT-004351</t>
  </si>
  <si>
    <t>RDSBIM-TRANSMIT-000125</t>
  </si>
  <si>
    <t>#1463</t>
  </si>
  <si>
    <t xml:space="preserve"> L.E.S.-TRANSMIT-000027 - CLIENT APPROVED</t>
  </si>
  <si>
    <t>KPTG-TRANSMIT-004368</t>
  </si>
  <si>
    <t>#1459</t>
  </si>
  <si>
    <t>BIMF-TRANSMIT-000032</t>
  </si>
  <si>
    <t>KPTG-TRANSMIT-004354</t>
  </si>
  <si>
    <t>WAM-TRANSMIT-000881</t>
  </si>
  <si>
    <t>#1467</t>
  </si>
  <si>
    <t>ccair-TRANSMIT-000031</t>
  </si>
  <si>
    <t>KPTG-TRANSMIT-004356</t>
  </si>
  <si>
    <t>ArcadiaL-TRANSMIT-000011</t>
  </si>
  <si>
    <t>#1461</t>
  </si>
  <si>
    <t>ccair-TRANSMIT-000030</t>
  </si>
  <si>
    <t>KPTG-TRANSMIT-004358</t>
  </si>
  <si>
    <t>INGEN3D-TRANSMIT-000276</t>
  </si>
  <si>
    <t>WF-001462</t>
  </si>
  <si>
    <t>ccair-TRANSMIT-000032</t>
  </si>
  <si>
    <t>KPTG-TRANSMIT-004360</t>
  </si>
  <si>
    <t>KPTG-IntCorr-001535</t>
  </si>
  <si>
    <t>BIMF-TRANSMIT-000034</t>
  </si>
  <si>
    <t>KPTG-TRANSMIT-004362</t>
  </si>
  <si>
    <t>ccair-TRANSMIT-000038</t>
  </si>
  <si>
    <t>KPTG-TRANSMIT-004364</t>
  </si>
  <si>
    <t>ccair-TRANSMIT-000028</t>
  </si>
  <si>
    <t>KPTG-TRANSMIT-004370</t>
  </si>
  <si>
    <t>Jangho-TRANSMIT-000367</t>
  </si>
  <si>
    <t>KPTG-TRANSMIT-004372</t>
  </si>
  <si>
    <t>L.E.S.-TRANSMIT-000095</t>
  </si>
  <si>
    <t>#1455</t>
  </si>
  <si>
    <t>G&amp;CHyd-TRANSMIT-000029</t>
  </si>
  <si>
    <t>KPTG-TRANSMIT-004327</t>
  </si>
  <si>
    <t>L.E.S.-TRANSMIT-000096</t>
  </si>
  <si>
    <t>KPTG-TRANSMIT-004346 : rejected</t>
  </si>
  <si>
    <t>Axiom-TRANSMIT-000032</t>
  </si>
  <si>
    <t>KPTG-TRANSMIT-004329</t>
  </si>
  <si>
    <t>WF-001452</t>
  </si>
  <si>
    <t>Axiom-TRANSMIT-000033</t>
  </si>
  <si>
    <t>KPTG-TRANSMIT-004330</t>
  </si>
  <si>
    <t>AXM-FAC-SMP-001</t>
  </si>
  <si>
    <t>WF-001453</t>
  </si>
  <si>
    <t>Axiom-TRANSMIT-000034</t>
  </si>
  <si>
    <t>G&amp;CHyd-TRANSMIT-000040</t>
  </si>
  <si>
    <t>KPTG-TRANSMIT-004347 : rejected</t>
  </si>
  <si>
    <t>WF-001454</t>
  </si>
  <si>
    <t>Jaycon-TRANSMIT-000001</t>
  </si>
  <si>
    <t>KPTG-TRANSMIT-004333,KPTG-TRANSMIT-004336</t>
  </si>
  <si>
    <t>L.E.S.-TRANSMIT-000097</t>
  </si>
  <si>
    <t>#1457, WF-001455</t>
  </si>
  <si>
    <t>WAM-TRANSMIT-000878</t>
  </si>
  <si>
    <t>KPTG-TRANSMIT-004340</t>
  </si>
  <si>
    <t>INGEN3D-TRANSMIT-000274</t>
  </si>
  <si>
    <t>rejected: KPTG-TRANSMIT-004348</t>
  </si>
  <si>
    <t>WAM-TRANSMIT-000877</t>
  </si>
  <si>
    <t>KPTG-TRANSMIT-004342</t>
  </si>
  <si>
    <t>INGEN3D-TRANSMIT-000275</t>
  </si>
  <si>
    <t>KPTG-TRANSMIT-004349 - distributed - No Longer in use</t>
  </si>
  <si>
    <t>Jangho-TRANSMIT-000372</t>
  </si>
  <si>
    <t>#1444</t>
  </si>
  <si>
    <t>RDSBIM-TRANSMIT-000118</t>
  </si>
  <si>
    <t>KPTG-TRANSMIT-004302</t>
  </si>
  <si>
    <t>L.E.S.-TRANSMIT-000092</t>
  </si>
  <si>
    <t>KPTG-TRANSMIT-004317</t>
  </si>
  <si>
    <t>WAM-TRANSMIT-000876</t>
  </si>
  <si>
    <t>KPTG-TRANSMIT-004304</t>
  </si>
  <si>
    <t>TIVINTL-TRANSMIT-000021</t>
  </si>
  <si>
    <t>#1447</t>
  </si>
  <si>
    <t>KRAU-FA-SMP-001</t>
  </si>
  <si>
    <t>WF-001448</t>
  </si>
  <si>
    <t>PCForm-TRANSMIT-000336</t>
  </si>
  <si>
    <t>KPTG-TRANSMIT-004306</t>
  </si>
  <si>
    <t>#1448, WF-001449</t>
  </si>
  <si>
    <t>RDSBIM-TRANSMIT-000123</t>
  </si>
  <si>
    <t>KPTG-TRANSMIT-004308</t>
  </si>
  <si>
    <t>L.E.S.-TRANSMIT-000093</t>
  </si>
  <si>
    <t>KPTG-TRANSMIT-004316</t>
  </si>
  <si>
    <t>Jangho-TRANSMIT-000373</t>
  </si>
  <si>
    <t>#1451 WF-001456</t>
  </si>
  <si>
    <t>ccair-TRANSMIT-000021</t>
  </si>
  <si>
    <t>KPTG-TRANSMIT-004310</t>
  </si>
  <si>
    <t>Jangho-TRANSMIT-000371</t>
  </si>
  <si>
    <t>ccair-TRANSMIT-000026</t>
  </si>
  <si>
    <t>KPTG-TRANSMIT-004311</t>
  </si>
  <si>
    <t>L.E.S.-TRANSMIT-000094</t>
  </si>
  <si>
    <t>#1453, WF-001451</t>
  </si>
  <si>
    <t>ccair-TRANSMIT-000040</t>
  </si>
  <si>
    <t>KPTG-TRANSMIT-004314</t>
  </si>
  <si>
    <t>RDSBIM-TRANSMIT-000124</t>
  </si>
  <si>
    <t>#1433</t>
  </si>
  <si>
    <t>RDSBIM-TRANSMIT-000104</t>
  </si>
  <si>
    <t>KPTG-TRANSMIT-004283</t>
  </si>
  <si>
    <t>Deca-TRANSMIT-000003</t>
  </si>
  <si>
    <t>WF-001442</t>
  </si>
  <si>
    <t>RDSBIM-TRANSMIT-000121</t>
  </si>
  <si>
    <t>KPTG-TRANSMIT-004284</t>
  </si>
  <si>
    <t>Firesafe-TRANSMIT-000028</t>
  </si>
  <si>
    <t>#1435</t>
  </si>
  <si>
    <t>RDSBIM-TRANSMIT-000105</t>
  </si>
  <si>
    <t>KPTG-TRANSMIT-004287</t>
  </si>
  <si>
    <t>AF&amp;S-TRANSMIT-000010</t>
  </si>
  <si>
    <t>KPTG-TRANSMIT-004289</t>
  </si>
  <si>
    <t>KPTG-TRANSMIT-004289: rejected</t>
  </si>
  <si>
    <t>Axiom-TRANSMIT-000035</t>
  </si>
  <si>
    <t>#1437</t>
  </si>
  <si>
    <t>L.E.S.-TRANSMIT-000090</t>
  </si>
  <si>
    <t>KPTG-TRANSMIT-004290: rejected</t>
  </si>
  <si>
    <t>KPTG-TRANSMIT-004290</t>
  </si>
  <si>
    <t>KPTG-TRANSMIT-004296: rejected</t>
  </si>
  <si>
    <t>L.E.S.-TRANSMIT-000091</t>
  </si>
  <si>
    <t>#1439</t>
  </si>
  <si>
    <t>RDSBIM-TRANSMIT-000119</t>
  </si>
  <si>
    <t>KPTG-TRANSMIT-004291</t>
  </si>
  <si>
    <t>KPTG-TRANSMIT-004296</t>
  </si>
  <si>
    <t>RDSBIM-TRANSMIT-000117</t>
  </si>
  <si>
    <t>KPTG-TRANSMIT-004294</t>
  </si>
  <si>
    <t>#1441, WF-001458</t>
  </si>
  <si>
    <t>#1442, WF-001457</t>
  </si>
  <si>
    <t>ccair-TRANSMIT-000039</t>
  </si>
  <si>
    <t>#1424</t>
  </si>
  <si>
    <t>WAM-TRANSMIT-000875</t>
  </si>
  <si>
    <t>KPTG-TRANSMIT-004269</t>
  </si>
  <si>
    <t>#1426</t>
  </si>
  <si>
    <t>Deca-TRANSMIT-000002</t>
  </si>
  <si>
    <t>rejected: KPTG-TRANSMIT-004273</t>
  </si>
  <si>
    <t>RDSBIM-TRANSMIT-000098</t>
  </si>
  <si>
    <t>KPTG-TRANSMIT-004272</t>
  </si>
  <si>
    <t>L.E.S.-TRANSMIT-000088 </t>
  </si>
  <si>
    <t>#1428</t>
  </si>
  <si>
    <t>L.E.S.-TRANSMIT-000089</t>
  </si>
  <si>
    <t>rejected: KPTG-TRANSMIT-004276</t>
  </si>
  <si>
    <t> DECA-ST-SMP-007 (Teams msg Nich)</t>
  </si>
  <si>
    <t>WF-001438</t>
  </si>
  <si>
    <t>BIMF-TRANSMIT-000030</t>
  </si>
  <si>
    <t>KPTG-TRANSMIT-004274</t>
  </si>
  <si>
    <t>L.E.S.-TRANSMIT-000078</t>
  </si>
  <si>
    <t>KPTG-TRANSMIT-004277</t>
  </si>
  <si>
    <t>#1431</t>
  </si>
  <si>
    <t>PCForm-TRANSMIT-000344</t>
  </si>
  <si>
    <t>rejected : KPTG-TRANSMIT-004279</t>
  </si>
  <si>
    <t>TTW-TRANSMIT-000176</t>
  </si>
  <si>
    <t>WF-001439</t>
  </si>
  <si>
    <t>PCForm-TRANSMIT-000343</t>
  </si>
  <si>
    <t>rejected: KPTG-TRANSMIT-004280</t>
  </si>
  <si>
    <t>PCForm-TRANSMIT-000342</t>
  </si>
  <si>
    <t>rejected: KPTG-TRANSMIT-004281</t>
  </si>
  <si>
    <t>BP8 - Building Permits</t>
  </si>
  <si>
    <t>Forwarded to all parties</t>
  </si>
  <si>
    <t>WAM-TRANSMIT-000873</t>
  </si>
  <si>
    <t>KPTG-TRANSMIT-004242</t>
  </si>
  <si>
    <t>BP9 - Building Permits</t>
  </si>
  <si>
    <t>L.E.S.-TRANSMIT-000079</t>
  </si>
  <si>
    <t>KPTG-TRANSMIT-004244</t>
  </si>
  <si>
    <t>Deca-TRANSMIT-000001</t>
  </si>
  <si>
    <t>KPTG-TRANSMIT-004262</t>
  </si>
  <si>
    <t>L.E.S.-TRANSMIT-000077</t>
  </si>
  <si>
    <t>KPTG-TRANSMIT-004247</t>
  </si>
  <si>
    <t>DECA-ST-SMP-005</t>
  </si>
  <si>
    <t>WF-001432</t>
  </si>
  <si>
    <t>L.E.S.-TRANSMIT-000073</t>
  </si>
  <si>
    <t>KPTG-TRANSMIT-004251</t>
  </si>
  <si>
    <t>#1420</t>
  </si>
  <si>
    <t>L.E.S.-TRANSMIT-000072</t>
  </si>
  <si>
    <t>KPTG-TRANSMIT-004253</t>
  </si>
  <si>
    <t>#1422</t>
  </si>
  <si>
    <t>KPTG-TRANSMIT-004246</t>
  </si>
  <si>
    <t>KPTG-TRANSMIT-004255</t>
  </si>
  <si>
    <t>#1402 WF-001423</t>
  </si>
  <si>
    <t>RDSBIM-TRANSMIT-000120</t>
  </si>
  <si>
    <t>KPTG-TRANSMIT-004232</t>
  </si>
  <si>
    <t>RDSBIM-TRANSMIT-000122</t>
  </si>
  <si>
    <t>#1409 WF-001426</t>
  </si>
  <si>
    <t>KALLIBRE-TRANSMIT-000004</t>
  </si>
  <si>
    <t>KPTG-TRANSMIT-004234</t>
  </si>
  <si>
    <t>#1404 WF-001424</t>
  </si>
  <si>
    <t>KPTG-TRANSMIT-004236 rejected</t>
  </si>
  <si>
    <t>TIVINTL-TRANSMIT-000016</t>
  </si>
  <si>
    <t>KPTG-TRANSMIT-004239 rejected</t>
  </si>
  <si>
    <t>RDSBIM-TRANSMIT-000116</t>
  </si>
  <si>
    <t>KPTG-TRANSMIT-004237</t>
  </si>
  <si>
    <t>TIVINTL-TRANSMIT-000018</t>
  </si>
  <si>
    <t>#1410</t>
  </si>
  <si>
    <t>AF&amp;S-TRANSMIT-000009</t>
  </si>
  <si>
    <t>KPTG-TRANSMIT-004240 rejected</t>
  </si>
  <si>
    <t>TIVINTL-TRANSMIT-000019</t>
  </si>
  <si>
    <t>#1416 - WF-001430</t>
  </si>
  <si>
    <t>TIVINTL-TRANSMIT-000020</t>
  </si>
  <si>
    <t>#1418</t>
  </si>
  <si>
    <t>TIVINTL-TRANSMIT-000017</t>
  </si>
  <si>
    <t>#1412</t>
  </si>
  <si>
    <t>KPTG-IntCorr-001485</t>
  </si>
  <si>
    <t>#1414</t>
  </si>
  <si>
    <t>Jangho-TRANSMIT-000368</t>
  </si>
  <si>
    <t>KPTG-TRANSMIT-004218</t>
  </si>
  <si>
    <t>Jangho-TRANSMIT-000369</t>
  </si>
  <si>
    <t>WF-001418</t>
  </si>
  <si>
    <t>G&amp;CHyd-TRANSMIT-000037</t>
  </si>
  <si>
    <t>KPTG-TRANSMIT-004205</t>
  </si>
  <si>
    <t>#1396</t>
  </si>
  <si>
    <t>G&amp;CHyd-TRANSMIT-000036</t>
  </si>
  <si>
    <t>KPTG-TRANSMIT-004206</t>
  </si>
  <si>
    <t>#1398</t>
  </si>
  <si>
    <t>BIMF-TRANSMIT-000029</t>
  </si>
  <si>
    <t>KPTG-TRANSMIT-004208</t>
  </si>
  <si>
    <t>Firesafe-TRANSMIT-000024</t>
  </si>
  <si>
    <t>#1400</t>
  </si>
  <si>
    <t>Jangho-TRANSMIT-000340</t>
  </si>
  <si>
    <t>KPTG-TRANSMIT-004211</t>
  </si>
  <si>
    <t>TIVINTL-TRANSMIT-000013</t>
  </si>
  <si>
    <t>KPTG-TRANSMIT-004220</t>
  </si>
  <si>
    <t>Firesafe-TRANSMIT-000026</t>
  </si>
  <si>
    <t>KPTG-TRANSMIT-004212</t>
  </si>
  <si>
    <t>TIVINTL-TRANSMIT-000014</t>
  </si>
  <si>
    <t>KPTG-TRANSMIT-004222</t>
  </si>
  <si>
    <t>Civilex-TRANSMIT-000118</t>
  </si>
  <si>
    <t>KPTG-TRANSMIT-004215</t>
  </si>
  <si>
    <t>TIVINTL-TRANSMIT-000015</t>
  </si>
  <si>
    <t>KPTG-TRANSMIT-004223</t>
  </si>
  <si>
    <t>WAM-TRANSMIT-000869</t>
  </si>
  <si>
    <t>KPTG-TRANSMIT-004216</t>
  </si>
  <si>
    <t>TIVINTL-TRANSMIT-000010</t>
  </si>
  <si>
    <t>KPTG-TRANSMIT-004229</t>
  </si>
  <si>
    <t>TIVINTL-TRANSMIT-000012</t>
  </si>
  <si>
    <t>KPTG-TRANSMIT-004227</t>
  </si>
  <si>
    <t>Jangho-TRANSMIT-000370</t>
  </si>
  <si>
    <t>KPTG-TRANSMIT-004226</t>
  </si>
  <si>
    <t>WAM-TRANSMIT-000870</t>
  </si>
  <si>
    <t>#1387</t>
  </si>
  <si>
    <t>Jangho-TRANSMIT-000348</t>
  </si>
  <si>
    <t>KPTG-TRANSMIT-004186</t>
  </si>
  <si>
    <t>Jangho-TRANSMIT-000365</t>
  </si>
  <si>
    <t>KPTG-TRANSMIT-004190</t>
  </si>
  <si>
    <t>#1388 | WF-001412</t>
  </si>
  <si>
    <t>L.E.S.-TRANSMIT-000081</t>
  </si>
  <si>
    <t>KPTG-TRANSMIT-004191</t>
  </si>
  <si>
    <t>Jangho-TRANSMIT-000366</t>
  </si>
  <si>
    <t>WF-001411</t>
  </si>
  <si>
    <t>KPTG-TRANSMIT-004193</t>
  </si>
  <si>
    <t>L.E.S.-TRANSMIT-000087</t>
  </si>
  <si>
    <t>#1390</t>
  </si>
  <si>
    <t>KALLIBRE-TRANSMIT-000006</t>
  </si>
  <si>
    <t>Rejected - KPTG-TRANSMIT-004195</t>
  </si>
  <si>
    <t>KPTG-WTRAN-002990</t>
  </si>
  <si>
    <t>KPTG-TRANSMIT-004200DECA-ST-SMP-006 -PLACED IN WORKFLOW AS MENTIONED IN TEAMS</t>
  </si>
  <si>
    <t>KALLIBRE-TRANSMIT-000007</t>
  </si>
  <si>
    <t>#1392</t>
  </si>
  <si>
    <t>KPTG-TRANSMIT-004201</t>
  </si>
  <si>
    <t>WF-001394</t>
  </si>
  <si>
    <t>Jangho-TRANSMIT-000364</t>
  </si>
  <si>
    <t>KPTG-TRANSMIT-004202</t>
  </si>
  <si>
    <t>Rejected - Previous revision under review</t>
  </si>
  <si>
    <t>#1394</t>
  </si>
  <si>
    <t>#1377</t>
  </si>
  <si>
    <t>RDSBIM-TRANSMIT-000112</t>
  </si>
  <si>
    <t>KPTG-TRANSMIT-004181</t>
  </si>
  <si>
    <t>#1380</t>
  </si>
  <si>
    <t>KALLIBRE-TRANSMIT-000003</t>
  </si>
  <si>
    <t>KPTG-TRANSMIT-004182</t>
  </si>
  <si>
    <t>#1382</t>
  </si>
  <si>
    <t>G&amp;CHyd-TRANSMIT-000038</t>
  </si>
  <si>
    <t>KPTG-TRANSMIT-004183</t>
  </si>
  <si>
    <t>WF-001409</t>
  </si>
  <si>
    <t># 1373</t>
  </si>
  <si>
    <t>L.E.S.-TRANSMIT-000060</t>
  </si>
  <si>
    <t>KPTG-TRANSMIT-004149</t>
  </si>
  <si>
    <t>Jaycon-TRANSMIT-000002</t>
  </si>
  <si>
    <t>rejected : KPTG-TRANSMIT-004121</t>
  </si>
  <si>
    <t>WAM-TRANSMIT-000872</t>
  </si>
  <si>
    <t>ejected KPTG-TRANSMIT-004108</t>
  </si>
  <si>
    <t>WF-001395</t>
  </si>
  <si>
    <t>ccair-TRANSMIT-000022</t>
  </si>
  <si>
    <t>KPTG-TRANSMIT-004122</t>
  </si>
  <si>
    <t>Jangho-TRANSMIT-000363</t>
  </si>
  <si>
    <t>rejected: KPTG-TRANSMIT-004125</t>
  </si>
  <si>
    <t>REJECTED: KPTG-TRANSMIT-004125</t>
  </si>
  <si>
    <t>#1385, WF-001400</t>
  </si>
  <si>
    <t>L.E.S.-TRANSMIT-000048</t>
  </si>
  <si>
    <t>KPTG-TRANSMIT-004123</t>
  </si>
  <si>
    <t>WF-001397</t>
  </si>
  <si>
    <t>L.E.S.-TRANSMIT-000038</t>
  </si>
  <si>
    <t>KPTG-TRANSMIT-004126</t>
  </si>
  <si>
    <t>L.E.S.-TRANSMIT-000085</t>
  </si>
  <si>
    <t>Rejected - Incorrect trade partner code</t>
  </si>
  <si>
    <t>ccair-TRANSMIT-000020</t>
  </si>
  <si>
    <t>KPTG-TRANSMIT-004127</t>
  </si>
  <si>
    <t>L.E.S.-TRANSMIT-000086</t>
  </si>
  <si>
    <t>#1360</t>
  </si>
  <si>
    <t>REJECTED: KPTG-TRANSMIT-004117</t>
  </si>
  <si>
    <t>ZLH P/L-TRANSMIT-000001</t>
  </si>
  <si>
    <t>rejected: KPTG-TRANSMIT-004129</t>
  </si>
  <si>
    <t>Axiom-TRANSMIT-000026</t>
  </si>
  <si>
    <t>KPTG-TRANSMIT-004105</t>
  </si>
  <si>
    <t>Axiom-TRANSMIT-000030</t>
  </si>
  <si>
    <t>KPTG-TRANSMIT-004109</t>
  </si>
  <si>
    <t>WAM-TRANSMIT-000850</t>
  </si>
  <si>
    <t>KPTG-TRANSMIT-004099</t>
  </si>
  <si>
    <t>WAM-TRANSMIT-000863</t>
  </si>
  <si>
    <t>WAM-TRANSMIT-000864</t>
  </si>
  <si>
    <t>KPTG-TRANSMIT-004102</t>
  </si>
  <si>
    <t>G&amp;CHyd-TRANSMIT-000030 </t>
  </si>
  <si>
    <t>KPTG-TRANSMIT-004137</t>
  </si>
  <si>
    <t>JANGHO-FAC-SMP-026,27,28,29,30,31,41,77,78,104 - FACADE SAMPLES</t>
  </si>
  <si>
    <t>KPTG-TRANSMIT-004139</t>
  </si>
  <si>
    <t>L.E.S.-TRANSMIT-000068</t>
  </si>
  <si>
    <t>KPTG-TRANSMIT-004142</t>
  </si>
  <si>
    <t>G&amp;CHyd-TRANSMIT-000018 WF-1220</t>
  </si>
  <si>
    <t>KPTG-TRANSMIT-004144</t>
  </si>
  <si>
    <t>L.E.S.-TRANSMIT-000069</t>
  </si>
  <si>
    <t>KPTG-TRANSMIT-004146</t>
  </si>
  <si>
    <t>WAM-TRANSMIT-000871</t>
  </si>
  <si>
    <t>KPTG-TRANSMIT-004130</t>
  </si>
  <si>
    <t>RDSBIM-TRANSMIT-000113</t>
  </si>
  <si>
    <t>KPTG-TRANSMIT-004133</t>
  </si>
  <si>
    <t>PCForm-TRANSMIT-000314</t>
  </si>
  <si>
    <t>KPTG-TRANSMIT-004135</t>
  </si>
  <si>
    <t xml:space="preserve">REPLACED BY RDSBIM-TRANSMIT-000114 </t>
  </si>
  <si>
    <t>L.E.S.-TRANSMIT-000075 - #1323</t>
  </si>
  <si>
    <t>KPTG-TRANSMIT-004074</t>
  </si>
  <si>
    <t xml:space="preserve">RDSBIM-TRANSMIT-000114 </t>
  </si>
  <si>
    <t># 1350, WF-001387</t>
  </si>
  <si>
    <t>WAM-TRANSMIT-000867</t>
  </si>
  <si>
    <t>KPTG-TRANSMIT-004083</t>
  </si>
  <si>
    <t>L.E.S.-TRANSMIT-000082</t>
  </si>
  <si>
    <t>#1352, WF-001388</t>
  </si>
  <si>
    <t>Jangho-TRANSMIT-000343 acc 1346</t>
  </si>
  <si>
    <t>KPTG-TRANSMIT-004076</t>
  </si>
  <si>
    <t>L.E.S.-TRANSMIT-000083</t>
  </si>
  <si>
    <t xml:space="preserve"># 1354, </t>
  </si>
  <si>
    <t>RDSBIM-TRANSMIT-000110</t>
  </si>
  <si>
    <t>KPTG-TRANSMIT-004080</t>
  </si>
  <si>
    <t>KPTG-IntCorr-001440 - john to clarify - WF-001393</t>
  </si>
  <si>
    <t>L.E.S.-TRANSMIT-000047</t>
  </si>
  <si>
    <t>KPTG-TRANSMIT-004086</t>
  </si>
  <si>
    <t>WF-001389</t>
  </si>
  <si>
    <t>D&amp;E-TRANSMIT-000019</t>
  </si>
  <si>
    <t>KPTG-TRANSMIT-004087</t>
  </si>
  <si>
    <t>REJECTED: KPTG-TRANSMIT-004096</t>
  </si>
  <si>
    <t>ccair-TRANSMIT-000034</t>
  </si>
  <si>
    <t>KPTG-TRANSMIT-004093</t>
  </si>
  <si>
    <t>REJECTED: KPTG-TRANSMIT-004097</t>
  </si>
  <si>
    <t>OveArup-TRANSMIT-000046</t>
  </si>
  <si>
    <t>KPTG-TRANSMIT-004089</t>
  </si>
  <si>
    <t>Jangho-TRANSMIT-000361</t>
  </si>
  <si>
    <t>#1356, WF-001401</t>
  </si>
  <si>
    <t>#1347, WF-001385</t>
  </si>
  <si>
    <t>process tomorrow - rejected KPTG-TRANSMIT-004108</t>
  </si>
  <si>
    <t>G&amp;CHyd-TRANSMIT-000033</t>
  </si>
  <si>
    <t>REPLACED BY G&amp;CHyd-TRANSMIT-000034</t>
  </si>
  <si>
    <t>L.E.S.-TRANSMIT-000084</t>
  </si>
  <si>
    <t>process tomorrow - WF-001396</t>
  </si>
  <si>
    <t>G&amp;CHyd-TRANSMIT-000034</t>
  </si>
  <si>
    <t>process tomorrow</t>
  </si>
  <si>
    <t>PCForm-TRANSMIT-000329</t>
  </si>
  <si>
    <t>WAM-TRANSMIT-000862</t>
  </si>
  <si>
    <t>JOHN TO CLARIFY</t>
  </si>
  <si>
    <t>#1345, WF-001381</t>
  </si>
  <si>
    <t>ccair-TRANSMIT-000026 - acc 1253</t>
  </si>
  <si>
    <t>KPTG-TRANSMIT-004064</t>
  </si>
  <si>
    <t>G&amp;CHyd-TRANSMIT-000035</t>
  </si>
  <si>
    <t>WF-001382</t>
  </si>
  <si>
    <t>Firesafe-TRANSMIT-000021</t>
  </si>
  <si>
    <t>KPTG-TRANSMIT-004065</t>
  </si>
  <si>
    <t>WF-001383</t>
  </si>
  <si>
    <t xml:space="preserve">WAM-TRANSMIT-000865  ACC 1309	</t>
  </si>
  <si>
    <t>KPTG-TRANSMIT-004067</t>
  </si>
  <si>
    <t> Jangho-TRANSMIT-000343</t>
  </si>
  <si>
    <t>#1346, WF-001386</t>
  </si>
  <si>
    <t>G&amp;CHyd-TRANSMIT-000005</t>
  </si>
  <si>
    <t>KPTG-TRANSMIT-004070</t>
  </si>
  <si>
    <t>Jangho-TRANSMIT-000332 ACC 1203</t>
  </si>
  <si>
    <t>KPTG-TRANSMIT-004062</t>
  </si>
  <si>
    <t>L.E.S.-TRANSMIT-000070 </t>
  </si>
  <si>
    <t>KPTG-TRANSMIT-004072</t>
  </si>
  <si>
    <t>#1339, WF-001377</t>
  </si>
  <si>
    <t>PCForm-TRANSMIT-000332</t>
  </si>
  <si>
    <t>KPTG-TRANSMIT-004046</t>
  </si>
  <si>
    <t>Y</t>
  </si>
  <si>
    <t>already processed and closed L.E.S. TRN # 72</t>
  </si>
  <si>
    <t>KPTG-TRANSMIT-004044</t>
  </si>
  <si>
    <t>y</t>
  </si>
  <si>
    <t>#1341, WF-001378</t>
  </si>
  <si>
    <t>Jangho-TRANSMIT-000338</t>
  </si>
  <si>
    <t>KPTG-TRANSMIT-004042</t>
  </si>
  <si>
    <t>#1343, WF-001379</t>
  </si>
  <si>
    <t>RDSBIM-TRANSMIT-000111</t>
  </si>
  <si>
    <t>KPTG-TRANSMIT-004048</t>
  </si>
  <si>
    <t># 1337, WF-001376</t>
  </si>
  <si>
    <t>Jangho-TRANSMIT-000339</t>
  </si>
  <si>
    <t>KPTG-TRANSMIT-004040</t>
  </si>
  <si>
    <t>#1335, WF-001380</t>
  </si>
  <si>
    <t> INGEN3D-TRANSMIT-000271</t>
  </si>
  <si>
    <t>KPTG-TRANSMIT-004053</t>
  </si>
  <si>
    <t>NA</t>
  </si>
  <si>
    <t>ccair-TRANSMIT-000023</t>
  </si>
  <si>
    <t>KPTG-TRANSMIT-004055</t>
  </si>
  <si>
    <t>L.E.S.-TRANSMIT-000005</t>
  </si>
  <si>
    <t>KPTG-TRANSMIT-004057</t>
  </si>
  <si>
    <t>L.E.S.-TRANSMIT-000076</t>
  </si>
  <si>
    <t>rejected: KPTG-TRANSMIT-004030</t>
  </si>
  <si>
    <t>BIMF-TRANSMIT-000031</t>
  </si>
  <si>
    <t>already processed rcvd BIMF Trn#28</t>
  </si>
  <si>
    <t>KPTG-TRANSMIT-004059 rejected</t>
  </si>
  <si>
    <t>L.E.S.-TRANSMIT-000070</t>
  </si>
  <si>
    <t>Jangho-TRANSMIT-000332</t>
  </si>
  <si>
    <t xml:space="preserve">CLARIFY IF RQRD </t>
  </si>
  <si>
    <t>RDSBIM-TRANSMIT-000108</t>
  </si>
  <si>
    <t>Replaced by 109</t>
  </si>
  <si>
    <t>L.E.S.-TRANSMIT-000057</t>
  </si>
  <si>
    <t>KPTG-TRANSMIT-004009</t>
  </si>
  <si>
    <t>RDSBIM-TRANSMIT-000109</t>
  </si>
  <si>
    <t># 1311,WF-001363</t>
  </si>
  <si>
    <t>KALLIBRE-TRANSMIT-000001</t>
  </si>
  <si>
    <t>KPTG-TRANSMIT-004017</t>
  </si>
  <si>
    <t>#1321, WF-001370</t>
  </si>
  <si>
    <t>RDSBIM-TRANSMIT-000100</t>
  </si>
  <si>
    <t>KPTG-TRANSMIT-004015</t>
  </si>
  <si>
    <t>no</t>
  </si>
  <si>
    <t xml:space="preserve">#1316, WF-001362 </t>
  </si>
  <si>
    <t>RDSBIM-TRANSMIT-000107</t>
  </si>
  <si>
    <t>KPTG-TRANSMIT-004013</t>
  </si>
  <si>
    <t>#1325, WF-001369</t>
  </si>
  <si>
    <t>KPTG-TRANSMIT-004019</t>
  </si>
  <si>
    <t>#1327, WF-001371</t>
  </si>
  <si>
    <t>JANGHO-FAC-SMP-026,27,28,29,30,31,41,77,78,104 Final (WF-001325)</t>
  </si>
  <si>
    <t>KPTG-TRANSMIT-004026</t>
  </si>
  <si>
    <t>na</t>
  </si>
  <si>
    <t>Jangho-TRANSMIT-000331</t>
  </si>
  <si>
    <t>KPTG-TRANSMIT-004027</t>
  </si>
  <si>
    <t>L.E.S.-TRANSMIT-000075</t>
  </si>
  <si>
    <t>#1323, WF-001367</t>
  </si>
  <si>
    <t>Jangho-TRANSMIT-000330</t>
  </si>
  <si>
    <t>KPTG-TRANSMIT-004029</t>
  </si>
  <si>
    <t>PCForm-TRANSMIT-000330 - Lvl 1</t>
  </si>
  <si>
    <t>KPTG-TRANSMIT-004022</t>
  </si>
  <si>
    <t>#1331, WF-001373</t>
  </si>
  <si>
    <t>PCForm-TRANSMIT-000330 - Lvl 2</t>
  </si>
  <si>
    <t>PCForm-TRANSMIT-000330 - Lvl 4</t>
  </si>
  <si>
    <t>#1333, WF-001375</t>
  </si>
  <si>
    <t>#1329, WF-001372</t>
  </si>
  <si>
    <t>#1320, WF-001374</t>
  </si>
  <si>
    <t>G&amp;CHyd-TRANSMIT-000011 - client</t>
  </si>
  <si>
    <t>WF-001353</t>
  </si>
  <si>
    <t>WF-001230 - G&amp;CHyd-TRANSMIT-000017</t>
  </si>
  <si>
    <t>Received revised doc - G&amp;CHyd-TRANSMIT-000031</t>
  </si>
  <si>
    <t>L.E.S.-TRANSMIT-000070 - B1 ARGO-1200 [A]</t>
  </si>
  <si>
    <t>WF-001354</t>
  </si>
  <si>
    <t>WF-001328 - L.E.S.-TRANSMIT-000070</t>
  </si>
  <si>
    <t>TERMINATED AND REISSUED - WF-1354</t>
  </si>
  <si>
    <t># 1305, WF-001357</t>
  </si>
  <si>
    <t>RDSBIM-TRANSMIT-000106</t>
  </si>
  <si>
    <t>KPTG-TRANSMIT-003985</t>
  </si>
  <si>
    <t>WAM-TRANSMIT-000868</t>
  </si>
  <si>
    <t>WF-001361</t>
  </si>
  <si>
    <t>L.E.S.-TRANSMIT-000065</t>
  </si>
  <si>
    <t>KPTG-TRANSMIT-003991</t>
  </si>
  <si>
    <t>WF-001360</t>
  </si>
  <si>
    <t>L.E.S.-TRANSMIT-000066</t>
  </si>
  <si>
    <t>KPTG-TRANSMIT-003989</t>
  </si>
  <si>
    <t># 1307, WF-001355</t>
  </si>
  <si>
    <t>L.E.S.-TRANSMIT-000056</t>
  </si>
  <si>
    <t>KPTG-TRANSMIT-003988</t>
  </si>
  <si>
    <t># 1314</t>
  </si>
  <si>
    <t>Firesafe-TRANSMIT-000019</t>
  </si>
  <si>
    <t>KPTG-TRANSMIT-003987</t>
  </si>
  <si>
    <t># 1313</t>
  </si>
  <si>
    <t>PCForm-TRANSMIT-000306</t>
  </si>
  <si>
    <t>KPTG-TRANSMIT-004007</t>
  </si>
  <si>
    <t># 1312</t>
  </si>
  <si>
    <t>L.E.S.-TRANSMIT-000061</t>
  </si>
  <si>
    <t>KPTG-TRANSMIT-003995</t>
  </si>
  <si>
    <t>Jangho-TRANSMIT-000355</t>
  </si>
  <si>
    <t>replaced by Jangho-TRANSMIT-000357</t>
  </si>
  <si>
    <t>BIMF-TRANSMIT-000026</t>
  </si>
  <si>
    <t>KPTG-TRANSMIT-003996</t>
  </si>
  <si>
    <t>Jangho-TRANSMIT-000357</t>
  </si>
  <si>
    <t>WF-001358</t>
  </si>
  <si>
    <t>L.E.S.-TRANSMIT-000062</t>
  </si>
  <si>
    <t>KPTG-TRANSMIT-003993</t>
  </si>
  <si>
    <t>Jangho-TRANSMIT-000356</t>
  </si>
  <si>
    <t>INGEN3D-TRANSMIT-000270</t>
  </si>
  <si>
    <t>KPTG-TRANSMIT-003998</t>
  </si>
  <si>
    <t>WAM-TRANSMIT-000865</t>
  </si>
  <si>
    <t>#1309</t>
  </si>
  <si>
    <t>INGEN3D-TRANSMIT-000269</t>
  </si>
  <si>
    <t>KPTG-TRANSMIT-004000</t>
  </si>
  <si>
    <t>KPTG-IntCorr-001402 - Jaan to confirm</t>
  </si>
  <si>
    <t>INGEN3D-TRANSMIT-000268</t>
  </si>
  <si>
    <t>KPTG-TRANSMIT-004002</t>
  </si>
  <si>
    <t>G&amp;CHyd-TRANSMIT-000031</t>
  </si>
  <si>
    <t>WF-001359</t>
  </si>
  <si>
    <t>INGEN3D-TRANSMIT-000271</t>
  </si>
  <si>
    <t>WF-001335</t>
  </si>
  <si>
    <t>Civilex-TRANSMIT-000117</t>
  </si>
  <si>
    <t>KPTG-TRANSMIT-003969</t>
  </si>
  <si>
    <t>RDSBIM-TRANSMIT-000103</t>
  </si>
  <si>
    <t>#1289, WF-001336</t>
  </si>
  <si>
    <t>Jangho-TRANSMIT-000350</t>
  </si>
  <si>
    <t>rejected: KPTG-TRANSMIT-003941</t>
  </si>
  <si>
    <t>#1292, WF-001340</t>
  </si>
  <si>
    <t>rejected: KPTG-TRANSMIT-003967</t>
  </si>
  <si>
    <t># 1293, WF-001341</t>
  </si>
  <si>
    <t>replaced by TRN#32</t>
  </si>
  <si>
    <t>Jangho-TRANSMIT-000349</t>
  </si>
  <si>
    <t>WF-001344</t>
  </si>
  <si>
    <t>Firesafe-TRANSMIT-000025</t>
  </si>
  <si>
    <t>rejected: KPTG-TRANSMIT-003972</t>
  </si>
  <si>
    <t>KPTG-TRANSMIT-003965</t>
  </si>
  <si>
    <t>Jangho-TRANSMIT-000351</t>
  </si>
  <si>
    <t>WF-001345</t>
  </si>
  <si>
    <t>rejected: KPTG-TRANSMIT-003966</t>
  </si>
  <si>
    <t>Jangho-TRANSMIT-000352</t>
  </si>
  <si>
    <t>WF-001346</t>
  </si>
  <si>
    <t>WAM-TRANSMIT-000854</t>
  </si>
  <si>
    <t>KPTG-TRANSMIT-003963</t>
  </si>
  <si>
    <t>WAM-TRANSMIT-000859</t>
  </si>
  <si>
    <t>KPTG-TRANSMIT-003961</t>
  </si>
  <si>
    <t>Jangho-TRANSMIT-000343</t>
  </si>
  <si>
    <t>KPTG-TRANSMIT-003946</t>
  </si>
  <si>
    <t>G&amp;CHyd-TRANSMIT-000030</t>
  </si>
  <si>
    <t>WF-001351</t>
  </si>
  <si>
    <t>KPTG-IntCorr-001395 - clarification requested</t>
  </si>
  <si>
    <t xml:space="preserve">#1297, WF-001347 </t>
  </si>
  <si>
    <t>WAM-TRANSMIT-000866</t>
  </si>
  <si>
    <t>WF-001352</t>
  </si>
  <si>
    <t># 1298,</t>
  </si>
  <si>
    <t># 1302,  WF-001350</t>
  </si>
  <si>
    <t># 1300, WF-001348</t>
  </si>
  <si>
    <t>PCForm-TRANSMIT-000311 - LVL 7</t>
  </si>
  <si>
    <t>KPTG-TRANSMIT-003921</t>
  </si>
  <si>
    <t>PCForm-TRANSMIT-000311 - LVL 8, 9</t>
  </si>
  <si>
    <t>KPTG-TRANSMIT-003924</t>
  </si>
  <si>
    <t>PCForm-TRANSMIT-000311 - LVL 10</t>
  </si>
  <si>
    <t>KPTG-TRANSMIT-003927</t>
  </si>
  <si>
    <t>ArcadiaL-TRANSMIT-000009</t>
  </si>
  <si>
    <t>KPTG-TRANSMIT-003931</t>
  </si>
  <si>
    <t>#1294, WF-001342</t>
  </si>
  <si>
    <t>Jangho-TRANSMIT-000342</t>
  </si>
  <si>
    <t>KPTG-TRANSMIT-003928</t>
  </si>
  <si>
    <t>L.E.S.-TRANSMIT-000064</t>
  </si>
  <si>
    <t>WF-001343</t>
  </si>
  <si>
    <t>KPTG-TRANSMIT-003929</t>
  </si>
  <si>
    <t>RDSBIM-TRANSMIT-000090</t>
  </si>
  <si>
    <t>KPTG-TRANSMIT-003944</t>
  </si>
  <si>
    <t>RDSBIM-TRANSMIT-000101</t>
  </si>
  <si>
    <t>KPTG-TRANSMIT-003949</t>
  </si>
  <si>
    <t>RDSBIM-TRANSMIT-000102</t>
  </si>
  <si>
    <t>KPTG-TRANSMIT-003951</t>
  </si>
  <si>
    <t>RDSBIM-TRANSMIT-000091</t>
  </si>
  <si>
    <t>KPTG-TRANSMIT-003947</t>
  </si>
  <si>
    <t># 1262, WF-001319</t>
  </si>
  <si>
    <t>Jangho-TRANSMIT-000304</t>
  </si>
  <si>
    <t>KPTG-TRANSMIT-003885</t>
  </si>
  <si>
    <t>DECA-ST-SMP-004, DECA-ST-SMP-005</t>
  </si>
  <si>
    <t>WF-001323</t>
  </si>
  <si>
    <t xml:space="preserve">WAM-TRANSMIT-000851 </t>
  </si>
  <si>
    <t>KPTG-TRANSMIT-003893</t>
  </si>
  <si>
    <t>#1264, WF-001324</t>
  </si>
  <si>
    <t>RDSBIM-TRANSMIT-000092</t>
  </si>
  <si>
    <t>KPTG-TRANSMIT-003894</t>
  </si>
  <si>
    <t>JANGHO-FAC-SMP-026,27,28,29,30,31,41,77,78,104</t>
  </si>
  <si>
    <t>WF-001325</t>
  </si>
  <si>
    <t>Jangho-TRANSMIT-000071</t>
  </si>
  <si>
    <t>KPTG-TRANSMIT-003895</t>
  </si>
  <si>
    <t>WF-001320</t>
  </si>
  <si>
    <t>WAM-TRANSMIT-000860</t>
  </si>
  <si>
    <t>RE-ISSUED TRN#861</t>
  </si>
  <si>
    <t>WF-001321</t>
  </si>
  <si>
    <t>WF-001322</t>
  </si>
  <si>
    <t>#1266 , WF-001326</t>
  </si>
  <si>
    <t>#1268, WF-001327</t>
  </si>
  <si>
    <t>WAM-TRANSMIT-000861</t>
  </si>
  <si>
    <t>WF-001328</t>
  </si>
  <si>
    <t>#1260, WF-001313</t>
  </si>
  <si>
    <t>PCForm-TRANSMIT-000303</t>
  </si>
  <si>
    <t>KPTG-TRANSMIT-003851</t>
  </si>
  <si>
    <t>WF-001314</t>
  </si>
  <si>
    <t>Jangho-TRANSMIT-000333</t>
  </si>
  <si>
    <t>KPTG-TRANSMIT-003849</t>
  </si>
  <si>
    <t>Diadem-TRANSMIT-000003</t>
  </si>
  <si>
    <t>KPTG-TRANSMIT-003880 rejected</t>
  </si>
  <si>
    <t>WAM-TRANSMIT-000848</t>
  </si>
  <si>
    <t>KPTG-TRANSMIT-003845</t>
  </si>
  <si>
    <t>WF-001316</t>
  </si>
  <si>
    <t>PCForm-TRANSMIT-000311 - LVL 6</t>
  </si>
  <si>
    <t>KPTG-TRANSMIT-003860</t>
  </si>
  <si>
    <t>WF-001315</t>
  </si>
  <si>
    <t>INGEN3D-TRANSMIT-000260</t>
  </si>
  <si>
    <t>KPTG-TRANSMIT-003868</t>
  </si>
  <si>
    <t>PCForm-TRANSMIT-000325</t>
  </si>
  <si>
    <t>WF-001311</t>
  </si>
  <si>
    <t>INGEN3D-TRANSMIT-000258</t>
  </si>
  <si>
    <t>KPTG-TRANSMIT-003870</t>
  </si>
  <si>
    <t>L.E.S.-TRANSMIT-000020</t>
  </si>
  <si>
    <t>WF-001317</t>
  </si>
  <si>
    <t xml:space="preserve">INGEN3D-TRANSMIT-000256 </t>
  </si>
  <si>
    <t>KPTG-TRANSMIT-003872</t>
  </si>
  <si>
    <t>Axiom-TRANSMIT-000029</t>
  </si>
  <si>
    <t>REJECTED: KPTG-TRANSMIT-003850</t>
  </si>
  <si>
    <t>Jangho-TRANSMIT-000334</t>
  </si>
  <si>
    <t>Traf Grp-TRANSMIT-000013</t>
  </si>
  <si>
    <t>REJECTED: KPTG-TRANSMIT-003848</t>
  </si>
  <si>
    <t>RDSBIM-TRANSMIT-000096</t>
  </si>
  <si>
    <t>KPTG-TRANSMIT-003878</t>
  </si>
  <si>
    <t>RDSBIM-TRANSMIT-000099</t>
  </si>
  <si>
    <t>G&amp;CHyd-TRANSMIT-000025</t>
  </si>
  <si>
    <t>KPTG-TRANSMIT-003874</t>
  </si>
  <si>
    <t>G&amp;CHyd-TRANSMIT-000026</t>
  </si>
  <si>
    <t>KPTG-TRANSMIT-003876</t>
  </si>
  <si>
    <t>G&amp;CHyd-TRANSMIT-000017</t>
  </si>
  <si>
    <t>KPTG-TRANSMIT-003866</t>
  </si>
  <si>
    <t>G&amp;CHyd-TRANSMIT-000016</t>
  </si>
  <si>
    <t>KPTG-TRANSMIT-003864</t>
  </si>
  <si>
    <t>PCForm-TRANSMIT-000311 - LVL 5</t>
  </si>
  <si>
    <t>KPTG-TRANSMIT-003862</t>
  </si>
  <si>
    <t>WF-001304</t>
  </si>
  <si>
    <t>KPTG-TRANSMIT-003825</t>
  </si>
  <si>
    <t>KALLIBRE-TRANSMIT-000002</t>
  </si>
  <si>
    <t>#1251, WF-001305</t>
  </si>
  <si>
    <t>Jangho-TRANSMIT-000259</t>
  </si>
  <si>
    <t>KPTG-TRANSMIT-003827</t>
  </si>
  <si>
    <t># 1252, submitted along with RDS-96 - WF-001306</t>
  </si>
  <si>
    <t>Jangho-TRANSMIT-000260</t>
  </si>
  <si>
    <t>KPTG-TRANSMIT-003830</t>
  </si>
  <si>
    <t>#1253, WF-001307</t>
  </si>
  <si>
    <t>Jangho-TRANSMIT-000311</t>
  </si>
  <si>
    <t>KPTG-TRANSMIT-003832</t>
  </si>
  <si>
    <t>#1255, WF-001308</t>
  </si>
  <si>
    <t>NUBRIK-FA-SMP-002 (WF-001148)</t>
  </si>
  <si>
    <t>KPTG-TRANSMIT-003834</t>
  </si>
  <si>
    <t>PCForm-TRANSMIT-000323</t>
  </si>
  <si>
    <t>rejected: KPTG-TRANSMIT-003840</t>
  </si>
  <si>
    <t>NUBRIK-FA-SMP-004 (WF-001150)</t>
  </si>
  <si>
    <t>KPTG-TRANSMIT-003835</t>
  </si>
  <si>
    <t xml:space="preserve">#1257, </t>
  </si>
  <si>
    <t>NUBRIK-FA-SMP-003 (WF-001149)</t>
  </si>
  <si>
    <t>KPTG-TRANSMIT-003836</t>
  </si>
  <si>
    <t>Jangho-TRANSMIT-000345</t>
  </si>
  <si>
    <t>rejected: KPTG-TRANSMIT-003844</t>
  </si>
  <si>
    <t>Axiom-TRANSMIT-000024</t>
  </si>
  <si>
    <t>KPTG-TRANSMIT-003837</t>
  </si>
  <si>
    <t>L.E.S.-TRANSMIT-000067</t>
  </si>
  <si>
    <t>KPTG-TRANSMIT-003843 REJECTED</t>
  </si>
  <si>
    <t>AUS-ST-SMP-004 (WF-000820)</t>
  </si>
  <si>
    <t>KPTG-TRANSMIT-003839</t>
  </si>
  <si>
    <t>Teams message - Nicholas(WF-001245)</t>
  </si>
  <si>
    <t>KPTG-TRANSMIT-003841</t>
  </si>
  <si>
    <t>#1240, WF-001301</t>
  </si>
  <si>
    <t>WAM-TRANSMIT-000852</t>
  </si>
  <si>
    <t>KPTG-TRANSMIT-003818</t>
  </si>
  <si>
    <t>RDSBIM-TRANSMIT-000097</t>
  </si>
  <si>
    <t>#1241, WF-001302</t>
  </si>
  <si>
    <t>WAM-TRANSMIT-000858</t>
  </si>
  <si>
    <t>KPTG-TRANSMIT-003819</t>
  </si>
  <si>
    <t>Jangho-TRANSMIT-000341</t>
  </si>
  <si>
    <t>WF-001295</t>
  </si>
  <si>
    <t>ccair-TRANSMIT-000025</t>
  </si>
  <si>
    <t>rejected: KPTG-TRANSMIT-003823</t>
  </si>
  <si>
    <t>WF-001296</t>
  </si>
  <si>
    <t>Jangho-TRANSMIT-000344</t>
  </si>
  <si>
    <t>KPTG-TRANSMIT-003822 rejected</t>
  </si>
  <si>
    <t># 1244, WF-001298</t>
  </si>
  <si>
    <t>Jangho-TRANSMIT-000333, 334</t>
  </si>
  <si>
    <t>KPTG-TRANSMIT-003822</t>
  </si>
  <si>
    <t>#1247, WF-001303</t>
  </si>
  <si>
    <t>Bradley mail - FRV 34803 report</t>
  </si>
  <si>
    <t>registered and forwarded to all parties - KPTG-TRANSMIT-003792</t>
  </si>
  <si>
    <t>WF-001289</t>
  </si>
  <si>
    <t>INGEN3D-TRANSMIT-000251, INGEN3D-TRANSMIT-000266</t>
  </si>
  <si>
    <t>KPTG-TRANSMIT-003801</t>
  </si>
  <si>
    <t>WF-001290</t>
  </si>
  <si>
    <t>RDSBIM-TRANSMIT-000094</t>
  </si>
  <si>
    <t>KPTG-TRANSMIT-003800</t>
  </si>
  <si>
    <t>WF-001291</t>
  </si>
  <si>
    <t>RDSBIM-TRANSMIT-000095</t>
  </si>
  <si>
    <t>KPTG-TRANSMIT-003803</t>
  </si>
  <si>
    <t>G&amp;CHyd-TRANSMIT-000024</t>
  </si>
  <si>
    <t>WF-001288</t>
  </si>
  <si>
    <t>L.E.S.-TRANSMIT-000059</t>
  </si>
  <si>
    <t>KPTG-TRANSMIT-003805</t>
  </si>
  <si>
    <t>WF-001287</t>
  </si>
  <si>
    <t>Jangho-TRANSMIT-000298</t>
  </si>
  <si>
    <t>KPTG-TRANSMIT-003795</t>
  </si>
  <si>
    <t>#1234, WF-001292</t>
  </si>
  <si>
    <t>Firesafe-TRANSMIT-000020</t>
  </si>
  <si>
    <t>REJECTED : KPTG-TRANSMIT-003799</t>
  </si>
  <si>
    <t># 1246, WF-001299</t>
  </si>
  <si>
    <t># 1245, WF-001297</t>
  </si>
  <si>
    <t>WF-001293</t>
  </si>
  <si>
    <t>#1232, WF-001294</t>
  </si>
  <si>
    <t>Jangho-TRANSMIT-000329</t>
  </si>
  <si>
    <t>WF-001280</t>
  </si>
  <si>
    <t>DECA-ST-SMP-003</t>
  </si>
  <si>
    <t>KPTG-TRANSMIT-003773</t>
  </si>
  <si>
    <t># 1222, WF-001281</t>
  </si>
  <si>
    <t>BIMF-TRANSMIT-000023</t>
  </si>
  <si>
    <t>KPTG-TRANSMIT-003775</t>
  </si>
  <si>
    <t># 1224, WF-001282</t>
  </si>
  <si>
    <t>BIMF-TRANSMIT-000024</t>
  </si>
  <si>
    <t>KPTG-TRANSMIT-003776</t>
  </si>
  <si>
    <t># 1226, WF-001283</t>
  </si>
  <si>
    <t>BIMF-TRANSMIT-000022</t>
  </si>
  <si>
    <t>KPTG-TRANSMIT-003774</t>
  </si>
  <si>
    <t xml:space="preserve">INGEN3D-TRANSMIT-000249 </t>
  </si>
  <si>
    <t>WF-001284</t>
  </si>
  <si>
    <t>Firesafe-TRANSMIT-000017</t>
  </si>
  <si>
    <t>KPTG-TRANSMIT-003786</t>
  </si>
  <si>
    <t># 1229, WF-001285</t>
  </si>
  <si>
    <t>ccair-TRANSMIT-000021 - IFA</t>
  </si>
  <si>
    <t>KPTG-TRANSMIT-003790</t>
  </si>
  <si>
    <t>KPTG-IntCorr-001328 John to Confirm - # 1230</t>
  </si>
  <si>
    <t>BIMF-TRANSMIT-000025</t>
  </si>
  <si>
    <t>KPTG-TRANSMIT-003777</t>
  </si>
  <si>
    <t>ccair-TRANSMIT-000021- IFC</t>
  </si>
  <si>
    <t>KPTG-TRANSMIT-003788</t>
  </si>
  <si>
    <t>KPTG-TRANSMIT-003780</t>
  </si>
  <si>
    <t>WAM-TRANSMIT-000857</t>
  </si>
  <si>
    <t>rejected: KPTG-TRANSMIT-003754</t>
  </si>
  <si>
    <t>Jangho-TRANSMIT-000287</t>
  </si>
  <si>
    <t>VOIDED by Jaanbir, Drawings terminated from DC w/flow</t>
  </si>
  <si>
    <t>WF-001278</t>
  </si>
  <si>
    <t>EFWC-TRANSMIT-000004</t>
  </si>
  <si>
    <t>KPTG-TRANSMIT-003755</t>
  </si>
  <si>
    <t>WAM-TRANSMIT-000856</t>
  </si>
  <si>
    <t>rejected: KPTG-TRANSMIT-003771</t>
  </si>
  <si>
    <t xml:space="preserve">RDSBIM-TRANSMIT-000083 </t>
  </si>
  <si>
    <t>KPTG-TRANSMIT-003768</t>
  </si>
  <si>
    <t>Jangho-TRANSMIT-000328</t>
  </si>
  <si>
    <t>KPTG-TRANSMIT-003767</t>
  </si>
  <si>
    <t>Jangho-TRANSMIT-000324</t>
  </si>
  <si>
    <t>KPTG-TRANSMIT-003766</t>
  </si>
  <si>
    <t>Jangho-TRANSMIT-000323</t>
  </si>
  <si>
    <t>KPTG-TRANSMIT-003765</t>
  </si>
  <si>
    <t>Jangho-TRANSMIT-000318</t>
  </si>
  <si>
    <t>KPTG-TRANSMIT-003764</t>
  </si>
  <si>
    <t>Jangho-TRANSMIT-000317</t>
  </si>
  <si>
    <t>KPTG-TRANSMIT-003763</t>
  </si>
  <si>
    <t>Firesafe-TRANSMIT-000018</t>
  </si>
  <si>
    <t>KPTG-TRANSMIT-003760</t>
  </si>
  <si>
    <t>L.E.S.-TRANSMIT-000058</t>
  </si>
  <si>
    <t>KPTG-TRANSMIT-003759</t>
  </si>
  <si>
    <t>RDSBIM-TRANSMIT-000093</t>
  </si>
  <si>
    <t>KPTG-TRANSMIT-003761</t>
  </si>
  <si>
    <t>Jangho-TRANSMIT-000292</t>
  </si>
  <si>
    <t>#1217, WF-001279</t>
  </si>
  <si>
    <t>Jangho-TRANSMIT-000210</t>
  </si>
  <si>
    <t>KPTG-TRANSMIT-003740</t>
  </si>
  <si>
    <t>WF-001275</t>
  </si>
  <si>
    <t>NGEN3D-TRANSMIT-000255</t>
  </si>
  <si>
    <t>KPTG-TRANSMIT-003736</t>
  </si>
  <si>
    <t>WF-001274</t>
  </si>
  <si>
    <t>INGEN3D-TRANSMIT-000263</t>
  </si>
  <si>
    <t>KPTG-TRANSMIT-003738</t>
  </si>
  <si>
    <t>#1214, WF-001277</t>
  </si>
  <si>
    <t>BIMF-TRANSMIT-000021</t>
  </si>
  <si>
    <t>KPTG-TRANSMIT-003742</t>
  </si>
  <si>
    <t>L.E.S.-TRANSMIT-000027</t>
  </si>
  <si>
    <t>WF-001276</t>
  </si>
  <si>
    <t>RDSBIM-TRANSMIT-000087</t>
  </si>
  <si>
    <t>KPTG-TRANSMIT-003744</t>
  </si>
  <si>
    <t>WAM-TRANSMIT-000847</t>
  </si>
  <si>
    <t>KPTG-TRANSMIT-003746</t>
  </si>
  <si>
    <t>WAM-TRANSMIT-000855</t>
  </si>
  <si>
    <t>KPTG-TRANSMIT-003749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</si>
</sst>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1"/>
      <color theme="1"/>
      <name val="Aptos Narrow"/>
      <family val="2"/>
      <charset val="134"/>
      <scheme val="minor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1"/>
      <color rgb="FF333333"/>
      <name val="Helvetica"/>
      <charset val="1"/>
    </font>
    <font>
      <sz val="11"/>
      <color rgb="FF222222"/>
      <name val="Arial"/>
      <family val="1"/>
      <charset val="1"/>
    </font>
    <font>
      <sz val="14"/>
      <color rgb="FF73746F"/>
      <name val="Helvetica"/>
      <charset val="1"/>
    </font>
    <font>
      <sz val="11"/>
      <color rgb="FF333333"/>
      <name val="Arial"/>
      <family val="2"/>
    </font>
    <font>
      <sz val="11"/>
      <color rgb="FFFF0000"/>
      <name val="Aptos Narrow"/>
      <family val="2"/>
      <charset val="134"/>
      <scheme val="minor"/>
    </font>
    <font>
      <sz val="12"/>
      <color theme="1"/>
      <name val="Arial"/>
    </font>
    <font>
      <b/>
      <sz val="14"/>
      <color theme="1"/>
      <name val="Arial"/>
    </font>
    <font>
      <sz val="11"/>
      <color theme="1"/>
      <name val="Calibri"/>
    </font>
    <font>
      <sz val="12"/>
      <color rgb="FF242424"/>
      <name val="Segoe UI"/>
      <charset val="1"/>
    </font>
    <font>
      <b/>
      <sz val="12"/>
      <color theme="0"/>
      <name val="Segoe UI"/>
      <charset val="1"/>
    </font>
    <font>
      <b/>
      <sz val="10"/>
      <color theme="1"/>
      <name val="Arial"/>
    </font>
    <font>
      <b/>
      <sz val="11"/>
      <color theme="1"/>
      <name val="Calibri"/>
    </font>
    <font>
      <b/>
      <sz val="10"/>
      <color theme="1"/>
      <name val="Calibri"/>
    </font>
    <font>
      <sz val="11"/>
      <color rgb="FF333333"/>
      <name val="Verdana"/>
    </font>
    <font>
      <sz val="11"/>
      <color rgb="FF222222"/>
      <name val="Verdana"/>
    </font>
    <font>
      <sz val="10"/>
      <color rgb="FF333333"/>
      <name val="Verdana"/>
    </font>
    <font>
      <sz val="10"/>
      <color theme="1"/>
      <name val="Aptos Narrow"/>
      <family val="2"/>
      <charset val="134"/>
      <scheme val="minor"/>
    </font>
    <font>
      <sz val="10"/>
      <color rgb="FF242424"/>
      <name val="Segoe UI"/>
      <charset val="1"/>
    </font>
    <font>
      <sz val="10"/>
      <color rgb="FF333333"/>
      <name val="Verdana"/>
      <family val="2"/>
    </font>
    <font>
      <b/>
      <sz val="10"/>
      <color rgb="FF333333"/>
      <name val="Calibri"/>
    </font>
    <font>
      <sz val="11"/>
      <color rgb="FF161513"/>
      <name val="Helvetica"/>
      <charset val="1"/>
    </font>
    <font>
      <sz val="11"/>
      <color rgb="FFFF0000"/>
      <name val="Helvetica"/>
      <charset val="1"/>
    </font>
    <font>
      <sz val="12"/>
      <color rgb="FFFF0000"/>
      <name val="Arial"/>
    </font>
    <font>
      <sz val="15"/>
      <color rgb="FF242424"/>
      <name val="Segoe UI Variable Text"/>
      <charset val="1"/>
    </font>
    <font>
      <sz val="12"/>
      <color theme="1"/>
      <name val="Times New Roman"/>
    </font>
    <font>
      <u/>
      <sz val="11"/>
      <color theme="10"/>
      <name val="Aptos Narrow"/>
      <family val="2"/>
      <charset val="134"/>
      <scheme val="minor"/>
    </font>
    <font>
      <b/>
      <sz val="11"/>
      <color rgb="FF333333"/>
      <name val="Helvetica"/>
      <charset val="1"/>
    </font>
    <font>
      <sz val="12"/>
      <color rgb="FF000000"/>
      <name val="Times New Roman"/>
    </font>
    <font>
      <sz val="10"/>
      <color rgb="FF000000"/>
      <name val="Times New Roman"/>
    </font>
    <font>
      <sz val="11"/>
      <color rgb="FF000000"/>
      <name val="Helvetica"/>
      <charset val="1"/>
    </font>
    <font>
      <sz val="11"/>
      <color rgb="FF000000"/>
      <name val="Aptos Narrow"/>
      <family val="2"/>
      <charset val="134"/>
      <scheme val="minor"/>
    </font>
    <font>
      <sz val="11"/>
      <color rgb="FF000000"/>
      <name val="Verdana"/>
    </font>
    <font>
      <sz val="12"/>
      <color rgb="FF333333"/>
      <name val="Arial"/>
    </font>
    <font>
      <sz val="12"/>
      <color rgb="FF000000"/>
      <name val="Arial"/>
    </font>
    <font>
      <sz val="12"/>
      <color rgb="FF73746F"/>
      <name val="Arial"/>
    </font>
    <font>
      <sz val="11"/>
      <color rgb="FF333333"/>
      <name val="Arial"/>
    </font>
    <font>
      <sz val="14"/>
      <color rgb="FF73746F"/>
      <name val="Arial"/>
    </font>
    <font>
      <sz val="11"/>
      <color rgb="FF605E5C"/>
      <name val="Arial"/>
    </font>
    <font>
      <sz val="11"/>
      <color theme="1"/>
      <name val="Arial"/>
    </font>
    <font>
      <sz val="11"/>
      <color rgb="FF000000"/>
      <name val="Arial"/>
    </font>
    <font>
      <sz val="10"/>
      <color rgb="FF000000"/>
      <name val="Arial"/>
    </font>
    <font>
      <sz val="11"/>
      <color rgb="FF222222"/>
      <name val="Arial"/>
    </font>
    <font>
      <sz val="10"/>
      <color rgb="FF333333"/>
      <name val="Arial"/>
    </font>
    <font>
      <sz val="10"/>
      <color rgb="FF333333"/>
      <name val="Times New Roman"/>
    </font>
    <font>
      <sz val="10"/>
      <color theme="1"/>
      <name val="Times New Roman"/>
    </font>
    <font>
      <sz val="10"/>
      <color rgb="FF605E5C"/>
      <name val="Times New Roman"/>
    </font>
    <font>
      <b/>
      <sz val="11"/>
      <color theme="1"/>
      <name val="Arial"/>
    </font>
    <font>
      <sz val="11"/>
      <color rgb="FF73746F"/>
      <name val="Arial"/>
    </font>
    <font>
      <b/>
      <sz val="14"/>
      <color theme="0"/>
      <name val="Arial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198">
    <xf numFmtId="0" fontId="0" fillId="0" borderId="0" xfId="0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5" borderId="0" xfId="0" applyFont="1" applyFill="1" applyAlignment="1">
      <alignment wrapText="1"/>
    </xf>
    <xf numFmtId="0" fontId="10" fillId="0" borderId="1" xfId="0" applyFont="1" applyBorder="1" applyAlignment="1">
      <alignment horizontal="center" vertical="center"/>
    </xf>
    <xf numFmtId="0" fontId="7" fillId="0" borderId="0" xfId="0" applyFont="1"/>
    <xf numFmtId="0" fontId="11" fillId="0" borderId="1" xfId="0" applyFont="1" applyBorder="1"/>
    <xf numFmtId="0" fontId="0" fillId="6" borderId="0" xfId="0" applyFill="1"/>
    <xf numFmtId="0" fontId="11" fillId="0" borderId="0" xfId="0" applyFont="1"/>
    <xf numFmtId="0" fontId="3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6" borderId="1" xfId="0" applyFill="1" applyBorder="1"/>
    <xf numFmtId="0" fontId="1" fillId="7" borderId="3" xfId="0" applyFont="1" applyFill="1" applyBorder="1" applyAlignment="1">
      <alignment vertical="center"/>
    </xf>
    <xf numFmtId="14" fontId="1" fillId="7" borderId="9" xfId="0" applyNumberFormat="1" applyFont="1" applyFill="1" applyBorder="1" applyAlignment="1">
      <alignment horizontal="left" vertical="center"/>
    </xf>
    <xf numFmtId="14" fontId="1" fillId="7" borderId="9" xfId="0" applyNumberFormat="1" applyFont="1" applyFill="1" applyBorder="1" applyAlignment="1">
      <alignment vertical="center"/>
    </xf>
    <xf numFmtId="0" fontId="1" fillId="7" borderId="9" xfId="0" applyFont="1" applyFill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6" borderId="13" xfId="0" applyFont="1" applyFill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7" borderId="7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7" fillId="6" borderId="1" xfId="0" applyFont="1" applyFill="1" applyBorder="1"/>
    <xf numFmtId="0" fontId="16" fillId="0" borderId="1" xfId="0" applyFont="1" applyBorder="1" applyAlignment="1">
      <alignment horizontal="center" vertical="center" indent="1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21" fillId="6" borderId="1" xfId="0" applyFont="1" applyFill="1" applyBorder="1" applyAlignment="1">
      <alignment vertical="center" wrapText="1"/>
    </xf>
    <xf numFmtId="0" fontId="15" fillId="7" borderId="20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/>
    </xf>
    <xf numFmtId="0" fontId="15" fillId="7" borderId="2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11" fillId="0" borderId="2" xfId="0" applyFont="1" applyBorder="1"/>
    <xf numFmtId="0" fontId="3" fillId="0" borderId="2" xfId="0" applyFont="1" applyBorder="1"/>
    <xf numFmtId="0" fontId="3" fillId="0" borderId="1" xfId="0" applyFont="1" applyBorder="1"/>
    <xf numFmtId="0" fontId="0" fillId="0" borderId="2" xfId="0" applyBorder="1"/>
    <xf numFmtId="0" fontId="3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/>
    <xf numFmtId="0" fontId="11" fillId="0" borderId="1" xfId="0" applyFont="1" applyBorder="1" applyAlignment="1">
      <alignment wrapText="1"/>
    </xf>
    <xf numFmtId="0" fontId="11" fillId="0" borderId="4" xfId="0" applyFont="1" applyBorder="1"/>
    <xf numFmtId="0" fontId="11" fillId="0" borderId="4" xfId="0" applyFont="1" applyBorder="1" applyAlignment="1">
      <alignment wrapText="1"/>
    </xf>
    <xf numFmtId="0" fontId="23" fillId="0" borderId="1" xfId="0" applyFont="1" applyBorder="1"/>
    <xf numFmtId="0" fontId="17" fillId="6" borderId="2" xfId="0" applyFont="1" applyFill="1" applyBorder="1"/>
    <xf numFmtId="0" fontId="0" fillId="6" borderId="4" xfId="0" applyFill="1" applyBorder="1"/>
    <xf numFmtId="0" fontId="11" fillId="6" borderId="1" xfId="0" applyFont="1" applyFill="1" applyBorder="1"/>
    <xf numFmtId="0" fontId="21" fillId="6" borderId="2" xfId="0" applyFont="1" applyFill="1" applyBorder="1" applyAlignment="1">
      <alignment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vertical="center" wrapText="1"/>
    </xf>
    <xf numFmtId="0" fontId="0" fillId="6" borderId="2" xfId="0" applyFill="1" applyBorder="1"/>
    <xf numFmtId="0" fontId="16" fillId="0" borderId="2" xfId="0" applyFont="1" applyBorder="1" applyAlignment="1">
      <alignment vertical="center"/>
    </xf>
    <xf numFmtId="0" fontId="16" fillId="0" borderId="2" xfId="0" applyFont="1" applyBorder="1"/>
    <xf numFmtId="0" fontId="3" fillId="6" borderId="1" xfId="0" applyFont="1" applyFill="1" applyBorder="1"/>
    <xf numFmtId="0" fontId="5" fillId="6" borderId="1" xfId="0" applyFont="1" applyFill="1" applyBorder="1" applyAlignment="1">
      <alignment wrapText="1"/>
    </xf>
    <xf numFmtId="0" fontId="17" fillId="6" borderId="4" xfId="0" applyFont="1" applyFill="1" applyBorder="1"/>
    <xf numFmtId="0" fontId="17" fillId="6" borderId="22" xfId="0" applyFont="1" applyFill="1" applyBorder="1"/>
    <xf numFmtId="0" fontId="3" fillId="0" borderId="22" xfId="0" applyFont="1" applyBorder="1"/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24" fillId="0" borderId="1" xfId="0" applyFont="1" applyBorder="1"/>
    <xf numFmtId="14" fontId="7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wrapText="1"/>
    </xf>
    <xf numFmtId="0" fontId="26" fillId="0" borderId="0" xfId="0" applyFont="1"/>
    <xf numFmtId="0" fontId="27" fillId="5" borderId="1" xfId="0" applyFont="1" applyFill="1" applyBorder="1" applyAlignment="1">
      <alignment wrapText="1"/>
    </xf>
    <xf numFmtId="0" fontId="0" fillId="6" borderId="1" xfId="0" applyFill="1" applyBorder="1" applyAlignment="1">
      <alignment vertical="center"/>
    </xf>
    <xf numFmtId="0" fontId="27" fillId="6" borderId="1" xfId="0" applyFont="1" applyFill="1" applyBorder="1" applyAlignment="1">
      <alignment wrapText="1"/>
    </xf>
    <xf numFmtId="0" fontId="29" fillId="5" borderId="0" xfId="0" applyFont="1" applyFill="1"/>
    <xf numFmtId="0" fontId="28" fillId="5" borderId="0" xfId="1" applyFill="1" applyAlignment="1">
      <alignment wrapText="1"/>
    </xf>
    <xf numFmtId="0" fontId="30" fillId="5" borderId="1" xfId="0" applyFont="1" applyFill="1" applyBorder="1" applyAlignment="1">
      <alignment wrapText="1"/>
    </xf>
    <xf numFmtId="0" fontId="31" fillId="5" borderId="1" xfId="0" applyFont="1" applyFill="1" applyBorder="1" applyAlignment="1">
      <alignment wrapText="1"/>
    </xf>
    <xf numFmtId="0" fontId="32" fillId="0" borderId="0" xfId="0" applyFont="1"/>
    <xf numFmtId="0" fontId="33" fillId="6" borderId="1" xfId="0" applyFont="1" applyFill="1" applyBorder="1" applyAlignment="1">
      <alignment vertical="center"/>
    </xf>
    <xf numFmtId="0" fontId="32" fillId="0" borderId="1" xfId="0" applyFont="1" applyBorder="1"/>
    <xf numFmtId="0" fontId="34" fillId="6" borderId="2" xfId="0" applyFont="1" applyFill="1" applyBorder="1"/>
    <xf numFmtId="0" fontId="0" fillId="6" borderId="1" xfId="0" applyFill="1" applyBorder="1" applyAlignment="1">
      <alignment horizontal="center" vertical="center"/>
    </xf>
    <xf numFmtId="0" fontId="27" fillId="5" borderId="2" xfId="0" applyFont="1" applyFill="1" applyBorder="1" applyAlignment="1">
      <alignment wrapText="1"/>
    </xf>
    <xf numFmtId="0" fontId="30" fillId="5" borderId="2" xfId="0" applyFont="1" applyFill="1" applyBorder="1" applyAlignment="1">
      <alignment wrapText="1"/>
    </xf>
    <xf numFmtId="0" fontId="35" fillId="0" borderId="1" xfId="0" applyFont="1" applyBorder="1"/>
    <xf numFmtId="0" fontId="8" fillId="6" borderId="1" xfId="0" applyFont="1" applyFill="1" applyBorder="1" applyAlignment="1">
      <alignment horizontal="left" vertical="center"/>
    </xf>
    <xf numFmtId="0" fontId="36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37" fillId="5" borderId="1" xfId="0" applyFont="1" applyFill="1" applyBorder="1" applyAlignment="1">
      <alignment wrapText="1"/>
    </xf>
    <xf numFmtId="0" fontId="36" fillId="6" borderId="1" xfId="0" applyFont="1" applyFill="1" applyBorder="1" applyAlignment="1">
      <alignment horizontal="left" vertical="center"/>
    </xf>
    <xf numFmtId="0" fontId="38" fillId="0" borderId="1" xfId="0" applyFont="1" applyBorder="1"/>
    <xf numFmtId="0" fontId="39" fillId="5" borderId="1" xfId="0" applyFont="1" applyFill="1" applyBorder="1" applyAlignment="1">
      <alignment wrapText="1"/>
    </xf>
    <xf numFmtId="0" fontId="38" fillId="0" borderId="1" xfId="0" applyFont="1" applyBorder="1" applyAlignment="1">
      <alignment wrapText="1"/>
    </xf>
    <xf numFmtId="0" fontId="38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center" wrapText="1"/>
    </xf>
    <xf numFmtId="0" fontId="41" fillId="6" borderId="1" xfId="0" applyFont="1" applyFill="1" applyBorder="1" applyAlignment="1">
      <alignment horizontal="left" vertical="center"/>
    </xf>
    <xf numFmtId="0" fontId="41" fillId="6" borderId="1" xfId="0" applyFont="1" applyFill="1" applyBorder="1" applyAlignment="1">
      <alignment vertical="center"/>
    </xf>
    <xf numFmtId="0" fontId="42" fillId="6" borderId="1" xfId="0" applyFont="1" applyFill="1" applyBorder="1" applyAlignment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wrapText="1"/>
    </xf>
    <xf numFmtId="0" fontId="36" fillId="5" borderId="1" xfId="0" applyFont="1" applyFill="1" applyBorder="1" applyAlignment="1">
      <alignment wrapText="1"/>
    </xf>
    <xf numFmtId="0" fontId="43" fillId="5" borderId="1" xfId="0" applyFont="1" applyFill="1" applyBorder="1" applyAlignment="1">
      <alignment wrapText="1"/>
    </xf>
    <xf numFmtId="0" fontId="40" fillId="0" borderId="1" xfId="0" applyFont="1" applyBorder="1" applyAlignment="1">
      <alignment horizontal="left" vertical="center" wrapText="1"/>
    </xf>
    <xf numFmtId="0" fontId="41" fillId="0" borderId="1" xfId="0" applyFont="1" applyBorder="1"/>
    <xf numFmtId="0" fontId="42" fillId="0" borderId="1" xfId="0" applyFont="1" applyBorder="1"/>
    <xf numFmtId="0" fontId="34" fillId="6" borderId="1" xfId="0" applyFont="1" applyFill="1" applyBorder="1"/>
    <xf numFmtId="0" fontId="42" fillId="6" borderId="1" xfId="0" applyFont="1" applyFill="1" applyBorder="1" applyAlignment="1">
      <alignment horizontal="left" vertical="center"/>
    </xf>
    <xf numFmtId="0" fontId="38" fillId="0" borderId="1" xfId="0" applyFont="1" applyBorder="1" applyAlignment="1">
      <alignment horizontal="left"/>
    </xf>
    <xf numFmtId="0" fontId="8" fillId="5" borderId="1" xfId="0" applyFont="1" applyFill="1" applyBorder="1" applyAlignment="1">
      <alignment horizontal="left" wrapText="1"/>
    </xf>
    <xf numFmtId="0" fontId="38" fillId="6" borderId="1" xfId="0" applyFont="1" applyFill="1" applyBorder="1" applyAlignment="1">
      <alignment horizontal="left" vertical="center"/>
    </xf>
    <xf numFmtId="0" fontId="39" fillId="5" borderId="1" xfId="0" applyFont="1" applyFill="1" applyBorder="1" applyAlignment="1">
      <alignment horizontal="left" vertical="center" wrapText="1"/>
    </xf>
    <xf numFmtId="0" fontId="40" fillId="0" borderId="1" xfId="0" applyFont="1" applyBorder="1" applyAlignment="1">
      <alignment horizontal="left"/>
    </xf>
    <xf numFmtId="0" fontId="38" fillId="6" borderId="1" xfId="0" applyFont="1" applyFill="1" applyBorder="1" applyAlignment="1">
      <alignment horizontal="left"/>
    </xf>
    <xf numFmtId="0" fontId="40" fillId="6" borderId="1" xfId="0" applyFont="1" applyFill="1" applyBorder="1" applyAlignment="1">
      <alignment horizontal="left"/>
    </xf>
    <xf numFmtId="0" fontId="42" fillId="6" borderId="1" xfId="0" applyFont="1" applyFill="1" applyBorder="1"/>
    <xf numFmtId="0" fontId="44" fillId="6" borderId="1" xfId="0" applyFont="1" applyFill="1" applyBorder="1"/>
    <xf numFmtId="0" fontId="38" fillId="0" borderId="2" xfId="0" applyFont="1" applyBorder="1"/>
    <xf numFmtId="0" fontId="42" fillId="0" borderId="2" xfId="0" applyFont="1" applyBorder="1"/>
    <xf numFmtId="0" fontId="45" fillId="6" borderId="1" xfId="0" applyFont="1" applyFill="1" applyBorder="1" applyAlignment="1">
      <alignment vertical="center" wrapText="1"/>
    </xf>
    <xf numFmtId="0" fontId="45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vertical="center" wrapText="1"/>
    </xf>
    <xf numFmtId="0" fontId="41" fillId="6" borderId="1" xfId="0" applyFont="1" applyFill="1" applyBorder="1"/>
    <xf numFmtId="0" fontId="38" fillId="0" borderId="1" xfId="0" applyFont="1" applyBorder="1" applyAlignment="1">
      <alignment vertical="center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indent="1"/>
    </xf>
    <xf numFmtId="0" fontId="40" fillId="0" borderId="1" xfId="0" applyFont="1" applyBorder="1"/>
    <xf numFmtId="0" fontId="36" fillId="5" borderId="2" xfId="0" applyFont="1" applyFill="1" applyBorder="1" applyAlignment="1">
      <alignment wrapText="1"/>
    </xf>
    <xf numFmtId="0" fontId="41" fillId="0" borderId="1" xfId="0" applyFont="1" applyBorder="1" applyAlignment="1">
      <alignment horizontal="left"/>
    </xf>
    <xf numFmtId="0" fontId="45" fillId="6" borderId="2" xfId="0" applyFont="1" applyFill="1" applyBorder="1" applyAlignment="1">
      <alignment vertical="center" wrapText="1"/>
    </xf>
    <xf numFmtId="0" fontId="45" fillId="0" borderId="2" xfId="0" applyFont="1" applyBorder="1" applyAlignment="1">
      <alignment horizontal="center" vertical="center" wrapText="1"/>
    </xf>
    <xf numFmtId="0" fontId="45" fillId="0" borderId="2" xfId="0" applyFont="1" applyBorder="1" applyAlignment="1">
      <alignment vertical="center" wrapText="1"/>
    </xf>
    <xf numFmtId="0" fontId="41" fillId="6" borderId="2" xfId="0" applyFont="1" applyFill="1" applyBorder="1"/>
    <xf numFmtId="0" fontId="38" fillId="0" borderId="2" xfId="0" applyFont="1" applyBorder="1" applyAlignment="1">
      <alignment vertical="center"/>
    </xf>
    <xf numFmtId="0" fontId="47" fillId="6" borderId="1" xfId="0" applyFont="1" applyFill="1" applyBorder="1" applyAlignment="1">
      <alignment horizontal="left" vertical="center"/>
    </xf>
    <xf numFmtId="0" fontId="31" fillId="6" borderId="1" xfId="0" applyFont="1" applyFill="1" applyBorder="1" applyAlignment="1">
      <alignment horizontal="left" vertical="center"/>
    </xf>
    <xf numFmtId="0" fontId="46" fillId="6" borderId="1" xfId="0" applyFont="1" applyFill="1" applyBorder="1" applyAlignment="1">
      <alignment horizontal="left"/>
    </xf>
    <xf numFmtId="0" fontId="46" fillId="6" borderId="1" xfId="0" applyFont="1" applyFill="1" applyBorder="1"/>
    <xf numFmtId="0" fontId="31" fillId="6" borderId="1" xfId="0" applyFont="1" applyFill="1" applyBorder="1" applyAlignment="1">
      <alignment horizontal="left"/>
    </xf>
    <xf numFmtId="0" fontId="47" fillId="6" borderId="1" xfId="0" applyFont="1" applyFill="1" applyBorder="1" applyAlignment="1">
      <alignment horizontal="left" wrapText="1"/>
    </xf>
    <xf numFmtId="0" fontId="48" fillId="6" borderId="1" xfId="0" applyFont="1" applyFill="1" applyBorder="1" applyAlignment="1">
      <alignment horizontal="left"/>
    </xf>
    <xf numFmtId="0" fontId="46" fillId="6" borderId="1" xfId="0" applyFont="1" applyFill="1" applyBorder="1" applyAlignment="1">
      <alignment horizontal="left" vertical="center" wrapText="1"/>
    </xf>
    <xf numFmtId="14" fontId="47" fillId="7" borderId="9" xfId="0" applyNumberFormat="1" applyFont="1" applyFill="1" applyBorder="1" applyAlignment="1">
      <alignment horizontal="left" vertical="center"/>
    </xf>
    <xf numFmtId="0" fontId="44" fillId="6" borderId="2" xfId="0" applyFont="1" applyFill="1" applyBorder="1"/>
    <xf numFmtId="0" fontId="45" fillId="6" borderId="1" xfId="0" applyFont="1" applyFill="1" applyBorder="1" applyAlignment="1">
      <alignment horizontal="left"/>
    </xf>
    <xf numFmtId="0" fontId="38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 indent="1"/>
    </xf>
    <xf numFmtId="0" fontId="46" fillId="0" borderId="1" xfId="0" applyFont="1" applyBorder="1"/>
    <xf numFmtId="0" fontId="46" fillId="0" borderId="2" xfId="0" applyFont="1" applyBorder="1"/>
    <xf numFmtId="0" fontId="38" fillId="6" borderId="1" xfId="0" applyFont="1" applyFill="1" applyBorder="1"/>
    <xf numFmtId="0" fontId="49" fillId="0" borderId="1" xfId="0" applyFont="1" applyBorder="1"/>
    <xf numFmtId="0" fontId="50" fillId="5" borderId="1" xfId="0" applyFont="1" applyFill="1" applyBorder="1" applyAlignment="1">
      <alignment wrapText="1"/>
    </xf>
    <xf numFmtId="0" fontId="46" fillId="0" borderId="1" xfId="0" applyFont="1" applyBorder="1" applyAlignment="1">
      <alignment wrapText="1"/>
    </xf>
    <xf numFmtId="0" fontId="46" fillId="6" borderId="2" xfId="0" applyFont="1" applyFill="1" applyBorder="1"/>
    <xf numFmtId="0" fontId="45" fillId="6" borderId="1" xfId="0" applyFont="1" applyFill="1" applyBorder="1"/>
    <xf numFmtId="0" fontId="9" fillId="7" borderId="3" xfId="0" applyFont="1" applyFill="1" applyBorder="1" applyAlignment="1">
      <alignment vertical="center"/>
    </xf>
    <xf numFmtId="14" fontId="9" fillId="7" borderId="9" xfId="0" applyNumberFormat="1" applyFont="1" applyFill="1" applyBorder="1" applyAlignment="1">
      <alignment horizontal="left" vertical="center"/>
    </xf>
    <xf numFmtId="14" fontId="9" fillId="7" borderId="9" xfId="0" applyNumberFormat="1" applyFont="1" applyFill="1" applyBorder="1" applyAlignment="1">
      <alignment vertical="center"/>
    </xf>
    <xf numFmtId="0" fontId="9" fillId="7" borderId="9" xfId="0" applyFont="1" applyFill="1" applyBorder="1" applyAlignment="1">
      <alignment vertical="center"/>
    </xf>
    <xf numFmtId="0" fontId="9" fillId="7" borderId="7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6" borderId="13" xfId="0" applyFont="1" applyFill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47" fillId="5" borderId="1" xfId="0" applyFont="1" applyFill="1" applyBorder="1" applyAlignment="1">
      <alignment wrapText="1"/>
    </xf>
    <xf numFmtId="0" fontId="47" fillId="6" borderId="2" xfId="0" applyFont="1" applyFill="1" applyBorder="1" applyAlignment="1">
      <alignment vertical="center" wrapText="1"/>
    </xf>
    <xf numFmtId="0" fontId="47" fillId="0" borderId="2" xfId="0" applyFont="1" applyBorder="1" applyAlignment="1">
      <alignment horizontal="center" vertical="center" wrapText="1"/>
    </xf>
    <xf numFmtId="0" fontId="47" fillId="0" borderId="2" xfId="0" applyFont="1" applyBorder="1" applyAlignment="1">
      <alignment vertical="center" wrapText="1"/>
    </xf>
    <xf numFmtId="0" fontId="47" fillId="6" borderId="2" xfId="0" applyFont="1" applyFill="1" applyBorder="1"/>
    <xf numFmtId="0" fontId="46" fillId="6" borderId="5" xfId="0" applyFont="1" applyFill="1" applyBorder="1"/>
    <xf numFmtId="0" fontId="46" fillId="6" borderId="4" xfId="0" applyFont="1" applyFill="1" applyBorder="1"/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51" fillId="2" borderId="8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5" fillId="0" borderId="5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u1.aconex.com/ViewCorrespondence?Correspondence_ID=2079151473&amp;CORRESPONDENCE_MAILBOX=5&amp;PROJECT_ID=2013298143&amp;RETURN_URL=%2Frsrc%2F20260818.0611%2Fen_AU_DOC%2FmailSearch%2FCorrespondenceSearch.html%3Fmailbox%3DALLBOX&amp;index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u1.aconex.com/ViewCorrespondence?Correspondence_ID=2079151473&amp;CORRESPONDENCE_MAILBOX=5&amp;PROJECT_ID=2013298143&amp;RETURN_URL=%2Frsrc%2F20260818.0611%2Fen_AU_DOC%2FmailSearch%2FCorrespondenceSearch.html%3Fmailbox%3DALLBOX&amp;index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u1.aconex.com/ViewCorrespondence?Correspondence_ID=2079151473&amp;CORRESPONDENCE_MAILBOX=5&amp;PROJECT_ID=2013298143&amp;RETURN_URL=%2Frsrc%2F20260818.0611%2Fen_AU_DOC%2FmailSearch%2FCorrespondenceSearch.html%3Fmailbox%3DALLBOX&amp;index=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u1.aconex.com/ViewCorrespondence?Correspondence_ID=2079151473&amp;CORRESPONDENCE_MAILBOX=5&amp;PROJECT_ID=2013298143&amp;RETURN_URL=%2Frsrc%2F20260818.0611%2Fen_AU_DOC%2FmailSearch%2FCorrespondenceSearch.html%3Fmailbox%3DALLBOX&amp;index=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au1.aconex.com/ViewCorrespondence?Correspondence_ID=2079151473&amp;CORRESPONDENCE_MAILBOX=5&amp;PROJECT_ID=2013298143&amp;RETURN_URL=%2Frsrc%2F20260818.0611%2Fen_AU_DOC%2FmailSearch%2FCorrespondenceSearch.html%3Fmailbox%3DALLBOX&amp;index=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au1.aconex.com/ViewCorrespondence?Correspondence_ID=2079151473&amp;CORRESPONDENCE_MAILBOX=5&amp;PROJECT_ID=2013298143&amp;RETURN_URL=%2Frsrc%2F20260818.0611%2Fen_AU_DOC%2FmailSearch%2FCorrespondenceSearch.html%3Fmailbox%3DALLBOX&amp;index=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au1.aconex.com/ViewCorrespondence?Correspondence_ID=2079151473&amp;CORRESPONDENCE_MAILBOX=5&amp;PROJECT_ID=2013298143&amp;RETURN_URL=%2Frsrc%2F20260818.0611%2Fen_AU_DOC%2FmailSearch%2FCorrespondenceSearch.html%3Fmailbox%3DALLBOX&amp;index=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au1.aconex.com/ViewCorrespondence?Correspondence_ID=2079151473&amp;CORRESPONDENCE_MAILBOX=5&amp;PROJECT_ID=2013298143&amp;RETURN_URL=%2Frsrc%2F20260818.0611%2Fen_AU_DOC%2FmailSearch%2FCorrespondenceSearch.html%3Fmailbox%3DALLBOX&amp;index=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au1.aconex.com/ViewCorrespondence?Correspondence_ID=2079151473&amp;CORRESPONDENCE_MAILBOX=5&amp;PROJECT_ID=2013298143&amp;RETURN_URL=%2Frsrc%2F20260818.0611%2Fen_AU_DOC%2FmailSearch%2FCorrespondenceSearch.html%3Fmailbox%3DALLBOX&amp;index=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au1.aconex.com/ViewCorrespondence?Correspondence_ID=2079151473&amp;CORRESPONDENCE_MAILBOX=5&amp;PROJECT_ID=2013298143&amp;RETURN_URL=%2Frsrc%2F20260818.0611%2Fen_AU_DOC%2FmailSearch%2FCorrespondenceSearch.html%3Fmailbox%3DALLBOX&amp;index=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au1.aconex.com/ViewCorrespondence?Correspondence_ID=2079151473&amp;CORRESPONDENCE_MAILBOX=5&amp;PROJECT_ID=2013298143&amp;RETURN_URL=%2Frsrc%2F20260818.0611%2Fen_AU_DOC%2FmailSearch%2FCorrespondenceSearch.html%3Fmailbox%3DALLBOX&amp;index=1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au1.aconex.com/ViewCorrespondence?Correspondence_ID=2079151473&amp;CORRESPONDENCE_MAILBOX=5&amp;PROJECT_ID=2013298143&amp;RETURN_URL=%2Frsrc%2F20260818.0611%2Fen_AU_DOC%2FmailSearch%2FCorrespondenceSearch.html%3Fmailbox%3DALLBOX&amp;index=1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au1.aconex.com/ViewCorrespondence?Correspondence_ID=2079151473&amp;CORRESPONDENCE_MAILBOX=5&amp;PROJECT_ID=2013298143&amp;RETURN_URL=%2Frsrc%2F20260818.0611%2Fen_AU_DOC%2FmailSearch%2FCorrespondenceSearch.html%3Fmailbox%3DALLBOX&amp;index=1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au1.aconex.com/ViewCorrespondence?Correspondence_ID=2079151473&amp;CORRESPONDENCE_MAILBOX=5&amp;PROJECT_ID=2013298143&amp;RETURN_URL=%2Frsrc%2F20260818.0611%2Fen_AU_DOC%2FmailSearch%2FCorrespondenceSearch.html%3Fmailbox%3DALLBOX&amp;index=1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au1.aconex.com/ViewCorrespondence?Correspondence_ID=2079151473&amp;CORRESPONDENCE_MAILBOX=5&amp;PROJECT_ID=2013298143&amp;RETURN_URL=%2Frsrc%2F20260818.0611%2Fen_AU_DOC%2FmailSearch%2FCorrespondenceSearch.html%3Fmailbox%3DALLBOX&amp;index=1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au1.aconex.com/ViewCorrespondence?Correspondence_ID=2079137842&amp;CORRESPONDENCE_MAILBOX=5&amp;PROJECT_ID=2013298143&amp;RETURN_URL=%2Frsrc%2F20260818.0611%2Fen_AU_DOC%2FmailSearch%2FCorrespondenceSearch.html%3Fmailbox%3DALLBOX&amp;index=4" TargetMode="External"/><Relationship Id="rId1" Type="http://schemas.openxmlformats.org/officeDocument/2006/relationships/hyperlink" Target="https://au1.aconex.com/ViewCorrespondence?Correspondence_ID=2079151473&amp;CORRESPONDENCE_MAILBOX=5&amp;PROJECT_ID=2013298143&amp;RETURN_URL=%2Frsrc%2F20260818.0611%2Fen_AU_DOC%2FmailSearch%2FCorrespondenceSearch.html%3Fmailbox%3DALLBOX&amp;index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70D0-7BDD-4E28-AF40-4E103F657EC5}">
  <dimension ref="A1:J72"/>
  <sheetViews>
    <sheetView tabSelected="1" topLeftCell="A19" workbookViewId="0">
      <selection activeCell="B35" sqref="B35:B36"/>
    </sheetView>
  </sheetViews>
  <sheetFormatPr defaultRowHeight="14.4" x14ac:dyDescent="0.25"/>
  <cols>
    <col min="1" max="1" width="28.109375" customWidth="1"/>
    <col min="2" max="2" width="15.44140625" customWidth="1"/>
    <col min="5" max="5" width="33.44140625" customWidth="1"/>
    <col min="6" max="6" width="28.109375" customWidth="1"/>
    <col min="9" max="9" width="35.44140625" customWidth="1"/>
  </cols>
  <sheetData>
    <row r="1" spans="1:10" ht="17.399999999999999" x14ac:dyDescent="0.25">
      <c r="A1" s="184" t="s">
        <v>0</v>
      </c>
      <c r="B1" s="184"/>
      <c r="C1" s="184"/>
      <c r="D1" s="184"/>
      <c r="E1" s="184"/>
      <c r="F1" s="184"/>
      <c r="G1" s="184"/>
      <c r="H1" s="184"/>
      <c r="I1" s="184"/>
    </row>
    <row r="2" spans="1:10" ht="17.399999999999999" x14ac:dyDescent="0.25">
      <c r="A2" s="166" t="s">
        <v>1</v>
      </c>
      <c r="B2" s="167">
        <v>46311</v>
      </c>
      <c r="C2" s="167"/>
      <c r="D2" s="168"/>
      <c r="E2" s="168"/>
      <c r="F2" s="169"/>
      <c r="G2" s="169"/>
      <c r="H2" s="169" t="s">
        <v>2</v>
      </c>
      <c r="I2" s="170" t="s">
        <v>3</v>
      </c>
    </row>
    <row r="3" spans="1:10" ht="17.399999999999999" x14ac:dyDescent="0.25">
      <c r="A3" s="171"/>
      <c r="B3" s="172"/>
      <c r="C3" s="172"/>
      <c r="D3" s="172"/>
      <c r="E3" s="172"/>
      <c r="F3" s="173"/>
      <c r="G3" s="172"/>
      <c r="H3" s="172"/>
      <c r="I3" s="174"/>
    </row>
    <row r="4" spans="1:10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69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ht="24.75" customHeight="1" x14ac:dyDescent="0.25">
      <c r="A6" s="148" t="s">
        <v>12</v>
      </c>
      <c r="B6" s="148">
        <v>206</v>
      </c>
      <c r="C6" s="148">
        <v>0</v>
      </c>
      <c r="D6" s="148">
        <v>0</v>
      </c>
      <c r="E6" s="148" t="s">
        <v>13</v>
      </c>
      <c r="F6" s="148" t="s">
        <v>14</v>
      </c>
      <c r="G6" s="148">
        <v>17</v>
      </c>
      <c r="H6" s="148">
        <v>0</v>
      </c>
      <c r="I6" s="148" t="s">
        <v>15</v>
      </c>
      <c r="J6" s="38"/>
    </row>
    <row r="7" spans="1:10" ht="24.75" customHeight="1" x14ac:dyDescent="0.25">
      <c r="A7" s="148" t="s">
        <v>16</v>
      </c>
      <c r="B7" s="148">
        <v>5</v>
      </c>
      <c r="C7" s="148">
        <v>0</v>
      </c>
      <c r="D7" s="148">
        <v>0</v>
      </c>
      <c r="E7" s="148" t="s">
        <v>17</v>
      </c>
      <c r="F7" s="148" t="s">
        <v>18</v>
      </c>
      <c r="G7" s="148">
        <v>4</v>
      </c>
      <c r="H7" s="148">
        <v>0</v>
      </c>
      <c r="I7" s="148" t="s">
        <v>19</v>
      </c>
      <c r="J7" s="38"/>
    </row>
    <row r="8" spans="1:10" ht="24.75" customHeight="1" x14ac:dyDescent="0.25">
      <c r="A8" s="148" t="s">
        <v>20</v>
      </c>
      <c r="B8" s="148">
        <v>5</v>
      </c>
      <c r="C8" s="148">
        <v>0</v>
      </c>
      <c r="D8" s="148">
        <v>0</v>
      </c>
      <c r="E8" s="148" t="s">
        <v>21</v>
      </c>
      <c r="F8" s="148" t="s">
        <v>22</v>
      </c>
      <c r="G8" s="148">
        <v>1</v>
      </c>
      <c r="H8" s="148">
        <v>0</v>
      </c>
      <c r="I8" s="148" t="s">
        <v>23</v>
      </c>
      <c r="J8" s="38"/>
    </row>
    <row r="9" spans="1:10" ht="24.75" customHeight="1" x14ac:dyDescent="0.25">
      <c r="A9" s="148" t="s">
        <v>24</v>
      </c>
      <c r="B9" s="148">
        <v>0</v>
      </c>
      <c r="C9" s="148">
        <v>1</v>
      </c>
      <c r="D9" s="148">
        <v>0</v>
      </c>
      <c r="E9" s="148" t="s">
        <v>25</v>
      </c>
      <c r="F9" s="148" t="s">
        <v>26</v>
      </c>
      <c r="G9" s="148">
        <v>9</v>
      </c>
      <c r="H9" s="148">
        <v>0</v>
      </c>
      <c r="I9" s="148" t="s">
        <v>27</v>
      </c>
      <c r="J9" s="38"/>
    </row>
    <row r="10" spans="1:10" ht="24.75" customHeight="1" x14ac:dyDescent="0.25">
      <c r="A10" s="148" t="s">
        <v>28</v>
      </c>
      <c r="B10" s="148">
        <v>0</v>
      </c>
      <c r="C10" s="148">
        <v>12</v>
      </c>
      <c r="D10" s="148">
        <v>0</v>
      </c>
      <c r="E10" s="148" t="s">
        <v>29</v>
      </c>
      <c r="F10" s="148" t="s">
        <v>30</v>
      </c>
      <c r="G10" s="148">
        <v>2</v>
      </c>
      <c r="H10" s="148">
        <v>0</v>
      </c>
      <c r="I10" s="148" t="s">
        <v>31</v>
      </c>
      <c r="J10" s="21"/>
    </row>
    <row r="11" spans="1:10" ht="24.75" customHeight="1" x14ac:dyDescent="0.25">
      <c r="A11" s="148" t="s">
        <v>32</v>
      </c>
      <c r="B11" s="148">
        <v>0</v>
      </c>
      <c r="C11" s="148">
        <v>2</v>
      </c>
      <c r="D11" s="148">
        <v>0</v>
      </c>
      <c r="E11" s="148" t="s">
        <v>33</v>
      </c>
      <c r="F11" s="148"/>
      <c r="G11" s="148"/>
      <c r="H11" s="148"/>
      <c r="I11" s="148"/>
      <c r="J11" s="21"/>
    </row>
    <row r="12" spans="1:10" ht="24.75" customHeight="1" x14ac:dyDescent="0.25">
      <c r="A12" s="148" t="s">
        <v>34</v>
      </c>
      <c r="B12" s="148">
        <v>31</v>
      </c>
      <c r="C12" s="148">
        <v>0</v>
      </c>
      <c r="D12" s="148">
        <v>0</v>
      </c>
      <c r="E12" s="148" t="s">
        <v>35</v>
      </c>
      <c r="F12" s="148"/>
      <c r="G12" s="148"/>
      <c r="H12" s="148"/>
      <c r="I12" s="148"/>
      <c r="J12" s="21"/>
    </row>
    <row r="13" spans="1:10" ht="24.75" customHeight="1" x14ac:dyDescent="0.25">
      <c r="A13" s="148" t="s">
        <v>26</v>
      </c>
      <c r="B13" s="148">
        <v>9</v>
      </c>
      <c r="C13" s="148">
        <v>0</v>
      </c>
      <c r="D13" s="148">
        <v>0</v>
      </c>
      <c r="E13" s="148" t="s">
        <v>36</v>
      </c>
      <c r="F13" s="148"/>
      <c r="G13" s="148"/>
      <c r="H13" s="148"/>
      <c r="I13" s="148"/>
      <c r="J13" s="21"/>
    </row>
    <row r="14" spans="1:10" ht="24.75" customHeight="1" x14ac:dyDescent="0.25">
      <c r="A14" s="148" t="s">
        <v>30</v>
      </c>
      <c r="B14" s="148">
        <v>0</v>
      </c>
      <c r="C14" s="148">
        <v>2</v>
      </c>
      <c r="D14" s="148">
        <v>0</v>
      </c>
      <c r="E14" s="148" t="s">
        <v>31</v>
      </c>
      <c r="F14" s="148"/>
      <c r="G14" s="148"/>
      <c r="H14" s="148"/>
      <c r="I14" s="148"/>
      <c r="J14" s="21"/>
    </row>
    <row r="15" spans="1:10" ht="24.75" customHeight="1" x14ac:dyDescent="0.25">
      <c r="A15" s="148" t="s">
        <v>37</v>
      </c>
      <c r="B15" s="148">
        <v>0</v>
      </c>
      <c r="C15" s="148">
        <v>1</v>
      </c>
      <c r="D15" s="148">
        <v>0</v>
      </c>
      <c r="E15" s="148" t="s">
        <v>38</v>
      </c>
      <c r="F15" s="148"/>
      <c r="G15" s="148"/>
      <c r="H15" s="148"/>
      <c r="I15" s="148"/>
      <c r="J15" s="21"/>
    </row>
    <row r="16" spans="1:10" ht="24.75" customHeight="1" x14ac:dyDescent="0.25">
      <c r="A16" s="148" t="s">
        <v>39</v>
      </c>
      <c r="B16" s="148">
        <v>2</v>
      </c>
      <c r="C16" s="148">
        <v>0</v>
      </c>
      <c r="D16" s="148">
        <v>0</v>
      </c>
      <c r="E16" s="148" t="s">
        <v>40</v>
      </c>
      <c r="F16" s="148"/>
      <c r="G16" s="148"/>
      <c r="H16" s="148"/>
      <c r="I16" s="148"/>
    </row>
    <row r="17" spans="1:10" ht="24.75" customHeight="1" x14ac:dyDescent="0.25">
      <c r="A17" s="148" t="s">
        <v>41</v>
      </c>
      <c r="B17" s="148">
        <v>3</v>
      </c>
      <c r="C17" s="148">
        <v>0</v>
      </c>
      <c r="D17" s="148">
        <v>0</v>
      </c>
      <c r="E17" s="148" t="s">
        <v>42</v>
      </c>
      <c r="F17" s="148"/>
      <c r="G17" s="148"/>
      <c r="H17" s="148"/>
      <c r="I17" s="148"/>
    </row>
    <row r="18" spans="1:10" ht="24.75" customHeight="1" x14ac:dyDescent="0.25">
      <c r="A18" s="148"/>
      <c r="B18" s="148"/>
      <c r="C18" s="148"/>
      <c r="D18" s="148"/>
      <c r="E18" s="148"/>
      <c r="F18" s="148"/>
      <c r="G18" s="148"/>
      <c r="H18" s="148"/>
      <c r="I18" s="148"/>
    </row>
    <row r="19" spans="1:10" ht="24.75" customHeight="1" x14ac:dyDescent="0.25">
      <c r="A19" s="148"/>
      <c r="B19" s="148"/>
      <c r="C19" s="148"/>
      <c r="D19" s="148"/>
      <c r="E19" s="148"/>
      <c r="F19" s="148"/>
      <c r="G19" s="148"/>
      <c r="H19" s="148"/>
      <c r="I19" s="148"/>
    </row>
    <row r="20" spans="1:10" ht="24.75" customHeight="1" x14ac:dyDescent="0.25">
      <c r="A20" s="148"/>
      <c r="B20" s="148"/>
      <c r="C20" s="148"/>
      <c r="D20" s="148"/>
      <c r="E20" s="148"/>
      <c r="F20" s="148"/>
      <c r="G20" s="148"/>
      <c r="H20" s="148"/>
      <c r="I20" s="148"/>
    </row>
    <row r="21" spans="1:10" ht="24.75" customHeight="1" x14ac:dyDescent="0.25">
      <c r="A21" s="148"/>
      <c r="B21" s="148"/>
      <c r="C21" s="148"/>
      <c r="D21" s="148"/>
      <c r="E21" s="148"/>
      <c r="F21" s="148"/>
      <c r="G21" s="148"/>
      <c r="H21" s="148"/>
      <c r="I21" s="148"/>
    </row>
    <row r="22" spans="1:10" x14ac:dyDescent="0.25">
      <c r="A22" s="140"/>
      <c r="B22" s="141"/>
      <c r="C22" s="141"/>
      <c r="D22" s="141"/>
      <c r="E22" s="142"/>
      <c r="F22" s="143"/>
      <c r="G22" s="156"/>
      <c r="H22" s="157"/>
      <c r="I22" s="128"/>
    </row>
    <row r="23" spans="1:10" x14ac:dyDescent="0.25">
      <c r="A23" s="105"/>
      <c r="B23" s="135"/>
      <c r="C23" s="135"/>
      <c r="D23" s="135"/>
      <c r="E23" s="134"/>
      <c r="F23" s="134"/>
      <c r="G23" s="135"/>
      <c r="H23" s="136"/>
      <c r="I23" s="102"/>
    </row>
    <row r="24" spans="1:10" ht="19.2" x14ac:dyDescent="0.25">
      <c r="A24" s="28">
        <f>COUNTA(A6:A23)</f>
        <v>12</v>
      </c>
      <c r="B24" s="28">
        <f>SUM(B6:B23)</f>
        <v>261</v>
      </c>
      <c r="C24" s="28">
        <f>SUM(C6:C23)</f>
        <v>18</v>
      </c>
      <c r="D24" s="28">
        <f>SUM(D6:D23)</f>
        <v>0</v>
      </c>
      <c r="E24" s="28"/>
      <c r="F24" s="28">
        <f>COUNTA(F6:F23)</f>
        <v>5</v>
      </c>
      <c r="G24" s="28">
        <f>SUM(G6:G23)</f>
        <v>33</v>
      </c>
      <c r="H24" s="28">
        <f>SUM(H6:H23)</f>
        <v>0</v>
      </c>
      <c r="I24" s="28"/>
      <c r="J24" s="11"/>
    </row>
    <row r="25" spans="1:10" x14ac:dyDescent="0.25">
      <c r="F25" s="8"/>
    </row>
    <row r="26" spans="1:10" x14ac:dyDescent="0.25">
      <c r="F26" s="8"/>
    </row>
    <row r="27" spans="1:10" ht="17.399999999999999" x14ac:dyDescent="0.25">
      <c r="A27" s="191" t="s">
        <v>43</v>
      </c>
      <c r="B27" s="192"/>
      <c r="C27" s="192"/>
      <c r="D27" s="192"/>
      <c r="E27" s="192"/>
      <c r="F27" s="192"/>
      <c r="I27" s="6"/>
    </row>
    <row r="28" spans="1:10" ht="66" x14ac:dyDescent="0.25">
      <c r="A28" s="17" t="s">
        <v>6</v>
      </c>
      <c r="B28" s="17" t="s">
        <v>1</v>
      </c>
      <c r="C28" s="18" t="s">
        <v>11</v>
      </c>
      <c r="D28" s="18" t="s">
        <v>9</v>
      </c>
      <c r="E28" s="193" t="s">
        <v>10</v>
      </c>
      <c r="F28" s="194"/>
    </row>
    <row r="29" spans="1:10" x14ac:dyDescent="0.25">
      <c r="A29" s="148"/>
      <c r="B29" s="153"/>
      <c r="C29" s="148"/>
      <c r="D29" s="148"/>
      <c r="E29" s="148"/>
      <c r="F29" s="148"/>
      <c r="G29" s="21"/>
      <c r="H29" s="21"/>
      <c r="I29" s="21"/>
      <c r="J29" s="21"/>
    </row>
    <row r="30" spans="1:10" x14ac:dyDescent="0.25">
      <c r="A30" s="148" t="s">
        <v>46</v>
      </c>
      <c r="B30" s="153">
        <v>46237</v>
      </c>
      <c r="C30" s="148">
        <v>1</v>
      </c>
      <c r="D30" s="148">
        <v>1</v>
      </c>
      <c r="E30" s="148" t="s">
        <v>47</v>
      </c>
      <c r="F30" s="148"/>
      <c r="G30" s="21"/>
      <c r="H30" s="21"/>
      <c r="I30" s="21"/>
      <c r="J30" s="21"/>
    </row>
    <row r="31" spans="1:10" x14ac:dyDescent="0.25">
      <c r="A31" s="148" t="s">
        <v>48</v>
      </c>
      <c r="B31" s="153">
        <v>46282</v>
      </c>
      <c r="C31" s="148">
        <v>1</v>
      </c>
      <c r="D31" s="148">
        <v>1</v>
      </c>
      <c r="E31" s="148" t="s">
        <v>47</v>
      </c>
      <c r="F31" s="148"/>
      <c r="G31" s="21"/>
      <c r="H31" s="21"/>
      <c r="I31" s="21"/>
      <c r="J31" s="21"/>
    </row>
    <row r="32" spans="1:10" x14ac:dyDescent="0.25">
      <c r="A32" s="148" t="s">
        <v>49</v>
      </c>
      <c r="B32" s="153">
        <v>46297</v>
      </c>
      <c r="C32" s="148">
        <v>6</v>
      </c>
      <c r="D32" s="148">
        <v>6</v>
      </c>
      <c r="E32" s="148" t="s">
        <v>50</v>
      </c>
      <c r="F32" s="148"/>
      <c r="G32" s="21"/>
      <c r="H32" s="21"/>
      <c r="I32" s="21"/>
      <c r="J32" s="21"/>
    </row>
    <row r="33" spans="1:10" x14ac:dyDescent="0.25">
      <c r="A33" s="148" t="s">
        <v>51</v>
      </c>
      <c r="B33" s="153">
        <v>46293</v>
      </c>
      <c r="C33" s="148">
        <v>48</v>
      </c>
      <c r="D33" s="148">
        <v>48</v>
      </c>
      <c r="E33" s="148" t="s">
        <v>50</v>
      </c>
      <c r="F33" s="148"/>
      <c r="G33" s="21"/>
      <c r="H33" s="21"/>
      <c r="I33" s="21"/>
      <c r="J33" s="21"/>
    </row>
    <row r="34" spans="1:10" x14ac:dyDescent="0.25">
      <c r="A34" s="148" t="s">
        <v>52</v>
      </c>
      <c r="B34" s="153">
        <v>46293</v>
      </c>
      <c r="C34" s="148">
        <v>3</v>
      </c>
      <c r="D34" s="148">
        <v>3</v>
      </c>
      <c r="E34" s="148" t="s">
        <v>53</v>
      </c>
      <c r="F34" s="148"/>
      <c r="G34" s="21"/>
      <c r="H34" s="21"/>
      <c r="I34" s="21"/>
      <c r="J34" s="21"/>
    </row>
    <row r="35" spans="1:10" x14ac:dyDescent="0.25">
      <c r="A35" s="175" t="s">
        <v>54</v>
      </c>
      <c r="B35" s="153">
        <v>46310</v>
      </c>
      <c r="C35" s="148">
        <v>1</v>
      </c>
      <c r="D35" s="148">
        <v>1</v>
      </c>
      <c r="E35" s="148" t="s">
        <v>50</v>
      </c>
      <c r="F35" s="175" t="s">
        <v>55</v>
      </c>
      <c r="G35" s="21"/>
      <c r="H35" s="21"/>
      <c r="I35" s="21"/>
      <c r="J35" s="21"/>
    </row>
    <row r="36" spans="1:10" x14ac:dyDescent="0.25">
      <c r="A36" s="175" t="s">
        <v>56</v>
      </c>
      <c r="B36" s="153">
        <v>46310</v>
      </c>
      <c r="C36" s="148">
        <v>4</v>
      </c>
      <c r="D36" s="148">
        <v>4</v>
      </c>
      <c r="E36" s="180" t="s">
        <v>57</v>
      </c>
      <c r="F36" s="175" t="s">
        <v>58</v>
      </c>
      <c r="G36" s="21"/>
      <c r="H36" s="21"/>
      <c r="I36" s="21"/>
      <c r="J36" s="21"/>
    </row>
    <row r="37" spans="1:10" x14ac:dyDescent="0.25">
      <c r="A37" s="148" t="s">
        <v>59</v>
      </c>
      <c r="B37" s="153">
        <v>46307</v>
      </c>
      <c r="C37" s="148">
        <v>1</v>
      </c>
      <c r="D37" s="148">
        <v>1</v>
      </c>
      <c r="E37" s="148" t="s">
        <v>50</v>
      </c>
      <c r="F37" s="148"/>
      <c r="G37" s="21"/>
      <c r="H37" s="21"/>
      <c r="I37" s="21"/>
      <c r="J37" s="21"/>
    </row>
    <row r="38" spans="1:10" ht="15" x14ac:dyDescent="0.25">
      <c r="A38" s="10"/>
      <c r="B38" s="20"/>
      <c r="C38" s="22"/>
      <c r="D38" s="22">
        <f>SUM(D29:D37)</f>
        <v>65</v>
      </c>
      <c r="E38" s="182"/>
      <c r="F38" s="183"/>
      <c r="G38" s="21"/>
      <c r="H38" s="21"/>
      <c r="I38" s="21"/>
      <c r="J38" s="21"/>
    </row>
    <row r="39" spans="1:10" x14ac:dyDescent="0.25">
      <c r="H39" s="21"/>
      <c r="I39" s="21"/>
      <c r="J39" s="21"/>
    </row>
    <row r="44" spans="1:10" x14ac:dyDescent="0.25">
      <c r="F44" s="8"/>
    </row>
    <row r="45" spans="1:10" x14ac:dyDescent="0.25">
      <c r="F45" s="8"/>
    </row>
    <row r="46" spans="1:10" x14ac:dyDescent="0.25">
      <c r="F46" s="8"/>
    </row>
    <row r="47" spans="1:10" x14ac:dyDescent="0.25">
      <c r="F47" s="8"/>
    </row>
    <row r="48" spans="1:10" x14ac:dyDescent="0.25">
      <c r="F48" s="8"/>
    </row>
    <row r="49" spans="5:6" x14ac:dyDescent="0.25">
      <c r="F49" s="8"/>
    </row>
    <row r="50" spans="5:6" x14ac:dyDescent="0.25">
      <c r="F50" s="8"/>
    </row>
    <row r="51" spans="5:6" x14ac:dyDescent="0.25">
      <c r="F51" s="8"/>
    </row>
    <row r="52" spans="5:6" x14ac:dyDescent="0.25">
      <c r="F52" s="8"/>
    </row>
    <row r="53" spans="5:6" x14ac:dyDescent="0.25">
      <c r="F53" s="8"/>
    </row>
    <row r="54" spans="5:6" x14ac:dyDescent="0.25">
      <c r="F54" s="8"/>
    </row>
    <row r="55" spans="5:6" x14ac:dyDescent="0.25">
      <c r="F55" s="8"/>
    </row>
    <row r="56" spans="5:6" x14ac:dyDescent="0.25">
      <c r="F56" s="8"/>
    </row>
    <row r="57" spans="5:6" x14ac:dyDescent="0.25">
      <c r="F57" s="8"/>
    </row>
    <row r="58" spans="5:6" x14ac:dyDescent="0.25">
      <c r="F58" s="8"/>
    </row>
    <row r="59" spans="5:6" x14ac:dyDescent="0.25">
      <c r="F59" s="8"/>
    </row>
    <row r="60" spans="5:6" x14ac:dyDescent="0.25">
      <c r="F60" s="8"/>
    </row>
    <row r="61" spans="5:6" x14ac:dyDescent="0.25">
      <c r="F61" s="8"/>
    </row>
    <row r="62" spans="5:6" x14ac:dyDescent="0.25">
      <c r="F62" s="8"/>
    </row>
    <row r="63" spans="5:6" ht="17.399999999999999" x14ac:dyDescent="0.3">
      <c r="E63" s="4"/>
      <c r="F63" s="8"/>
    </row>
    <row r="64" spans="5:6" x14ac:dyDescent="0.25">
      <c r="F64" s="8"/>
    </row>
    <row r="65" spans="1:6" x14ac:dyDescent="0.25">
      <c r="A65" s="39" t="s">
        <v>60</v>
      </c>
      <c r="B65" s="35">
        <v>1</v>
      </c>
      <c r="C65" s="34">
        <v>0</v>
      </c>
      <c r="D65" s="34" t="s">
        <v>61</v>
      </c>
      <c r="F65" s="8"/>
    </row>
    <row r="66" spans="1:6" ht="17.399999999999999" x14ac:dyDescent="0.3">
      <c r="A66" s="2" t="s">
        <v>62</v>
      </c>
      <c r="B66" s="35">
        <v>1</v>
      </c>
      <c r="C66" s="34">
        <v>0</v>
      </c>
      <c r="D66" s="2" t="s">
        <v>63</v>
      </c>
      <c r="E66" s="4"/>
      <c r="F66" s="8"/>
    </row>
    <row r="67" spans="1:6" ht="17.399999999999999" x14ac:dyDescent="0.3">
      <c r="E67" s="4"/>
      <c r="F67" s="8"/>
    </row>
    <row r="68" spans="1:6" ht="19.2" x14ac:dyDescent="0.45">
      <c r="A68" s="7" t="s">
        <v>64</v>
      </c>
      <c r="B68" s="7">
        <v>1</v>
      </c>
      <c r="C68" s="7">
        <v>0</v>
      </c>
      <c r="D68" s="7" t="s">
        <v>65</v>
      </c>
      <c r="E68" s="4"/>
    </row>
    <row r="69" spans="1:6" ht="17.399999999999999" x14ac:dyDescent="0.3">
      <c r="A69" s="52"/>
      <c r="E69" s="4"/>
    </row>
    <row r="70" spans="1:6" x14ac:dyDescent="0.25">
      <c r="A70" s="3"/>
      <c r="B70" s="52"/>
      <c r="C70" s="52"/>
      <c r="D70" s="52"/>
    </row>
    <row r="71" spans="1:6" ht="17.399999999999999" x14ac:dyDescent="0.3">
      <c r="A71" s="4"/>
    </row>
    <row r="72" spans="1:6" ht="159" x14ac:dyDescent="0.3">
      <c r="A72" s="85" t="s">
        <v>66</v>
      </c>
      <c r="B72" s="86" t="s">
        <v>67</v>
      </c>
      <c r="E72" s="4"/>
    </row>
  </sheetData>
  <mergeCells count="6">
    <mergeCell ref="E38:F38"/>
    <mergeCell ref="A1:I1"/>
    <mergeCell ref="A4:E4"/>
    <mergeCell ref="F4:I4"/>
    <mergeCell ref="A27:F27"/>
    <mergeCell ref="E28:F28"/>
  </mergeCells>
  <hyperlinks>
    <hyperlink ref="B72" r:id="rId1" xr:uid="{34A1EE85-C94B-45B4-8421-E962200A6B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100B-BCA9-4A39-B42E-B637FEFBE1BA}">
  <dimension ref="A1:J72"/>
  <sheetViews>
    <sheetView topLeftCell="A12" workbookViewId="0">
      <selection activeCell="A29" sqref="A29:F36"/>
    </sheetView>
  </sheetViews>
  <sheetFormatPr defaultRowHeight="14.4" x14ac:dyDescent="0.25"/>
  <cols>
    <col min="1" max="1" width="26.44140625" customWidth="1"/>
    <col min="2" max="2" width="14.88671875" customWidth="1"/>
    <col min="5" max="5" width="25.88671875" customWidth="1"/>
    <col min="6" max="6" width="31.6640625" customWidth="1"/>
    <col min="9" max="9" width="29.6640625" customWidth="1"/>
  </cols>
  <sheetData>
    <row r="1" spans="1:10" ht="18" customHeight="1" x14ac:dyDescent="0.25">
      <c r="A1" s="184" t="s">
        <v>0</v>
      </c>
      <c r="B1" s="184"/>
      <c r="C1" s="184"/>
      <c r="D1" s="184"/>
      <c r="E1" s="184"/>
      <c r="F1" s="184"/>
      <c r="G1" s="184"/>
      <c r="H1" s="184"/>
      <c r="I1" s="184"/>
    </row>
    <row r="2" spans="1:10" ht="17.399999999999999" x14ac:dyDescent="0.25">
      <c r="A2" s="166" t="s">
        <v>1</v>
      </c>
      <c r="B2" s="167">
        <v>46310</v>
      </c>
      <c r="C2" s="167"/>
      <c r="D2" s="168"/>
      <c r="E2" s="168"/>
      <c r="F2" s="169"/>
      <c r="G2" s="169"/>
      <c r="H2" s="169" t="s">
        <v>2</v>
      </c>
      <c r="I2" s="170" t="s">
        <v>3</v>
      </c>
    </row>
    <row r="3" spans="1:10" ht="17.399999999999999" x14ac:dyDescent="0.25">
      <c r="A3" s="171"/>
      <c r="B3" s="172"/>
      <c r="C3" s="172"/>
      <c r="D3" s="172"/>
      <c r="E3" s="172"/>
      <c r="F3" s="173"/>
      <c r="G3" s="172"/>
      <c r="H3" s="172"/>
      <c r="I3" s="174"/>
    </row>
    <row r="4" spans="1:10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69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ht="24" customHeight="1" x14ac:dyDescent="0.25">
      <c r="A6" s="175" t="s">
        <v>68</v>
      </c>
      <c r="B6" s="175">
        <v>15</v>
      </c>
      <c r="C6" s="175">
        <v>0</v>
      </c>
      <c r="D6" s="175">
        <v>0</v>
      </c>
      <c r="E6" s="175" t="s">
        <v>69</v>
      </c>
      <c r="F6" s="175" t="s">
        <v>70</v>
      </c>
      <c r="G6" s="175">
        <v>2</v>
      </c>
      <c r="H6" s="175">
        <v>0</v>
      </c>
      <c r="I6" s="175" t="s">
        <v>71</v>
      </c>
      <c r="J6" s="38"/>
    </row>
    <row r="7" spans="1:10" ht="18.75" customHeight="1" x14ac:dyDescent="0.25">
      <c r="A7" s="175" t="s">
        <v>72</v>
      </c>
      <c r="B7" s="175">
        <v>2</v>
      </c>
      <c r="C7" s="175">
        <v>0</v>
      </c>
      <c r="D7" s="175">
        <v>0</v>
      </c>
      <c r="E7" s="175" t="s">
        <v>73</v>
      </c>
      <c r="F7" s="175" t="s">
        <v>72</v>
      </c>
      <c r="G7" s="175">
        <v>2</v>
      </c>
      <c r="H7" s="175">
        <v>0</v>
      </c>
      <c r="I7" s="175" t="s">
        <v>74</v>
      </c>
      <c r="J7" s="38"/>
    </row>
    <row r="8" spans="1:10" ht="19.5" customHeight="1" x14ac:dyDescent="0.25">
      <c r="A8" s="175" t="s">
        <v>75</v>
      </c>
      <c r="B8" s="175">
        <v>4</v>
      </c>
      <c r="C8" s="175">
        <v>0</v>
      </c>
      <c r="D8" s="175">
        <v>0</v>
      </c>
      <c r="E8" s="175" t="s">
        <v>76</v>
      </c>
      <c r="F8" s="175" t="s">
        <v>14</v>
      </c>
      <c r="G8" s="175">
        <v>1</v>
      </c>
      <c r="H8" s="175">
        <v>0</v>
      </c>
      <c r="I8" s="175" t="s">
        <v>77</v>
      </c>
      <c r="J8" s="38"/>
    </row>
    <row r="9" spans="1:10" ht="16.5" customHeight="1" x14ac:dyDescent="0.25">
      <c r="A9" s="175" t="s">
        <v>78</v>
      </c>
      <c r="B9" s="175">
        <v>10</v>
      </c>
      <c r="C9" s="175">
        <v>0</v>
      </c>
      <c r="D9" s="175">
        <v>0</v>
      </c>
      <c r="E9" s="175" t="s">
        <v>79</v>
      </c>
      <c r="F9" s="175" t="s">
        <v>80</v>
      </c>
      <c r="G9" s="175">
        <v>1</v>
      </c>
      <c r="H9" s="175">
        <v>0</v>
      </c>
      <c r="I9" s="175" t="s">
        <v>81</v>
      </c>
      <c r="J9" s="38"/>
    </row>
    <row r="10" spans="1:10" ht="15.75" customHeight="1" x14ac:dyDescent="0.25">
      <c r="A10" s="175" t="s">
        <v>82</v>
      </c>
      <c r="B10" s="175">
        <v>12</v>
      </c>
      <c r="C10" s="175">
        <v>0</v>
      </c>
      <c r="D10" s="175">
        <v>0</v>
      </c>
      <c r="E10" s="175" t="s">
        <v>83</v>
      </c>
      <c r="F10" s="175"/>
      <c r="G10" s="175"/>
      <c r="H10" s="175"/>
      <c r="I10" s="175"/>
      <c r="J10" s="21"/>
    </row>
    <row r="11" spans="1:10" ht="18" customHeight="1" x14ac:dyDescent="0.25">
      <c r="A11" s="175" t="s">
        <v>84</v>
      </c>
      <c r="B11" s="175">
        <v>11</v>
      </c>
      <c r="C11" s="175">
        <v>0</v>
      </c>
      <c r="D11" s="175">
        <v>0</v>
      </c>
      <c r="E11" s="175" t="s">
        <v>85</v>
      </c>
      <c r="F11" s="175"/>
      <c r="G11" s="175"/>
      <c r="H11" s="175"/>
      <c r="I11" s="175"/>
      <c r="J11" s="21"/>
    </row>
    <row r="12" spans="1:10" ht="15.75" customHeight="1" x14ac:dyDescent="0.25">
      <c r="A12" s="175" t="s">
        <v>70</v>
      </c>
      <c r="B12" s="175">
        <v>0</v>
      </c>
      <c r="C12" s="175">
        <v>2</v>
      </c>
      <c r="D12" s="175">
        <v>0</v>
      </c>
      <c r="E12" s="175" t="s">
        <v>71</v>
      </c>
      <c r="F12" s="175"/>
      <c r="G12" s="175"/>
      <c r="H12" s="175"/>
      <c r="I12" s="175"/>
      <c r="J12" s="21"/>
    </row>
    <row r="13" spans="1:10" ht="15" customHeight="1" x14ac:dyDescent="0.25">
      <c r="A13" s="175" t="s">
        <v>80</v>
      </c>
      <c r="B13" s="175">
        <v>15</v>
      </c>
      <c r="C13" s="175">
        <v>0</v>
      </c>
      <c r="D13" s="175">
        <v>0</v>
      </c>
      <c r="E13" s="175" t="s">
        <v>86</v>
      </c>
      <c r="F13" s="175"/>
      <c r="G13" s="175"/>
      <c r="H13" s="175"/>
      <c r="I13" s="175"/>
      <c r="J13" s="21"/>
    </row>
    <row r="14" spans="1:10" x14ac:dyDescent="0.25">
      <c r="A14" s="175" t="s">
        <v>80</v>
      </c>
      <c r="B14" s="175">
        <v>1</v>
      </c>
      <c r="C14" s="175">
        <v>0</v>
      </c>
      <c r="D14" s="175">
        <v>0</v>
      </c>
      <c r="E14" s="175" t="s">
        <v>81</v>
      </c>
      <c r="F14" s="175"/>
      <c r="G14" s="175"/>
      <c r="H14" s="175"/>
      <c r="I14" s="175"/>
      <c r="J14" s="21"/>
    </row>
    <row r="15" spans="1:10" x14ac:dyDescent="0.25">
      <c r="A15" s="175" t="s">
        <v>87</v>
      </c>
      <c r="B15" s="175">
        <v>13</v>
      </c>
      <c r="C15" s="175">
        <v>0</v>
      </c>
      <c r="D15" s="175">
        <v>0</v>
      </c>
      <c r="E15" s="175" t="s">
        <v>88</v>
      </c>
      <c r="F15" s="175"/>
      <c r="G15" s="175"/>
      <c r="H15" s="175"/>
      <c r="I15" s="175"/>
      <c r="J15" s="21"/>
    </row>
    <row r="16" spans="1:10" x14ac:dyDescent="0.25">
      <c r="A16" s="175" t="s">
        <v>54</v>
      </c>
      <c r="B16" s="175">
        <v>1</v>
      </c>
      <c r="C16" s="175">
        <v>0</v>
      </c>
      <c r="D16" s="175">
        <v>1</v>
      </c>
      <c r="E16" s="175" t="s">
        <v>55</v>
      </c>
      <c r="F16" s="175"/>
      <c r="G16" s="175"/>
      <c r="H16" s="175"/>
      <c r="I16" s="175"/>
    </row>
    <row r="17" spans="1:10" x14ac:dyDescent="0.25">
      <c r="A17" s="175" t="s">
        <v>56</v>
      </c>
      <c r="B17" s="175">
        <v>4</v>
      </c>
      <c r="C17" s="175">
        <v>0</v>
      </c>
      <c r="D17" s="175">
        <v>4</v>
      </c>
      <c r="E17" s="175" t="s">
        <v>58</v>
      </c>
      <c r="F17" s="175"/>
      <c r="G17" s="175"/>
      <c r="H17" s="175"/>
      <c r="I17" s="175"/>
    </row>
    <row r="18" spans="1:10" x14ac:dyDescent="0.25">
      <c r="A18" s="175"/>
      <c r="B18" s="175"/>
      <c r="C18" s="175"/>
      <c r="D18" s="175"/>
      <c r="E18" s="175"/>
      <c r="F18" s="175"/>
      <c r="G18" s="175"/>
      <c r="H18" s="175"/>
      <c r="I18" s="175"/>
    </row>
    <row r="19" spans="1:10" x14ac:dyDescent="0.25">
      <c r="A19" s="175"/>
      <c r="B19" s="175"/>
      <c r="C19" s="175"/>
      <c r="D19" s="175"/>
      <c r="E19" s="175"/>
      <c r="F19" s="175"/>
      <c r="G19" s="175"/>
      <c r="H19" s="175"/>
      <c r="I19" s="175"/>
    </row>
    <row r="20" spans="1:10" x14ac:dyDescent="0.25">
      <c r="A20" s="176"/>
      <c r="B20" s="177"/>
      <c r="C20" s="177"/>
      <c r="D20" s="177"/>
      <c r="E20" s="178"/>
      <c r="F20" s="179"/>
      <c r="G20" s="179"/>
      <c r="H20" s="179"/>
      <c r="I20" s="179"/>
    </row>
    <row r="21" spans="1:10" x14ac:dyDescent="0.25">
      <c r="A21" s="130"/>
      <c r="B21" s="131"/>
      <c r="C21" s="131"/>
      <c r="D21" s="131"/>
      <c r="E21" s="132"/>
      <c r="F21" s="133"/>
      <c r="G21" s="134"/>
      <c r="H21" s="134"/>
      <c r="I21" s="102"/>
    </row>
    <row r="22" spans="1:10" x14ac:dyDescent="0.25">
      <c r="A22" s="140"/>
      <c r="B22" s="141"/>
      <c r="C22" s="141"/>
      <c r="D22" s="141"/>
      <c r="E22" s="142"/>
      <c r="F22" s="143"/>
      <c r="G22" s="156"/>
      <c r="H22" s="157"/>
      <c r="I22" s="128"/>
    </row>
    <row r="23" spans="1:10" x14ac:dyDescent="0.25">
      <c r="A23" s="105"/>
      <c r="B23" s="135"/>
      <c r="C23" s="135"/>
      <c r="D23" s="135"/>
      <c r="E23" s="134"/>
      <c r="F23" s="134"/>
      <c r="G23" s="135"/>
      <c r="H23" s="136"/>
      <c r="I23" s="102"/>
    </row>
    <row r="24" spans="1:10" ht="19.2" x14ac:dyDescent="0.25">
      <c r="A24" s="28">
        <f>COUNTA(A6:A23)</f>
        <v>12</v>
      </c>
      <c r="B24" s="28">
        <f>SUM(B6:B23)</f>
        <v>88</v>
      </c>
      <c r="C24" s="28">
        <f>SUM(C6:C23)</f>
        <v>2</v>
      </c>
      <c r="D24" s="28">
        <f>SUM(D6:D23)</f>
        <v>5</v>
      </c>
      <c r="E24" s="28"/>
      <c r="F24" s="28">
        <f>COUNTA(F6:F23)</f>
        <v>4</v>
      </c>
      <c r="G24" s="28">
        <f>SUM(G6:G23)</f>
        <v>6</v>
      </c>
      <c r="H24" s="28">
        <f>SUM(H6:H23)</f>
        <v>0</v>
      </c>
      <c r="I24" s="28"/>
      <c r="J24" s="11"/>
    </row>
    <row r="25" spans="1:10" x14ac:dyDescent="0.25">
      <c r="F25" s="8"/>
    </row>
    <row r="26" spans="1:10" x14ac:dyDescent="0.25">
      <c r="F26" s="8"/>
    </row>
    <row r="27" spans="1:10" ht="18" customHeight="1" x14ac:dyDescent="0.25">
      <c r="A27" s="191" t="s">
        <v>43</v>
      </c>
      <c r="B27" s="192"/>
      <c r="C27" s="192"/>
      <c r="D27" s="192"/>
      <c r="E27" s="192"/>
      <c r="F27" s="192"/>
      <c r="I27" s="6"/>
    </row>
    <row r="28" spans="1:10" ht="13.5" customHeight="1" x14ac:dyDescent="0.25">
      <c r="A28" s="17" t="s">
        <v>6</v>
      </c>
      <c r="B28" s="17" t="s">
        <v>1</v>
      </c>
      <c r="C28" s="18" t="s">
        <v>11</v>
      </c>
      <c r="D28" s="18" t="s">
        <v>9</v>
      </c>
      <c r="E28" s="193" t="s">
        <v>10</v>
      </c>
      <c r="F28" s="194"/>
    </row>
    <row r="29" spans="1:10" x14ac:dyDescent="0.25">
      <c r="A29" s="148" t="s">
        <v>44</v>
      </c>
      <c r="B29" s="153">
        <v>46223</v>
      </c>
      <c r="C29" s="148">
        <v>2</v>
      </c>
      <c r="D29" s="148">
        <v>0</v>
      </c>
      <c r="E29" s="148" t="s">
        <v>45</v>
      </c>
      <c r="F29" s="148"/>
      <c r="G29" s="21"/>
      <c r="H29" s="21"/>
      <c r="I29" s="21"/>
      <c r="J29" s="21"/>
    </row>
    <row r="30" spans="1:10" x14ac:dyDescent="0.25">
      <c r="A30" s="148" t="s">
        <v>46</v>
      </c>
      <c r="B30" s="153">
        <v>46237</v>
      </c>
      <c r="C30" s="148">
        <v>1</v>
      </c>
      <c r="D30" s="148">
        <v>1</v>
      </c>
      <c r="E30" s="148" t="s">
        <v>47</v>
      </c>
      <c r="F30" s="148"/>
      <c r="G30" s="21"/>
      <c r="H30" s="21"/>
      <c r="I30" s="21"/>
      <c r="J30" s="21"/>
    </row>
    <row r="31" spans="1:10" x14ac:dyDescent="0.25">
      <c r="A31" s="148" t="s">
        <v>48</v>
      </c>
      <c r="B31" s="153">
        <v>46282</v>
      </c>
      <c r="C31" s="148">
        <v>1</v>
      </c>
      <c r="D31" s="148">
        <v>1</v>
      </c>
      <c r="E31" s="148" t="s">
        <v>47</v>
      </c>
      <c r="F31" s="148"/>
      <c r="G31" s="21"/>
      <c r="H31" s="21"/>
      <c r="I31" s="21"/>
      <c r="J31" s="21"/>
    </row>
    <row r="32" spans="1:10" x14ac:dyDescent="0.25">
      <c r="A32" s="148" t="s">
        <v>49</v>
      </c>
      <c r="B32" s="153">
        <v>46297</v>
      </c>
      <c r="C32" s="148">
        <v>6</v>
      </c>
      <c r="D32" s="148">
        <v>6</v>
      </c>
      <c r="E32" s="148" t="s">
        <v>50</v>
      </c>
      <c r="F32" s="148"/>
      <c r="G32" s="21"/>
      <c r="H32" s="21"/>
      <c r="I32" s="21"/>
      <c r="J32" s="21"/>
    </row>
    <row r="33" spans="1:10" x14ac:dyDescent="0.25">
      <c r="A33" s="148" t="s">
        <v>51</v>
      </c>
      <c r="B33" s="153">
        <v>46293</v>
      </c>
      <c r="C33" s="148">
        <v>48</v>
      </c>
      <c r="D33" s="148">
        <v>48</v>
      </c>
      <c r="E33" s="148" t="s">
        <v>50</v>
      </c>
      <c r="F33" s="148"/>
      <c r="G33" s="21"/>
      <c r="H33" s="21"/>
      <c r="I33" s="21"/>
      <c r="J33" s="21"/>
    </row>
    <row r="34" spans="1:10" x14ac:dyDescent="0.25">
      <c r="A34" s="148" t="s">
        <v>52</v>
      </c>
      <c r="B34" s="153">
        <v>46293</v>
      </c>
      <c r="C34" s="148">
        <v>3</v>
      </c>
      <c r="D34" s="148">
        <v>3</v>
      </c>
      <c r="E34" s="148" t="s">
        <v>53</v>
      </c>
      <c r="F34" s="148"/>
      <c r="G34" s="21"/>
      <c r="H34" s="21"/>
      <c r="I34" s="21"/>
      <c r="J34" s="21"/>
    </row>
    <row r="35" spans="1:10" x14ac:dyDescent="0.25">
      <c r="A35" s="175" t="s">
        <v>54</v>
      </c>
      <c r="B35" s="153">
        <v>46310</v>
      </c>
      <c r="C35" s="148">
        <v>1</v>
      </c>
      <c r="D35" s="148">
        <v>1</v>
      </c>
      <c r="E35" s="148" t="s">
        <v>50</v>
      </c>
      <c r="F35" s="175" t="s">
        <v>55</v>
      </c>
      <c r="G35" s="21"/>
      <c r="H35" s="21"/>
      <c r="I35" s="21"/>
      <c r="J35" s="21"/>
    </row>
    <row r="36" spans="1:10" x14ac:dyDescent="0.25">
      <c r="A36" s="175" t="s">
        <v>56</v>
      </c>
      <c r="B36" s="153">
        <v>46310</v>
      </c>
      <c r="C36" s="148">
        <v>4</v>
      </c>
      <c r="D36" s="148">
        <v>4</v>
      </c>
      <c r="E36" s="180" t="s">
        <v>57</v>
      </c>
      <c r="F36" s="175" t="s">
        <v>58</v>
      </c>
      <c r="G36" s="21"/>
      <c r="H36" s="21"/>
      <c r="I36" s="21"/>
      <c r="J36" s="21"/>
    </row>
    <row r="37" spans="1:10" x14ac:dyDescent="0.25">
      <c r="A37" s="148"/>
      <c r="B37" s="148"/>
      <c r="C37" s="148"/>
      <c r="D37" s="148"/>
      <c r="E37" s="180"/>
      <c r="F37" s="181"/>
      <c r="G37" s="21"/>
      <c r="H37" s="21"/>
      <c r="I37" s="21"/>
      <c r="J37" s="21"/>
    </row>
    <row r="38" spans="1:10" ht="15" customHeight="1" x14ac:dyDescent="0.25">
      <c r="A38" s="10"/>
      <c r="B38" s="20"/>
      <c r="C38" s="22"/>
      <c r="D38" s="22">
        <f>SUM(D29:D35)</f>
        <v>60</v>
      </c>
      <c r="E38" s="182"/>
      <c r="F38" s="183"/>
      <c r="G38" s="21"/>
      <c r="H38" s="21"/>
      <c r="I38" s="21"/>
      <c r="J38" s="21"/>
    </row>
    <row r="39" spans="1:10" x14ac:dyDescent="0.25">
      <c r="H39" s="21"/>
      <c r="I39" s="21"/>
      <c r="J39" s="21"/>
    </row>
    <row r="44" spans="1:10" x14ac:dyDescent="0.25">
      <c r="F44" s="8"/>
    </row>
    <row r="45" spans="1:10" x14ac:dyDescent="0.25">
      <c r="F45" s="8"/>
    </row>
    <row r="46" spans="1:10" x14ac:dyDescent="0.25">
      <c r="F46" s="8"/>
    </row>
    <row r="47" spans="1:10" x14ac:dyDescent="0.25">
      <c r="F47" s="8"/>
    </row>
    <row r="48" spans="1:10" x14ac:dyDescent="0.25">
      <c r="F48" s="8"/>
    </row>
    <row r="49" spans="5:6" x14ac:dyDescent="0.25">
      <c r="F49" s="8"/>
    </row>
    <row r="50" spans="5:6" x14ac:dyDescent="0.25">
      <c r="F50" s="8"/>
    </row>
    <row r="51" spans="5:6" x14ac:dyDescent="0.25">
      <c r="F51" s="8"/>
    </row>
    <row r="52" spans="5:6" x14ac:dyDescent="0.25">
      <c r="F52" s="8"/>
    </row>
    <row r="53" spans="5:6" x14ac:dyDescent="0.25">
      <c r="F53" s="8"/>
    </row>
    <row r="54" spans="5:6" x14ac:dyDescent="0.25">
      <c r="F54" s="8"/>
    </row>
    <row r="55" spans="5:6" x14ac:dyDescent="0.25">
      <c r="F55" s="8"/>
    </row>
    <row r="56" spans="5:6" x14ac:dyDescent="0.25">
      <c r="F56" s="8"/>
    </row>
    <row r="57" spans="5:6" x14ac:dyDescent="0.25">
      <c r="F57" s="8"/>
    </row>
    <row r="58" spans="5:6" x14ac:dyDescent="0.25">
      <c r="F58" s="8"/>
    </row>
    <row r="59" spans="5:6" x14ac:dyDescent="0.25">
      <c r="F59" s="8"/>
    </row>
    <row r="60" spans="5:6" x14ac:dyDescent="0.25">
      <c r="F60" s="8"/>
    </row>
    <row r="61" spans="5:6" x14ac:dyDescent="0.25">
      <c r="F61" s="8"/>
    </row>
    <row r="62" spans="5:6" x14ac:dyDescent="0.25">
      <c r="F62" s="8"/>
    </row>
    <row r="63" spans="5:6" ht="17.399999999999999" x14ac:dyDescent="0.3">
      <c r="E63" s="4"/>
      <c r="F63" s="8"/>
    </row>
    <row r="64" spans="5:6" x14ac:dyDescent="0.25">
      <c r="F64" s="8"/>
    </row>
    <row r="65" spans="1:6" x14ac:dyDescent="0.25">
      <c r="A65" s="39" t="s">
        <v>60</v>
      </c>
      <c r="B65" s="35">
        <v>1</v>
      </c>
      <c r="C65" s="34">
        <v>0</v>
      </c>
      <c r="D65" s="34" t="s">
        <v>61</v>
      </c>
      <c r="F65" s="8"/>
    </row>
    <row r="66" spans="1:6" ht="17.399999999999999" x14ac:dyDescent="0.3">
      <c r="A66" s="2" t="s">
        <v>62</v>
      </c>
      <c r="B66" s="35">
        <v>1</v>
      </c>
      <c r="C66" s="34">
        <v>0</v>
      </c>
      <c r="D66" s="2" t="s">
        <v>63</v>
      </c>
      <c r="E66" s="4"/>
      <c r="F66" s="8"/>
    </row>
    <row r="67" spans="1:6" ht="17.399999999999999" x14ac:dyDescent="0.3">
      <c r="E67" s="4"/>
      <c r="F67" s="8"/>
    </row>
    <row r="68" spans="1:6" ht="19.2" x14ac:dyDescent="0.45">
      <c r="A68" s="7" t="s">
        <v>64</v>
      </c>
      <c r="B68" s="7">
        <v>1</v>
      </c>
      <c r="C68" s="7">
        <v>0</v>
      </c>
      <c r="D68" s="7" t="s">
        <v>65</v>
      </c>
      <c r="E68" s="4"/>
    </row>
    <row r="69" spans="1:6" ht="17.399999999999999" x14ac:dyDescent="0.3">
      <c r="A69" s="52"/>
      <c r="E69" s="4"/>
    </row>
    <row r="70" spans="1:6" x14ac:dyDescent="0.25">
      <c r="A70" s="3"/>
      <c r="B70" s="52"/>
      <c r="C70" s="52"/>
      <c r="D70" s="52"/>
    </row>
    <row r="71" spans="1:6" ht="17.399999999999999" x14ac:dyDescent="0.3">
      <c r="A71" s="4"/>
    </row>
    <row r="72" spans="1:6" ht="173.4" x14ac:dyDescent="0.3">
      <c r="A72" s="85" t="s">
        <v>66</v>
      </c>
      <c r="B72" s="86" t="s">
        <v>67</v>
      </c>
      <c r="E72" s="4"/>
    </row>
  </sheetData>
  <mergeCells count="6">
    <mergeCell ref="E38:F38"/>
    <mergeCell ref="A1:I1"/>
    <mergeCell ref="A4:E4"/>
    <mergeCell ref="F4:I4"/>
    <mergeCell ref="A27:F27"/>
    <mergeCell ref="E28:F28"/>
  </mergeCells>
  <hyperlinks>
    <hyperlink ref="B72" r:id="rId1" xr:uid="{C723447F-F7FD-4767-8C5A-7C8A80993AC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9713D-5E3A-4E41-AFD1-C9D0B14380DB}">
  <dimension ref="A1:J70"/>
  <sheetViews>
    <sheetView workbookViewId="0">
      <selection activeCell="A18" sqref="A18"/>
    </sheetView>
  </sheetViews>
  <sheetFormatPr defaultRowHeight="14.4" x14ac:dyDescent="0.25"/>
  <cols>
    <col min="1" max="1" width="35.109375" customWidth="1"/>
    <col min="2" max="2" width="13.109375" bestFit="1" customWidth="1"/>
    <col min="5" max="5" width="27.21875" customWidth="1"/>
    <col min="6" max="6" width="30.44140625" customWidth="1"/>
    <col min="9" max="9" width="31.6640625" customWidth="1"/>
  </cols>
  <sheetData>
    <row r="1" spans="1:10" ht="17.399999999999999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17.399999999999999" x14ac:dyDescent="0.25">
      <c r="A2" s="13" t="s">
        <v>1</v>
      </c>
      <c r="B2" s="14">
        <v>46309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7.399999999999999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69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ht="18.75" customHeight="1" x14ac:dyDescent="0.25">
      <c r="A6" s="162" t="s">
        <v>89</v>
      </c>
      <c r="B6" s="162">
        <v>0</v>
      </c>
      <c r="C6" s="162">
        <v>1</v>
      </c>
      <c r="D6" s="162">
        <v>0</v>
      </c>
      <c r="E6" s="162" t="s">
        <v>90</v>
      </c>
      <c r="F6" s="162" t="s">
        <v>91</v>
      </c>
      <c r="G6" s="162">
        <v>4</v>
      </c>
      <c r="H6" s="162">
        <v>0</v>
      </c>
      <c r="I6" s="162" t="s">
        <v>92</v>
      </c>
      <c r="J6" s="38"/>
    </row>
    <row r="7" spans="1:10" ht="27.6" x14ac:dyDescent="0.25">
      <c r="A7" s="162" t="s">
        <v>93</v>
      </c>
      <c r="B7" s="162">
        <v>5</v>
      </c>
      <c r="C7" s="162">
        <v>0</v>
      </c>
      <c r="D7" s="162">
        <v>0</v>
      </c>
      <c r="E7" s="162" t="s">
        <v>94</v>
      </c>
      <c r="F7" s="162" t="s">
        <v>95</v>
      </c>
      <c r="G7" s="162">
        <v>4</v>
      </c>
      <c r="H7" s="162">
        <v>0</v>
      </c>
      <c r="I7" s="162" t="s">
        <v>96</v>
      </c>
      <c r="J7" s="38"/>
    </row>
    <row r="8" spans="1:10" ht="27.6" x14ac:dyDescent="0.25">
      <c r="A8" s="162" t="s">
        <v>91</v>
      </c>
      <c r="B8" s="162">
        <v>4</v>
      </c>
      <c r="C8" s="162">
        <v>0</v>
      </c>
      <c r="D8" s="162">
        <v>0</v>
      </c>
      <c r="E8" s="162" t="s">
        <v>92</v>
      </c>
      <c r="F8" s="162" t="s">
        <v>97</v>
      </c>
      <c r="G8" s="162">
        <v>2</v>
      </c>
      <c r="H8" s="162">
        <v>0</v>
      </c>
      <c r="I8" s="162" t="s">
        <v>98</v>
      </c>
      <c r="J8" s="38"/>
    </row>
    <row r="9" spans="1:10" ht="27.6" x14ac:dyDescent="0.25">
      <c r="A9" s="162" t="s">
        <v>95</v>
      </c>
      <c r="B9" s="162">
        <v>4</v>
      </c>
      <c r="C9" s="162">
        <v>0</v>
      </c>
      <c r="D9" s="162">
        <v>0</v>
      </c>
      <c r="E9" s="162" t="s">
        <v>96</v>
      </c>
      <c r="F9" s="162" t="s">
        <v>22</v>
      </c>
      <c r="G9" s="162">
        <v>1</v>
      </c>
      <c r="H9" s="162">
        <v>0</v>
      </c>
      <c r="I9" s="162" t="s">
        <v>99</v>
      </c>
      <c r="J9" s="38"/>
    </row>
    <row r="10" spans="1:10" x14ac:dyDescent="0.25">
      <c r="A10" s="162" t="s">
        <v>100</v>
      </c>
      <c r="B10" s="162">
        <v>5</v>
      </c>
      <c r="C10" s="162">
        <v>0</v>
      </c>
      <c r="D10" s="162">
        <v>0</v>
      </c>
      <c r="E10" s="162" t="s">
        <v>101</v>
      </c>
      <c r="F10" s="162" t="s">
        <v>102</v>
      </c>
      <c r="G10" s="162">
        <v>28</v>
      </c>
      <c r="H10" s="162">
        <v>0</v>
      </c>
      <c r="I10" s="162" t="s">
        <v>103</v>
      </c>
      <c r="J10" s="21"/>
    </row>
    <row r="11" spans="1:10" ht="27.6" x14ac:dyDescent="0.25">
      <c r="A11" s="162" t="s">
        <v>104</v>
      </c>
      <c r="B11" s="162">
        <v>11</v>
      </c>
      <c r="C11" s="162">
        <v>0</v>
      </c>
      <c r="D11" s="162">
        <v>0</v>
      </c>
      <c r="E11" s="162" t="s">
        <v>105</v>
      </c>
      <c r="F11" s="162" t="s">
        <v>106</v>
      </c>
      <c r="G11" s="162">
        <v>4</v>
      </c>
      <c r="H11" s="162">
        <v>0</v>
      </c>
      <c r="I11" s="162" t="s">
        <v>107</v>
      </c>
      <c r="J11" s="21"/>
    </row>
    <row r="12" spans="1:10" ht="27.6" x14ac:dyDescent="0.25">
      <c r="A12" s="162" t="s">
        <v>108</v>
      </c>
      <c r="B12" s="162">
        <v>1</v>
      </c>
      <c r="C12" s="162">
        <v>0</v>
      </c>
      <c r="D12" s="162">
        <v>0</v>
      </c>
      <c r="E12" s="162" t="s">
        <v>109</v>
      </c>
      <c r="F12" s="162" t="s">
        <v>110</v>
      </c>
      <c r="G12" s="162">
        <v>16</v>
      </c>
      <c r="H12" s="162">
        <v>0</v>
      </c>
      <c r="I12" s="162" t="s">
        <v>111</v>
      </c>
      <c r="J12" s="21"/>
    </row>
    <row r="13" spans="1:10" ht="27.6" x14ac:dyDescent="0.25">
      <c r="A13" s="162" t="s">
        <v>106</v>
      </c>
      <c r="B13" s="162">
        <v>4</v>
      </c>
      <c r="C13" s="162">
        <v>0</v>
      </c>
      <c r="D13" s="162">
        <v>0</v>
      </c>
      <c r="E13" s="162" t="s">
        <v>107</v>
      </c>
      <c r="F13" s="162" t="s">
        <v>112</v>
      </c>
      <c r="G13" s="162">
        <v>4</v>
      </c>
      <c r="H13" s="162">
        <v>0</v>
      </c>
      <c r="I13" s="162" t="s">
        <v>113</v>
      </c>
      <c r="J13" s="21"/>
    </row>
    <row r="14" spans="1:10" ht="27.6" x14ac:dyDescent="0.25">
      <c r="A14" s="162" t="s">
        <v>110</v>
      </c>
      <c r="B14" s="162">
        <v>16</v>
      </c>
      <c r="C14" s="162">
        <v>0</v>
      </c>
      <c r="D14" s="162">
        <v>0</v>
      </c>
      <c r="E14" s="162" t="s">
        <v>111</v>
      </c>
      <c r="F14" s="162"/>
      <c r="G14" s="162"/>
      <c r="H14" s="162"/>
      <c r="I14" s="162"/>
      <c r="J14" s="21"/>
    </row>
    <row r="15" spans="1:10" ht="27.6" x14ac:dyDescent="0.25">
      <c r="A15" s="162" t="s">
        <v>112</v>
      </c>
      <c r="B15" s="162">
        <v>4</v>
      </c>
      <c r="C15" s="162">
        <v>0</v>
      </c>
      <c r="D15" s="162">
        <v>0</v>
      </c>
      <c r="E15" s="162" t="s">
        <v>113</v>
      </c>
      <c r="F15" s="162"/>
      <c r="G15" s="162"/>
      <c r="H15" s="162"/>
      <c r="I15" s="162"/>
      <c r="J15" s="21"/>
    </row>
    <row r="16" spans="1:10" x14ac:dyDescent="0.25">
      <c r="A16" s="162"/>
      <c r="B16" s="162"/>
      <c r="C16" s="162"/>
      <c r="D16" s="162"/>
      <c r="E16" s="162"/>
      <c r="F16" s="162"/>
      <c r="G16" s="162"/>
      <c r="H16" s="162"/>
      <c r="I16" s="162"/>
    </row>
    <row r="17" spans="1:10" x14ac:dyDescent="0.25">
      <c r="A17" s="162"/>
      <c r="B17" s="162"/>
      <c r="C17" s="162"/>
      <c r="D17" s="162"/>
      <c r="E17" s="162"/>
      <c r="F17" s="162"/>
      <c r="G17" s="162"/>
      <c r="H17" s="162"/>
      <c r="I17" s="162"/>
    </row>
    <row r="18" spans="1:10" x14ac:dyDescent="0.25">
      <c r="A18" s="162"/>
      <c r="B18" s="162"/>
      <c r="C18" s="162"/>
      <c r="D18" s="162"/>
      <c r="E18" s="162"/>
      <c r="F18" s="162"/>
      <c r="G18" s="162"/>
      <c r="H18" s="162"/>
      <c r="I18" s="162"/>
    </row>
    <row r="19" spans="1:10" x14ac:dyDescent="0.25">
      <c r="A19" s="162"/>
      <c r="B19" s="162"/>
      <c r="C19" s="162"/>
      <c r="D19" s="162"/>
      <c r="E19" s="162"/>
      <c r="F19" s="162"/>
      <c r="G19" s="162"/>
      <c r="H19" s="162"/>
      <c r="I19" s="162"/>
    </row>
    <row r="20" spans="1:10" x14ac:dyDescent="0.25">
      <c r="A20" s="140"/>
      <c r="B20" s="141"/>
      <c r="C20" s="141"/>
      <c r="D20" s="141"/>
      <c r="E20" s="142"/>
      <c r="F20" s="154"/>
      <c r="G20" s="154"/>
      <c r="H20" s="154"/>
      <c r="I20" s="154"/>
    </row>
    <row r="21" spans="1:10" x14ac:dyDescent="0.25">
      <c r="A21" s="130"/>
      <c r="B21" s="131"/>
      <c r="C21" s="131"/>
      <c r="D21" s="131"/>
      <c r="E21" s="132"/>
      <c r="F21" s="133"/>
      <c r="G21" s="134"/>
      <c r="H21" s="134"/>
      <c r="I21" s="102"/>
    </row>
    <row r="22" spans="1:10" x14ac:dyDescent="0.25">
      <c r="A22" s="140"/>
      <c r="B22" s="141"/>
      <c r="C22" s="141"/>
      <c r="D22" s="141"/>
      <c r="E22" s="142"/>
      <c r="F22" s="143"/>
      <c r="G22" s="156"/>
      <c r="H22" s="157"/>
      <c r="I22" s="128"/>
    </row>
    <row r="23" spans="1:10" x14ac:dyDescent="0.25">
      <c r="A23" s="105"/>
      <c r="B23" s="135"/>
      <c r="C23" s="135"/>
      <c r="D23" s="135"/>
      <c r="E23" s="134"/>
      <c r="F23" s="134"/>
      <c r="G23" s="135"/>
      <c r="H23" s="136"/>
      <c r="I23" s="102"/>
    </row>
    <row r="24" spans="1:10" ht="19.2" x14ac:dyDescent="0.25">
      <c r="A24" s="28">
        <f>COUNTA(A6:A23)</f>
        <v>10</v>
      </c>
      <c r="B24" s="28">
        <f>SUM(B6:B23)</f>
        <v>54</v>
      </c>
      <c r="C24" s="28">
        <f>SUM(C6:C23)</f>
        <v>1</v>
      </c>
      <c r="D24" s="28">
        <f>SUM(D6:D23)</f>
        <v>0</v>
      </c>
      <c r="E24" s="28"/>
      <c r="F24" s="28">
        <f>COUNTA(F6:F23)</f>
        <v>8</v>
      </c>
      <c r="G24" s="28">
        <f>SUM(G6:G23)</f>
        <v>63</v>
      </c>
      <c r="H24" s="28">
        <f>SUM(H6:H23)</f>
        <v>0</v>
      </c>
      <c r="I24" s="28"/>
      <c r="J24" s="11"/>
    </row>
    <row r="25" spans="1:10" x14ac:dyDescent="0.25">
      <c r="F25" s="8"/>
    </row>
    <row r="26" spans="1:10" x14ac:dyDescent="0.25">
      <c r="F26" s="8"/>
    </row>
    <row r="27" spans="1:10" ht="17.399999999999999" x14ac:dyDescent="0.25">
      <c r="A27" s="191" t="s">
        <v>43</v>
      </c>
      <c r="B27" s="192"/>
      <c r="C27" s="192"/>
      <c r="D27" s="192"/>
      <c r="E27" s="192"/>
      <c r="F27" s="192"/>
      <c r="I27" s="6"/>
    </row>
    <row r="28" spans="1:10" ht="66" x14ac:dyDescent="0.25">
      <c r="A28" s="17" t="s">
        <v>6</v>
      </c>
      <c r="B28" s="17" t="s">
        <v>1</v>
      </c>
      <c r="C28" s="18" t="s">
        <v>11</v>
      </c>
      <c r="D28" s="18" t="s">
        <v>9</v>
      </c>
      <c r="E28" s="193" t="s">
        <v>10</v>
      </c>
      <c r="F28" s="194"/>
    </row>
    <row r="29" spans="1:10" x14ac:dyDescent="0.25">
      <c r="A29" s="148" t="s">
        <v>44</v>
      </c>
      <c r="B29" s="153">
        <v>46223</v>
      </c>
      <c r="C29" s="148">
        <v>2</v>
      </c>
      <c r="D29" s="148">
        <v>0</v>
      </c>
      <c r="E29" s="148" t="s">
        <v>45</v>
      </c>
      <c r="F29" s="148"/>
      <c r="G29" s="21"/>
      <c r="H29" s="21"/>
      <c r="I29" s="21"/>
      <c r="J29" s="21"/>
    </row>
    <row r="30" spans="1:10" x14ac:dyDescent="0.25">
      <c r="A30" s="148" t="s">
        <v>46</v>
      </c>
      <c r="B30" s="153">
        <v>46237</v>
      </c>
      <c r="C30" s="148">
        <v>1</v>
      </c>
      <c r="D30" s="148">
        <v>1</v>
      </c>
      <c r="E30" s="148" t="s">
        <v>47</v>
      </c>
      <c r="F30" s="148"/>
      <c r="G30" s="21"/>
      <c r="H30" s="21"/>
      <c r="I30" s="21"/>
      <c r="J30" s="21"/>
    </row>
    <row r="31" spans="1:10" x14ac:dyDescent="0.25">
      <c r="A31" s="148" t="s">
        <v>48</v>
      </c>
      <c r="B31" s="153">
        <v>46282</v>
      </c>
      <c r="C31" s="148">
        <v>1</v>
      </c>
      <c r="D31" s="148">
        <v>1</v>
      </c>
      <c r="E31" s="148" t="s">
        <v>47</v>
      </c>
      <c r="F31" s="148"/>
      <c r="G31" s="21"/>
      <c r="H31" s="21"/>
      <c r="I31" s="21"/>
      <c r="J31" s="21"/>
    </row>
    <row r="32" spans="1:10" x14ac:dyDescent="0.25">
      <c r="A32" s="148" t="s">
        <v>49</v>
      </c>
      <c r="B32" s="153">
        <v>46297</v>
      </c>
      <c r="C32" s="148">
        <v>6</v>
      </c>
      <c r="D32" s="148">
        <v>6</v>
      </c>
      <c r="E32" s="148" t="s">
        <v>50</v>
      </c>
      <c r="F32" s="148"/>
      <c r="G32" s="21"/>
      <c r="H32" s="21"/>
      <c r="I32" s="21"/>
      <c r="J32" s="21"/>
    </row>
    <row r="33" spans="1:10" x14ac:dyDescent="0.25">
      <c r="A33" s="148" t="s">
        <v>51</v>
      </c>
      <c r="B33" s="153">
        <v>46293</v>
      </c>
      <c r="C33" s="148">
        <v>48</v>
      </c>
      <c r="D33" s="148">
        <v>48</v>
      </c>
      <c r="E33" s="148" t="s">
        <v>50</v>
      </c>
      <c r="F33" s="148"/>
      <c r="G33" s="21"/>
      <c r="H33" s="21"/>
      <c r="I33" s="21"/>
      <c r="J33" s="21"/>
    </row>
    <row r="34" spans="1:10" x14ac:dyDescent="0.25">
      <c r="A34" s="148" t="s">
        <v>52</v>
      </c>
      <c r="B34" s="153">
        <v>46293</v>
      </c>
      <c r="C34" s="148">
        <v>3</v>
      </c>
      <c r="D34" s="148">
        <v>3</v>
      </c>
      <c r="E34" s="148" t="s">
        <v>53</v>
      </c>
      <c r="F34" s="148"/>
      <c r="G34" s="21"/>
      <c r="H34" s="21"/>
      <c r="I34" s="21"/>
      <c r="J34" s="21"/>
    </row>
    <row r="35" spans="1:10" x14ac:dyDescent="0.25">
      <c r="A35" s="148"/>
      <c r="B35" s="148"/>
      <c r="C35" s="148"/>
      <c r="D35" s="148"/>
      <c r="E35" s="148"/>
      <c r="F35" s="148"/>
      <c r="G35" s="21"/>
      <c r="H35" s="21"/>
      <c r="I35" s="21"/>
      <c r="J35" s="21"/>
    </row>
    <row r="36" spans="1:10" ht="15" x14ac:dyDescent="0.25">
      <c r="A36" s="10"/>
      <c r="B36" s="20"/>
      <c r="C36" s="22"/>
      <c r="D36" s="22">
        <f>SUM(D29:D35)</f>
        <v>59</v>
      </c>
      <c r="E36" s="182"/>
      <c r="F36" s="183"/>
      <c r="G36" s="21"/>
      <c r="H36" s="21"/>
      <c r="I36" s="21"/>
      <c r="J36" s="21"/>
    </row>
    <row r="37" spans="1:10" x14ac:dyDescent="0.25">
      <c r="H37" s="21"/>
      <c r="I37" s="21"/>
      <c r="J37" s="21"/>
    </row>
    <row r="42" spans="1:10" x14ac:dyDescent="0.25">
      <c r="F42" s="8"/>
    </row>
    <row r="43" spans="1:10" x14ac:dyDescent="0.25">
      <c r="F43" s="8"/>
    </row>
    <row r="44" spans="1:10" x14ac:dyDescent="0.25">
      <c r="F44" s="8"/>
    </row>
    <row r="45" spans="1:10" x14ac:dyDescent="0.25">
      <c r="F45" s="8"/>
    </row>
    <row r="46" spans="1:10" x14ac:dyDescent="0.25">
      <c r="F46" s="8"/>
    </row>
    <row r="47" spans="1:10" x14ac:dyDescent="0.25">
      <c r="F47" s="8"/>
    </row>
    <row r="48" spans="1:10" x14ac:dyDescent="0.25">
      <c r="F48" s="8"/>
    </row>
    <row r="49" spans="1:6" x14ac:dyDescent="0.25">
      <c r="F49" s="8"/>
    </row>
    <row r="50" spans="1:6" x14ac:dyDescent="0.25">
      <c r="F50" s="8"/>
    </row>
    <row r="51" spans="1:6" x14ac:dyDescent="0.25">
      <c r="F51" s="8"/>
    </row>
    <row r="52" spans="1:6" x14ac:dyDescent="0.25">
      <c r="F52" s="8"/>
    </row>
    <row r="53" spans="1:6" x14ac:dyDescent="0.25">
      <c r="F53" s="8"/>
    </row>
    <row r="54" spans="1:6" x14ac:dyDescent="0.25">
      <c r="F54" s="8"/>
    </row>
    <row r="55" spans="1:6" x14ac:dyDescent="0.25">
      <c r="F55" s="8"/>
    </row>
    <row r="56" spans="1:6" x14ac:dyDescent="0.25">
      <c r="F56" s="8"/>
    </row>
    <row r="57" spans="1:6" x14ac:dyDescent="0.25">
      <c r="F57" s="8"/>
    </row>
    <row r="58" spans="1:6" x14ac:dyDescent="0.25">
      <c r="F58" s="8"/>
    </row>
    <row r="59" spans="1:6" x14ac:dyDescent="0.25">
      <c r="F59" s="8"/>
    </row>
    <row r="60" spans="1:6" x14ac:dyDescent="0.25">
      <c r="F60" s="8"/>
    </row>
    <row r="61" spans="1:6" ht="17.399999999999999" x14ac:dyDescent="0.3">
      <c r="E61" s="4"/>
      <c r="F61" s="8"/>
    </row>
    <row r="62" spans="1:6" x14ac:dyDescent="0.25">
      <c r="F62" s="8"/>
    </row>
    <row r="63" spans="1:6" x14ac:dyDescent="0.25">
      <c r="A63" s="39" t="s">
        <v>60</v>
      </c>
      <c r="B63" s="35">
        <v>1</v>
      </c>
      <c r="C63" s="34">
        <v>0</v>
      </c>
      <c r="D63" s="34" t="s">
        <v>61</v>
      </c>
      <c r="F63" s="8"/>
    </row>
    <row r="64" spans="1:6" ht="17.399999999999999" x14ac:dyDescent="0.3">
      <c r="A64" s="2" t="s">
        <v>62</v>
      </c>
      <c r="B64" s="35">
        <v>1</v>
      </c>
      <c r="C64" s="34">
        <v>0</v>
      </c>
      <c r="D64" s="2" t="s">
        <v>63</v>
      </c>
      <c r="E64" s="4"/>
      <c r="F64" s="8"/>
    </row>
    <row r="65" spans="1:6" ht="17.399999999999999" x14ac:dyDescent="0.3">
      <c r="E65" s="4"/>
      <c r="F65" s="8"/>
    </row>
    <row r="66" spans="1:6" ht="19.2" x14ac:dyDescent="0.45">
      <c r="A66" s="7" t="s">
        <v>64</v>
      </c>
      <c r="B66" s="7">
        <v>1</v>
      </c>
      <c r="C66" s="7">
        <v>0</v>
      </c>
      <c r="D66" s="7" t="s">
        <v>65</v>
      </c>
      <c r="E66" s="4"/>
    </row>
    <row r="67" spans="1:6" ht="17.399999999999999" x14ac:dyDescent="0.3">
      <c r="A67" s="52"/>
      <c r="E67" s="4"/>
    </row>
    <row r="68" spans="1:6" x14ac:dyDescent="0.25">
      <c r="A68" s="3"/>
      <c r="B68" s="52"/>
      <c r="C68" s="52"/>
      <c r="D68" s="52"/>
    </row>
    <row r="69" spans="1:6" ht="17.399999999999999" x14ac:dyDescent="0.3">
      <c r="A69" s="4"/>
    </row>
    <row r="70" spans="1:6" ht="187.8" x14ac:dyDescent="0.3">
      <c r="A70" s="85" t="s">
        <v>66</v>
      </c>
      <c r="B70" s="86" t="s">
        <v>67</v>
      </c>
      <c r="E70" s="4"/>
    </row>
  </sheetData>
  <mergeCells count="6">
    <mergeCell ref="E36:F36"/>
    <mergeCell ref="A1:I1"/>
    <mergeCell ref="A4:E4"/>
    <mergeCell ref="F4:I4"/>
    <mergeCell ref="A27:F27"/>
    <mergeCell ref="E28:F28"/>
  </mergeCells>
  <hyperlinks>
    <hyperlink ref="B70" r:id="rId1" xr:uid="{E6BEDA4D-284D-47EA-B74A-4070BD7D818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EF15-4B8B-43EE-B7EF-04833335FF92}">
  <dimension ref="A1:J67"/>
  <sheetViews>
    <sheetView workbookViewId="0">
      <selection activeCell="A13" sqref="A13:E13"/>
    </sheetView>
  </sheetViews>
  <sheetFormatPr defaultRowHeight="14.4" x14ac:dyDescent="0.25"/>
  <cols>
    <col min="1" max="1" width="27.33203125" customWidth="1"/>
    <col min="2" max="2" width="13.109375" bestFit="1" customWidth="1"/>
    <col min="5" max="5" width="34.44140625" customWidth="1"/>
    <col min="6" max="6" width="32.77734375" customWidth="1"/>
    <col min="9" max="9" width="29.109375" customWidth="1"/>
  </cols>
  <sheetData>
    <row r="1" spans="1:10" ht="17.399999999999999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17.399999999999999" x14ac:dyDescent="0.25">
      <c r="A2" s="13" t="s">
        <v>1</v>
      </c>
      <c r="B2" s="14">
        <v>46308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7.399999999999999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69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ht="15" x14ac:dyDescent="0.25">
      <c r="A6" s="165" t="s">
        <v>114</v>
      </c>
      <c r="B6" s="165">
        <v>3</v>
      </c>
      <c r="C6" s="165">
        <v>0</v>
      </c>
      <c r="D6" s="165">
        <v>0</v>
      </c>
      <c r="E6" s="165" t="s">
        <v>115</v>
      </c>
      <c r="F6" s="165" t="s">
        <v>116</v>
      </c>
      <c r="G6" s="165">
        <v>1</v>
      </c>
      <c r="H6" s="165">
        <v>0</v>
      </c>
      <c r="I6" s="165" t="s">
        <v>117</v>
      </c>
      <c r="J6" s="38"/>
    </row>
    <row r="7" spans="1:10" ht="15" x14ac:dyDescent="0.25">
      <c r="A7" s="165" t="s">
        <v>118</v>
      </c>
      <c r="B7" s="165">
        <v>0</v>
      </c>
      <c r="C7" s="165">
        <v>3</v>
      </c>
      <c r="D7" s="165">
        <v>0</v>
      </c>
      <c r="E7" s="165" t="s">
        <v>119</v>
      </c>
      <c r="F7" s="165" t="s">
        <v>114</v>
      </c>
      <c r="G7" s="165">
        <v>3</v>
      </c>
      <c r="H7" s="165">
        <v>0</v>
      </c>
      <c r="I7" s="165" t="s">
        <v>120</v>
      </c>
      <c r="J7" s="38"/>
    </row>
    <row r="8" spans="1:10" ht="15" x14ac:dyDescent="0.25">
      <c r="A8" s="165" t="s">
        <v>116</v>
      </c>
      <c r="B8" s="165">
        <v>0</v>
      </c>
      <c r="C8" s="165">
        <v>1</v>
      </c>
      <c r="D8" s="165">
        <v>0</v>
      </c>
      <c r="E8" s="165" t="s">
        <v>121</v>
      </c>
      <c r="F8" s="165" t="s">
        <v>122</v>
      </c>
      <c r="G8" s="165">
        <v>2</v>
      </c>
      <c r="H8" s="165">
        <v>0</v>
      </c>
      <c r="I8" s="165" t="s">
        <v>123</v>
      </c>
      <c r="J8" s="38"/>
    </row>
    <row r="9" spans="1:10" ht="15" x14ac:dyDescent="0.25">
      <c r="A9" s="165" t="s">
        <v>124</v>
      </c>
      <c r="B9" s="165">
        <v>0</v>
      </c>
      <c r="C9" s="165">
        <v>1</v>
      </c>
      <c r="D9" s="165">
        <v>0</v>
      </c>
      <c r="E9" s="165" t="s">
        <v>125</v>
      </c>
      <c r="F9" s="165"/>
      <c r="G9" s="165"/>
      <c r="H9" s="165"/>
      <c r="I9" s="165"/>
      <c r="J9" s="38"/>
    </row>
    <row r="10" spans="1:10" x14ac:dyDescent="0.25">
      <c r="A10" s="165" t="s">
        <v>126</v>
      </c>
      <c r="B10" s="165">
        <v>9</v>
      </c>
      <c r="C10" s="165">
        <v>0</v>
      </c>
      <c r="D10" s="165">
        <v>0</v>
      </c>
      <c r="E10" s="165" t="s">
        <v>127</v>
      </c>
      <c r="F10" s="165"/>
      <c r="G10" s="165"/>
      <c r="H10" s="165"/>
      <c r="I10" s="165"/>
      <c r="J10" s="21"/>
    </row>
    <row r="11" spans="1:10" x14ac:dyDescent="0.25">
      <c r="A11" s="165" t="s">
        <v>122</v>
      </c>
      <c r="B11" s="165">
        <v>0</v>
      </c>
      <c r="C11" s="165">
        <v>2</v>
      </c>
      <c r="D11" s="165">
        <v>0</v>
      </c>
      <c r="E11" s="165" t="s">
        <v>123</v>
      </c>
      <c r="F11" s="165"/>
      <c r="G11" s="165"/>
      <c r="H11" s="165"/>
      <c r="I11" s="165"/>
      <c r="J11" s="21"/>
    </row>
    <row r="12" spans="1:10" x14ac:dyDescent="0.25">
      <c r="A12" s="165" t="s">
        <v>128</v>
      </c>
      <c r="B12" s="165">
        <v>0</v>
      </c>
      <c r="C12" s="165">
        <v>1</v>
      </c>
      <c r="D12" s="165">
        <v>0</v>
      </c>
      <c r="E12" s="165" t="s">
        <v>129</v>
      </c>
      <c r="F12" s="165"/>
      <c r="G12" s="165"/>
      <c r="H12" s="165"/>
      <c r="I12" s="165"/>
      <c r="J12" s="21"/>
    </row>
    <row r="13" spans="1:10" x14ac:dyDescent="0.25">
      <c r="A13" s="2"/>
      <c r="B13" s="165"/>
      <c r="C13" s="165"/>
      <c r="D13" s="165"/>
      <c r="E13" s="165"/>
      <c r="F13" s="165"/>
      <c r="G13" s="165"/>
      <c r="H13" s="165"/>
      <c r="I13" s="165"/>
      <c r="J13" s="21"/>
    </row>
    <row r="14" spans="1:10" x14ac:dyDescent="0.25">
      <c r="A14" s="164"/>
      <c r="B14" s="164"/>
      <c r="C14" s="164"/>
      <c r="D14" s="164"/>
      <c r="E14" s="164"/>
      <c r="F14" s="164"/>
      <c r="G14" s="164"/>
      <c r="H14" s="164"/>
      <c r="I14" s="164"/>
      <c r="J14" s="21"/>
    </row>
    <row r="15" spans="1:10" x14ac:dyDescent="0.25">
      <c r="A15" s="148"/>
      <c r="B15" s="148"/>
      <c r="C15" s="148"/>
      <c r="D15" s="148"/>
      <c r="E15" s="148"/>
      <c r="F15" s="148"/>
      <c r="G15" s="148"/>
      <c r="H15" s="148"/>
      <c r="I15" s="148"/>
      <c r="J15" s="21"/>
    </row>
    <row r="16" spans="1:10" x14ac:dyDescent="0.25">
      <c r="A16" s="130"/>
      <c r="B16" s="131"/>
      <c r="C16" s="131"/>
      <c r="D16" s="131"/>
      <c r="E16" s="132"/>
      <c r="F16" s="127"/>
      <c r="G16" s="127"/>
      <c r="H16" s="127"/>
      <c r="I16" s="127"/>
    </row>
    <row r="17" spans="1:10" x14ac:dyDescent="0.25">
      <c r="A17" s="130"/>
      <c r="B17" s="131"/>
      <c r="C17" s="131"/>
      <c r="D17" s="131"/>
      <c r="E17" s="132"/>
      <c r="F17" s="127"/>
      <c r="G17" s="127"/>
      <c r="H17" s="127"/>
      <c r="I17" s="127"/>
    </row>
    <row r="18" spans="1:10" x14ac:dyDescent="0.25">
      <c r="A18" s="130"/>
      <c r="B18" s="131"/>
      <c r="C18" s="131"/>
      <c r="D18" s="131"/>
      <c r="E18" s="132"/>
      <c r="F18" s="133"/>
      <c r="G18" s="134"/>
      <c r="H18" s="134"/>
      <c r="I18" s="102"/>
    </row>
    <row r="19" spans="1:10" x14ac:dyDescent="0.25">
      <c r="A19" s="140"/>
      <c r="B19" s="141"/>
      <c r="C19" s="141"/>
      <c r="D19" s="141"/>
      <c r="E19" s="142"/>
      <c r="F19" s="143"/>
      <c r="G19" s="156"/>
      <c r="H19" s="157"/>
      <c r="I19" s="128"/>
    </row>
    <row r="20" spans="1:10" x14ac:dyDescent="0.25">
      <c r="A20" s="105"/>
      <c r="B20" s="135"/>
      <c r="C20" s="135"/>
      <c r="D20" s="135"/>
      <c r="E20" s="134"/>
      <c r="F20" s="134"/>
      <c r="G20" s="135"/>
      <c r="H20" s="136"/>
      <c r="I20" s="102"/>
    </row>
    <row r="21" spans="1:10" ht="19.2" x14ac:dyDescent="0.25">
      <c r="A21" s="28">
        <f>COUNTA(A6:A20)</f>
        <v>7</v>
      </c>
      <c r="B21" s="28">
        <f>SUM(B6:B20)</f>
        <v>12</v>
      </c>
      <c r="C21" s="28">
        <f>SUM(C6:C20)</f>
        <v>8</v>
      </c>
      <c r="D21" s="28">
        <f>SUM(D6:D20)</f>
        <v>0</v>
      </c>
      <c r="E21" s="28"/>
      <c r="F21" s="28">
        <f>COUNTA(F6:F20)</f>
        <v>3</v>
      </c>
      <c r="G21" s="28">
        <f>SUM(G6:G20)</f>
        <v>6</v>
      </c>
      <c r="H21" s="28">
        <f>SUM(H6:H20)</f>
        <v>0</v>
      </c>
      <c r="I21" s="28"/>
      <c r="J21" s="11"/>
    </row>
    <row r="22" spans="1:10" x14ac:dyDescent="0.25">
      <c r="F22" s="8"/>
    </row>
    <row r="23" spans="1:10" x14ac:dyDescent="0.25">
      <c r="F23" s="8"/>
    </row>
    <row r="24" spans="1:10" ht="17.399999999999999" x14ac:dyDescent="0.25">
      <c r="A24" s="191" t="s">
        <v>43</v>
      </c>
      <c r="B24" s="192"/>
      <c r="C24" s="192"/>
      <c r="D24" s="192"/>
      <c r="E24" s="192"/>
      <c r="F24" s="192"/>
      <c r="I24" s="6"/>
    </row>
    <row r="25" spans="1:10" ht="66" x14ac:dyDescent="0.25">
      <c r="A25" s="17" t="s">
        <v>6</v>
      </c>
      <c r="B25" s="17" t="s">
        <v>1</v>
      </c>
      <c r="C25" s="18" t="s">
        <v>11</v>
      </c>
      <c r="D25" s="18" t="s">
        <v>9</v>
      </c>
      <c r="E25" s="193" t="s">
        <v>10</v>
      </c>
      <c r="F25" s="194"/>
    </row>
    <row r="26" spans="1:10" x14ac:dyDescent="0.25">
      <c r="A26" s="148" t="s">
        <v>44</v>
      </c>
      <c r="B26" s="153">
        <v>46223</v>
      </c>
      <c r="C26" s="148">
        <v>2</v>
      </c>
      <c r="D26" s="148">
        <v>0</v>
      </c>
      <c r="E26" s="148" t="s">
        <v>45</v>
      </c>
      <c r="F26" s="148"/>
      <c r="G26" s="21"/>
      <c r="H26" s="21"/>
      <c r="I26" s="21"/>
      <c r="J26" s="21"/>
    </row>
    <row r="27" spans="1:10" x14ac:dyDescent="0.25">
      <c r="A27" s="148" t="s">
        <v>46</v>
      </c>
      <c r="B27" s="153">
        <v>46237</v>
      </c>
      <c r="C27" s="148">
        <v>1</v>
      </c>
      <c r="D27" s="148">
        <v>1</v>
      </c>
      <c r="E27" s="148" t="s">
        <v>47</v>
      </c>
      <c r="F27" s="148"/>
      <c r="G27" s="21"/>
      <c r="H27" s="21"/>
      <c r="I27" s="21"/>
      <c r="J27" s="21"/>
    </row>
    <row r="28" spans="1:10" x14ac:dyDescent="0.25">
      <c r="A28" s="148" t="s">
        <v>48</v>
      </c>
      <c r="B28" s="153">
        <v>46282</v>
      </c>
      <c r="C28" s="148">
        <v>1</v>
      </c>
      <c r="D28" s="148">
        <v>1</v>
      </c>
      <c r="E28" s="148" t="s">
        <v>47</v>
      </c>
      <c r="F28" s="148"/>
      <c r="G28" s="21"/>
      <c r="H28" s="21"/>
      <c r="I28" s="21"/>
      <c r="J28" s="21"/>
    </row>
    <row r="29" spans="1:10" x14ac:dyDescent="0.25">
      <c r="A29" s="148" t="s">
        <v>49</v>
      </c>
      <c r="B29" s="153">
        <v>46297</v>
      </c>
      <c r="C29" s="148">
        <v>6</v>
      </c>
      <c r="D29" s="148">
        <v>6</v>
      </c>
      <c r="E29" s="148" t="s">
        <v>50</v>
      </c>
      <c r="F29" s="148"/>
      <c r="G29" s="21"/>
      <c r="H29" s="21"/>
      <c r="I29" s="21"/>
      <c r="J29" s="21"/>
    </row>
    <row r="30" spans="1:10" x14ac:dyDescent="0.25">
      <c r="A30" s="148" t="s">
        <v>51</v>
      </c>
      <c r="B30" s="153">
        <v>46293</v>
      </c>
      <c r="C30" s="148">
        <v>48</v>
      </c>
      <c r="D30" s="148">
        <v>48</v>
      </c>
      <c r="E30" s="148" t="s">
        <v>50</v>
      </c>
      <c r="F30" s="148"/>
      <c r="G30" s="21"/>
      <c r="H30" s="21"/>
      <c r="I30" s="21"/>
      <c r="J30" s="21"/>
    </row>
    <row r="31" spans="1:10" x14ac:dyDescent="0.25">
      <c r="A31" s="148" t="s">
        <v>52</v>
      </c>
      <c r="B31" s="153">
        <v>46293</v>
      </c>
      <c r="C31" s="148">
        <v>3</v>
      </c>
      <c r="D31" s="148">
        <v>3</v>
      </c>
      <c r="E31" s="148" t="s">
        <v>53</v>
      </c>
      <c r="F31" s="148"/>
      <c r="G31" s="21"/>
      <c r="H31" s="21"/>
      <c r="I31" s="21"/>
      <c r="J31" s="21"/>
    </row>
    <row r="32" spans="1:10" x14ac:dyDescent="0.25">
      <c r="A32" s="148"/>
      <c r="B32" s="148"/>
      <c r="C32" s="148"/>
      <c r="D32" s="148"/>
      <c r="E32" s="148"/>
      <c r="F32" s="148"/>
      <c r="G32" s="21"/>
      <c r="H32" s="21"/>
      <c r="I32" s="21"/>
      <c r="J32" s="21"/>
    </row>
    <row r="33" spans="1:10" ht="15" x14ac:dyDescent="0.25">
      <c r="A33" s="10"/>
      <c r="B33" s="20"/>
      <c r="C33" s="22"/>
      <c r="D33" s="22">
        <f>SUM(D26:D32)</f>
        <v>59</v>
      </c>
      <c r="E33" s="182"/>
      <c r="F33" s="183"/>
      <c r="G33" s="21"/>
      <c r="H33" s="21"/>
      <c r="I33" s="21"/>
      <c r="J33" s="21"/>
    </row>
    <row r="34" spans="1:10" x14ac:dyDescent="0.25">
      <c r="H34" s="21"/>
      <c r="I34" s="21"/>
      <c r="J34" s="21"/>
    </row>
    <row r="39" spans="1:10" x14ac:dyDescent="0.25">
      <c r="F39" s="8"/>
    </row>
    <row r="40" spans="1:10" x14ac:dyDescent="0.25">
      <c r="F40" s="8"/>
    </row>
    <row r="41" spans="1:10" x14ac:dyDescent="0.25">
      <c r="F41" s="8"/>
    </row>
    <row r="42" spans="1:10" x14ac:dyDescent="0.25">
      <c r="F42" s="8"/>
    </row>
    <row r="43" spans="1:10" x14ac:dyDescent="0.25">
      <c r="F43" s="8"/>
    </row>
    <row r="44" spans="1:10" x14ac:dyDescent="0.25">
      <c r="F44" s="8"/>
    </row>
    <row r="45" spans="1:10" x14ac:dyDescent="0.25">
      <c r="F45" s="8"/>
    </row>
    <row r="46" spans="1:10" x14ac:dyDescent="0.25">
      <c r="F46" s="8"/>
    </row>
    <row r="47" spans="1:10" x14ac:dyDescent="0.25">
      <c r="F47" s="8"/>
    </row>
    <row r="48" spans="1:10" x14ac:dyDescent="0.25">
      <c r="F48" s="8"/>
    </row>
    <row r="49" spans="1:6" x14ac:dyDescent="0.25">
      <c r="F49" s="8"/>
    </row>
    <row r="50" spans="1:6" x14ac:dyDescent="0.25">
      <c r="F50" s="8"/>
    </row>
    <row r="51" spans="1:6" x14ac:dyDescent="0.25">
      <c r="F51" s="8"/>
    </row>
    <row r="52" spans="1:6" x14ac:dyDescent="0.25">
      <c r="F52" s="8"/>
    </row>
    <row r="53" spans="1:6" x14ac:dyDescent="0.25">
      <c r="F53" s="8"/>
    </row>
    <row r="54" spans="1:6" x14ac:dyDescent="0.25">
      <c r="F54" s="8"/>
    </row>
    <row r="55" spans="1:6" x14ac:dyDescent="0.25">
      <c r="F55" s="8"/>
    </row>
    <row r="56" spans="1:6" x14ac:dyDescent="0.25">
      <c r="F56" s="8"/>
    </row>
    <row r="57" spans="1:6" x14ac:dyDescent="0.25">
      <c r="F57" s="8"/>
    </row>
    <row r="58" spans="1:6" ht="17.399999999999999" x14ac:dyDescent="0.3">
      <c r="E58" s="4"/>
      <c r="F58" s="8"/>
    </row>
    <row r="59" spans="1:6" x14ac:dyDescent="0.25">
      <c r="F59" s="8"/>
    </row>
    <row r="60" spans="1:6" x14ac:dyDescent="0.25">
      <c r="A60" s="39" t="s">
        <v>60</v>
      </c>
      <c r="B60" s="35">
        <v>1</v>
      </c>
      <c r="C60" s="34">
        <v>0</v>
      </c>
      <c r="D60" s="34" t="s">
        <v>61</v>
      </c>
      <c r="F60" s="8"/>
    </row>
    <row r="61" spans="1:6" ht="17.399999999999999" x14ac:dyDescent="0.3">
      <c r="A61" s="2" t="s">
        <v>62</v>
      </c>
      <c r="B61" s="35">
        <v>1</v>
      </c>
      <c r="C61" s="34">
        <v>0</v>
      </c>
      <c r="D61" s="2" t="s">
        <v>63</v>
      </c>
      <c r="E61" s="4"/>
      <c r="F61" s="8"/>
    </row>
    <row r="62" spans="1:6" ht="17.399999999999999" x14ac:dyDescent="0.3">
      <c r="E62" s="4"/>
      <c r="F62" s="8"/>
    </row>
    <row r="63" spans="1:6" ht="19.2" x14ac:dyDescent="0.45">
      <c r="A63" s="7" t="s">
        <v>64</v>
      </c>
      <c r="B63" s="7">
        <v>1</v>
      </c>
      <c r="C63" s="7">
        <v>0</v>
      </c>
      <c r="D63" s="7" t="s">
        <v>65</v>
      </c>
      <c r="E63" s="4"/>
    </row>
    <row r="64" spans="1:6" ht="17.399999999999999" x14ac:dyDescent="0.3">
      <c r="A64" s="52"/>
      <c r="E64" s="4"/>
    </row>
    <row r="65" spans="1:5" x14ac:dyDescent="0.25">
      <c r="A65" s="3"/>
      <c r="B65" s="52"/>
      <c r="C65" s="52"/>
      <c r="D65" s="52"/>
    </row>
    <row r="66" spans="1:5" ht="17.399999999999999" x14ac:dyDescent="0.3">
      <c r="A66" s="4"/>
    </row>
    <row r="67" spans="1:5" ht="187.8" x14ac:dyDescent="0.3">
      <c r="A67" s="85" t="s">
        <v>66</v>
      </c>
      <c r="B67" s="86" t="s">
        <v>67</v>
      </c>
      <c r="E67" s="4"/>
    </row>
  </sheetData>
  <mergeCells count="6">
    <mergeCell ref="E33:F33"/>
    <mergeCell ref="A1:I1"/>
    <mergeCell ref="A4:E4"/>
    <mergeCell ref="F4:I4"/>
    <mergeCell ref="A24:F24"/>
    <mergeCell ref="E25:F25"/>
  </mergeCells>
  <hyperlinks>
    <hyperlink ref="B67" r:id="rId1" xr:uid="{957939D9-436D-415C-B77E-B7451695EDA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D3D0-D09D-4981-AED9-78B87E7788BA}">
  <dimension ref="A1:J67"/>
  <sheetViews>
    <sheetView topLeftCell="A5" workbookViewId="0">
      <selection activeCell="A12" sqref="A12"/>
    </sheetView>
  </sheetViews>
  <sheetFormatPr defaultRowHeight="14.4" x14ac:dyDescent="0.25"/>
  <cols>
    <col min="1" max="1" width="26" customWidth="1"/>
    <col min="2" max="2" width="13.109375" bestFit="1" customWidth="1"/>
    <col min="5" max="5" width="29.77734375" customWidth="1"/>
    <col min="6" max="6" width="32.109375" customWidth="1"/>
    <col min="9" max="9" width="39.44140625" customWidth="1"/>
  </cols>
  <sheetData>
    <row r="1" spans="1:10" ht="17.399999999999999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17.399999999999999" x14ac:dyDescent="0.25">
      <c r="A2" s="13" t="s">
        <v>1</v>
      </c>
      <c r="B2" s="14">
        <v>46307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7.399999999999999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69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ht="15" x14ac:dyDescent="0.25">
      <c r="A6" s="148" t="s">
        <v>130</v>
      </c>
      <c r="B6" s="148">
        <v>48</v>
      </c>
      <c r="C6" s="148">
        <v>0</v>
      </c>
      <c r="D6" s="148">
        <v>0</v>
      </c>
      <c r="E6" s="148" t="s">
        <v>131</v>
      </c>
      <c r="F6" s="148" t="s">
        <v>130</v>
      </c>
      <c r="G6" s="148">
        <v>48</v>
      </c>
      <c r="H6" s="148">
        <v>0</v>
      </c>
      <c r="I6" s="148" t="s">
        <v>131</v>
      </c>
      <c r="J6" s="38"/>
    </row>
    <row r="7" spans="1:10" ht="15" x14ac:dyDescent="0.25">
      <c r="A7" s="148" t="s">
        <v>132</v>
      </c>
      <c r="B7" s="148">
        <v>6</v>
      </c>
      <c r="C7" s="148">
        <v>0</v>
      </c>
      <c r="D7" s="148">
        <v>0</v>
      </c>
      <c r="E7" s="148" t="s">
        <v>133</v>
      </c>
      <c r="F7" s="148" t="s">
        <v>134</v>
      </c>
      <c r="G7" s="148">
        <v>8</v>
      </c>
      <c r="H7" s="148">
        <v>0</v>
      </c>
      <c r="I7" s="148" t="s">
        <v>135</v>
      </c>
      <c r="J7" s="38"/>
    </row>
    <row r="8" spans="1:10" ht="15" x14ac:dyDescent="0.25">
      <c r="A8" s="148" t="s">
        <v>97</v>
      </c>
      <c r="B8" s="148">
        <v>2</v>
      </c>
      <c r="C8" s="148">
        <v>0</v>
      </c>
      <c r="D8" s="148">
        <v>0</v>
      </c>
      <c r="E8" s="148" t="s">
        <v>136</v>
      </c>
      <c r="F8" s="148" t="s">
        <v>137</v>
      </c>
      <c r="G8" s="148">
        <v>4</v>
      </c>
      <c r="H8" s="148">
        <v>0</v>
      </c>
      <c r="I8" s="148" t="s">
        <v>138</v>
      </c>
      <c r="J8" s="38"/>
    </row>
    <row r="9" spans="1:10" ht="15" x14ac:dyDescent="0.25">
      <c r="A9" s="148" t="s">
        <v>139</v>
      </c>
      <c r="B9" s="148">
        <v>1</v>
      </c>
      <c r="C9" s="148">
        <v>0</v>
      </c>
      <c r="D9" s="148">
        <v>0</v>
      </c>
      <c r="E9" s="148" t="s">
        <v>140</v>
      </c>
      <c r="F9" s="148" t="s">
        <v>141</v>
      </c>
      <c r="G9" s="148">
        <v>7</v>
      </c>
      <c r="H9" s="148">
        <v>0</v>
      </c>
      <c r="I9" s="148" t="s">
        <v>142</v>
      </c>
      <c r="J9" s="38"/>
    </row>
    <row r="10" spans="1:10" x14ac:dyDescent="0.25">
      <c r="A10" s="148" t="s">
        <v>143</v>
      </c>
      <c r="B10" s="148">
        <v>48</v>
      </c>
      <c r="C10" s="148">
        <v>0</v>
      </c>
      <c r="D10" s="148">
        <v>0</v>
      </c>
      <c r="E10" s="148" t="s">
        <v>144</v>
      </c>
      <c r="F10" s="148" t="s">
        <v>145</v>
      </c>
      <c r="G10" s="148">
        <v>2</v>
      </c>
      <c r="H10" s="148">
        <v>0</v>
      </c>
      <c r="I10" s="148" t="s">
        <v>146</v>
      </c>
      <c r="J10" s="21"/>
    </row>
    <row r="11" spans="1:10" x14ac:dyDescent="0.25">
      <c r="A11" s="148" t="s">
        <v>147</v>
      </c>
      <c r="B11" s="148">
        <v>8</v>
      </c>
      <c r="C11" s="148">
        <v>0</v>
      </c>
      <c r="D11" s="148">
        <v>0</v>
      </c>
      <c r="E11" s="148" t="s">
        <v>148</v>
      </c>
      <c r="F11" s="148" t="s">
        <v>149</v>
      </c>
      <c r="G11" s="148">
        <v>1</v>
      </c>
      <c r="H11" s="148">
        <v>0</v>
      </c>
      <c r="I11" s="148" t="s">
        <v>150</v>
      </c>
      <c r="J11" s="21"/>
    </row>
    <row r="12" spans="1:10" x14ac:dyDescent="0.25">
      <c r="A12" s="148" t="s">
        <v>59</v>
      </c>
      <c r="B12" s="148">
        <v>0</v>
      </c>
      <c r="C12" s="148">
        <v>1</v>
      </c>
      <c r="D12" s="148">
        <v>1</v>
      </c>
      <c r="E12" s="148" t="s">
        <v>151</v>
      </c>
      <c r="F12" s="148" t="s">
        <v>152</v>
      </c>
      <c r="G12" s="148">
        <v>2</v>
      </c>
      <c r="H12" s="148">
        <v>0</v>
      </c>
      <c r="I12" s="148" t="s">
        <v>153</v>
      </c>
      <c r="J12" s="21"/>
    </row>
    <row r="13" spans="1:10" x14ac:dyDescent="0.25">
      <c r="A13" s="148"/>
      <c r="B13" s="148"/>
      <c r="C13" s="148"/>
      <c r="D13" s="148"/>
      <c r="E13" s="148"/>
      <c r="F13" s="148" t="s">
        <v>154</v>
      </c>
      <c r="G13" s="148">
        <v>3</v>
      </c>
      <c r="H13" s="148">
        <v>0</v>
      </c>
      <c r="I13" s="148" t="s">
        <v>155</v>
      </c>
      <c r="J13" s="21"/>
    </row>
    <row r="14" spans="1:10" x14ac:dyDescent="0.25">
      <c r="A14" s="148"/>
      <c r="B14" s="148"/>
      <c r="C14" s="148"/>
      <c r="D14" s="148"/>
      <c r="E14" s="148"/>
      <c r="F14" s="148" t="s">
        <v>156</v>
      </c>
      <c r="G14" s="148">
        <v>1</v>
      </c>
      <c r="H14" s="148">
        <v>0</v>
      </c>
      <c r="I14" s="148" t="s">
        <v>157</v>
      </c>
      <c r="J14" s="21"/>
    </row>
    <row r="15" spans="1:10" x14ac:dyDescent="0.25">
      <c r="A15" s="148"/>
      <c r="B15" s="148"/>
      <c r="C15" s="148"/>
      <c r="D15" s="148"/>
      <c r="E15" s="148"/>
      <c r="F15" s="148" t="s">
        <v>158</v>
      </c>
      <c r="G15" s="148">
        <v>15</v>
      </c>
      <c r="H15" s="148">
        <v>0</v>
      </c>
      <c r="I15" s="148" t="s">
        <v>159</v>
      </c>
      <c r="J15" s="21"/>
    </row>
    <row r="16" spans="1:10" x14ac:dyDescent="0.25">
      <c r="A16" s="130"/>
      <c r="B16" s="131"/>
      <c r="C16" s="131"/>
      <c r="D16" s="131"/>
      <c r="E16" s="132"/>
      <c r="F16" s="127"/>
      <c r="G16" s="127"/>
      <c r="H16" s="127"/>
      <c r="I16" s="127"/>
    </row>
    <row r="17" spans="1:10" x14ac:dyDescent="0.25">
      <c r="A17" s="130"/>
      <c r="B17" s="131"/>
      <c r="C17" s="131"/>
      <c r="D17" s="131"/>
      <c r="E17" s="132"/>
      <c r="F17" s="127"/>
      <c r="G17" s="127"/>
      <c r="H17" s="127"/>
      <c r="I17" s="127"/>
    </row>
    <row r="18" spans="1:10" x14ac:dyDescent="0.25">
      <c r="A18" s="130"/>
      <c r="B18" s="131"/>
      <c r="C18" s="131"/>
      <c r="D18" s="131"/>
      <c r="E18" s="132"/>
      <c r="F18" s="133"/>
      <c r="G18" s="134"/>
      <c r="H18" s="134"/>
      <c r="I18" s="102"/>
    </row>
    <row r="19" spans="1:10" x14ac:dyDescent="0.25">
      <c r="A19" s="140"/>
      <c r="B19" s="141"/>
      <c r="C19" s="141"/>
      <c r="D19" s="141"/>
      <c r="E19" s="142"/>
      <c r="F19" s="143"/>
      <c r="G19" s="156"/>
      <c r="H19" s="157"/>
      <c r="I19" s="128"/>
    </row>
    <row r="20" spans="1:10" x14ac:dyDescent="0.25">
      <c r="A20" s="105"/>
      <c r="B20" s="135"/>
      <c r="C20" s="135"/>
      <c r="D20" s="135"/>
      <c r="E20" s="134"/>
      <c r="F20" s="134"/>
      <c r="G20" s="135"/>
      <c r="H20" s="136"/>
      <c r="I20" s="102"/>
    </row>
    <row r="21" spans="1:10" ht="19.2" x14ac:dyDescent="0.25">
      <c r="A21" s="28">
        <f>COUNTA(A6:A20)</f>
        <v>7</v>
      </c>
      <c r="B21" s="28">
        <f>SUM(B6:B20)</f>
        <v>113</v>
      </c>
      <c r="C21" s="28">
        <f>SUM(C6:C20)</f>
        <v>1</v>
      </c>
      <c r="D21" s="28">
        <f>SUM(D6:D20)</f>
        <v>1</v>
      </c>
      <c r="E21" s="28"/>
      <c r="F21" s="28">
        <f>COUNTA(F6:F20)</f>
        <v>10</v>
      </c>
      <c r="G21" s="28">
        <f>SUM(G6:G20)</f>
        <v>91</v>
      </c>
      <c r="H21" s="28">
        <f>SUM(H6:H20)</f>
        <v>0</v>
      </c>
      <c r="I21" s="28"/>
      <c r="J21" s="11"/>
    </row>
    <row r="22" spans="1:10" x14ac:dyDescent="0.25">
      <c r="F22" s="8"/>
    </row>
    <row r="23" spans="1:10" x14ac:dyDescent="0.25">
      <c r="F23" s="8"/>
    </row>
    <row r="24" spans="1:10" ht="17.399999999999999" x14ac:dyDescent="0.25">
      <c r="A24" s="191" t="s">
        <v>43</v>
      </c>
      <c r="B24" s="192"/>
      <c r="C24" s="192"/>
      <c r="D24" s="192"/>
      <c r="E24" s="192"/>
      <c r="F24" s="192"/>
      <c r="I24" s="6"/>
    </row>
    <row r="25" spans="1:10" ht="66" x14ac:dyDescent="0.25">
      <c r="A25" s="17" t="s">
        <v>6</v>
      </c>
      <c r="B25" s="17" t="s">
        <v>1</v>
      </c>
      <c r="C25" s="18" t="s">
        <v>11</v>
      </c>
      <c r="D25" s="18" t="s">
        <v>9</v>
      </c>
      <c r="E25" s="193" t="s">
        <v>10</v>
      </c>
      <c r="F25" s="194"/>
    </row>
    <row r="26" spans="1:10" x14ac:dyDescent="0.25">
      <c r="A26" s="148" t="s">
        <v>44</v>
      </c>
      <c r="B26" s="153">
        <v>46223</v>
      </c>
      <c r="C26" s="148">
        <v>2</v>
      </c>
      <c r="D26" s="148">
        <v>0</v>
      </c>
      <c r="E26" s="148" t="s">
        <v>45</v>
      </c>
      <c r="F26" s="148"/>
      <c r="G26" s="21"/>
      <c r="H26" s="21"/>
      <c r="I26" s="21"/>
      <c r="J26" s="21"/>
    </row>
    <row r="27" spans="1:10" x14ac:dyDescent="0.25">
      <c r="A27" s="148" t="s">
        <v>46</v>
      </c>
      <c r="B27" s="153">
        <v>46237</v>
      </c>
      <c r="C27" s="148">
        <v>1</v>
      </c>
      <c r="D27" s="148">
        <v>1</v>
      </c>
      <c r="E27" s="148" t="s">
        <v>47</v>
      </c>
      <c r="F27" s="148"/>
      <c r="G27" s="21"/>
      <c r="H27" s="21"/>
      <c r="I27" s="21"/>
      <c r="J27" s="21"/>
    </row>
    <row r="28" spans="1:10" x14ac:dyDescent="0.25">
      <c r="A28" s="148" t="s">
        <v>48</v>
      </c>
      <c r="B28" s="153">
        <v>46282</v>
      </c>
      <c r="C28" s="148">
        <v>1</v>
      </c>
      <c r="D28" s="148">
        <v>1</v>
      </c>
      <c r="E28" s="148" t="s">
        <v>47</v>
      </c>
      <c r="F28" s="148"/>
      <c r="G28" s="21"/>
      <c r="H28" s="21"/>
      <c r="I28" s="21"/>
      <c r="J28" s="21"/>
    </row>
    <row r="29" spans="1:10" x14ac:dyDescent="0.25">
      <c r="A29" s="148" t="s">
        <v>49</v>
      </c>
      <c r="B29" s="153">
        <v>46297</v>
      </c>
      <c r="C29" s="148">
        <v>6</v>
      </c>
      <c r="D29" s="148">
        <v>6</v>
      </c>
      <c r="E29" s="148" t="s">
        <v>50</v>
      </c>
      <c r="F29" s="148"/>
      <c r="G29" s="21"/>
      <c r="H29" s="21"/>
      <c r="I29" s="21"/>
      <c r="J29" s="21"/>
    </row>
    <row r="30" spans="1:10" x14ac:dyDescent="0.25">
      <c r="A30" s="148" t="s">
        <v>51</v>
      </c>
      <c r="B30" s="153">
        <v>46293</v>
      </c>
      <c r="C30" s="148">
        <v>48</v>
      </c>
      <c r="D30" s="148">
        <v>48</v>
      </c>
      <c r="E30" s="148" t="s">
        <v>50</v>
      </c>
      <c r="F30" s="148"/>
      <c r="G30" s="21"/>
      <c r="H30" s="21"/>
      <c r="I30" s="21"/>
      <c r="J30" s="21"/>
    </row>
    <row r="31" spans="1:10" x14ac:dyDescent="0.25">
      <c r="A31" s="148" t="s">
        <v>52</v>
      </c>
      <c r="B31" s="153">
        <v>46293</v>
      </c>
      <c r="C31" s="148">
        <v>3</v>
      </c>
      <c r="D31" s="148">
        <v>3</v>
      </c>
      <c r="E31" s="148" t="s">
        <v>53</v>
      </c>
      <c r="F31" s="148"/>
      <c r="G31" s="21"/>
      <c r="H31" s="21"/>
      <c r="I31" s="21"/>
      <c r="J31" s="21"/>
    </row>
    <row r="32" spans="1:10" x14ac:dyDescent="0.25">
      <c r="A32" s="148"/>
      <c r="B32" s="148"/>
      <c r="C32" s="148"/>
      <c r="D32" s="148"/>
      <c r="E32" s="148"/>
      <c r="F32" s="148"/>
      <c r="G32" s="21"/>
      <c r="H32" s="21"/>
      <c r="I32" s="21"/>
      <c r="J32" s="21"/>
    </row>
    <row r="33" spans="1:10" ht="15" x14ac:dyDescent="0.25">
      <c r="A33" s="10"/>
      <c r="B33" s="20"/>
      <c r="C33" s="22"/>
      <c r="D33" s="22">
        <f>SUM(D26:D32)</f>
        <v>59</v>
      </c>
      <c r="E33" s="182"/>
      <c r="F33" s="183"/>
      <c r="G33" s="21"/>
      <c r="H33" s="21"/>
      <c r="I33" s="21"/>
      <c r="J33" s="21"/>
    </row>
    <row r="34" spans="1:10" x14ac:dyDescent="0.25">
      <c r="H34" s="21"/>
      <c r="I34" s="21"/>
      <c r="J34" s="21"/>
    </row>
    <row r="39" spans="1:10" x14ac:dyDescent="0.25">
      <c r="F39" s="8"/>
    </row>
    <row r="40" spans="1:10" x14ac:dyDescent="0.25">
      <c r="F40" s="8"/>
    </row>
    <row r="41" spans="1:10" x14ac:dyDescent="0.25">
      <c r="F41" s="8"/>
    </row>
    <row r="42" spans="1:10" x14ac:dyDescent="0.25">
      <c r="F42" s="8"/>
    </row>
    <row r="43" spans="1:10" x14ac:dyDescent="0.25">
      <c r="F43" s="8"/>
    </row>
    <row r="44" spans="1:10" x14ac:dyDescent="0.25">
      <c r="F44" s="8"/>
    </row>
    <row r="45" spans="1:10" x14ac:dyDescent="0.25">
      <c r="F45" s="8"/>
    </row>
    <row r="46" spans="1:10" x14ac:dyDescent="0.25">
      <c r="F46" s="8"/>
    </row>
    <row r="47" spans="1:10" x14ac:dyDescent="0.25">
      <c r="F47" s="8"/>
    </row>
    <row r="48" spans="1:10" x14ac:dyDescent="0.25">
      <c r="F48" s="8"/>
    </row>
    <row r="49" spans="1:6" x14ac:dyDescent="0.25">
      <c r="F49" s="8"/>
    </row>
    <row r="50" spans="1:6" x14ac:dyDescent="0.25">
      <c r="F50" s="8"/>
    </row>
    <row r="51" spans="1:6" x14ac:dyDescent="0.25">
      <c r="F51" s="8"/>
    </row>
    <row r="52" spans="1:6" x14ac:dyDescent="0.25">
      <c r="F52" s="8"/>
    </row>
    <row r="53" spans="1:6" x14ac:dyDescent="0.25">
      <c r="F53" s="8"/>
    </row>
    <row r="54" spans="1:6" x14ac:dyDescent="0.25">
      <c r="F54" s="8"/>
    </row>
    <row r="55" spans="1:6" x14ac:dyDescent="0.25">
      <c r="F55" s="8"/>
    </row>
    <row r="56" spans="1:6" x14ac:dyDescent="0.25">
      <c r="F56" s="8"/>
    </row>
    <row r="57" spans="1:6" x14ac:dyDescent="0.25">
      <c r="F57" s="8"/>
    </row>
    <row r="58" spans="1:6" ht="17.399999999999999" x14ac:dyDescent="0.3">
      <c r="E58" s="4"/>
      <c r="F58" s="8"/>
    </row>
    <row r="59" spans="1:6" x14ac:dyDescent="0.25">
      <c r="F59" s="8"/>
    </row>
    <row r="60" spans="1:6" x14ac:dyDescent="0.25">
      <c r="A60" s="39" t="s">
        <v>60</v>
      </c>
      <c r="B60" s="35">
        <v>1</v>
      </c>
      <c r="C60" s="34">
        <v>0</v>
      </c>
      <c r="D60" s="34" t="s">
        <v>61</v>
      </c>
      <c r="F60" s="8"/>
    </row>
    <row r="61" spans="1:6" ht="17.399999999999999" x14ac:dyDescent="0.3">
      <c r="A61" s="2" t="s">
        <v>62</v>
      </c>
      <c r="B61" s="35">
        <v>1</v>
      </c>
      <c r="C61" s="34">
        <v>0</v>
      </c>
      <c r="D61" s="2" t="s">
        <v>63</v>
      </c>
      <c r="E61" s="4"/>
      <c r="F61" s="8"/>
    </row>
    <row r="62" spans="1:6" ht="17.399999999999999" x14ac:dyDescent="0.3">
      <c r="E62" s="4"/>
      <c r="F62" s="8"/>
    </row>
    <row r="63" spans="1:6" ht="19.2" x14ac:dyDescent="0.45">
      <c r="A63" s="7" t="s">
        <v>64</v>
      </c>
      <c r="B63" s="7">
        <v>1</v>
      </c>
      <c r="C63" s="7">
        <v>0</v>
      </c>
      <c r="D63" s="7" t="s">
        <v>65</v>
      </c>
      <c r="E63" s="4"/>
    </row>
    <row r="64" spans="1:6" ht="17.399999999999999" x14ac:dyDescent="0.3">
      <c r="A64" s="52"/>
      <c r="E64" s="4"/>
    </row>
    <row r="65" spans="1:5" x14ac:dyDescent="0.25">
      <c r="A65" s="3"/>
      <c r="B65" s="52"/>
      <c r="C65" s="52"/>
      <c r="D65" s="52"/>
    </row>
    <row r="66" spans="1:5" ht="17.399999999999999" x14ac:dyDescent="0.3">
      <c r="A66" s="4"/>
    </row>
    <row r="67" spans="1:5" ht="187.8" x14ac:dyDescent="0.3">
      <c r="A67" s="85" t="s">
        <v>66</v>
      </c>
      <c r="B67" s="86" t="s">
        <v>67</v>
      </c>
      <c r="E67" s="4"/>
    </row>
  </sheetData>
  <mergeCells count="6">
    <mergeCell ref="E33:F33"/>
    <mergeCell ref="A1:I1"/>
    <mergeCell ref="A4:E4"/>
    <mergeCell ref="F4:I4"/>
    <mergeCell ref="A24:F24"/>
    <mergeCell ref="E25:F25"/>
  </mergeCells>
  <hyperlinks>
    <hyperlink ref="B67" r:id="rId1" xr:uid="{7A3FB054-218E-4CE8-875A-83857FEBDD6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0BBC-33C4-4DDE-9485-3C258301ABB3}">
  <dimension ref="A1:J74"/>
  <sheetViews>
    <sheetView workbookViewId="0">
      <selection activeCell="A19" sqref="A19"/>
    </sheetView>
  </sheetViews>
  <sheetFormatPr defaultRowHeight="14.4" x14ac:dyDescent="0.25"/>
  <cols>
    <col min="1" max="1" width="26.77734375" customWidth="1"/>
    <col min="2" max="2" width="11.88671875" bestFit="1" customWidth="1"/>
    <col min="5" max="5" width="30" customWidth="1"/>
    <col min="6" max="6" width="32.88671875" customWidth="1"/>
    <col min="9" max="9" width="44.109375" customWidth="1"/>
  </cols>
  <sheetData>
    <row r="1" spans="1:10" ht="17.399999999999999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17.399999999999999" x14ac:dyDescent="0.25">
      <c r="A2" s="13" t="s">
        <v>1</v>
      </c>
      <c r="B2" s="14">
        <v>46304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7.399999999999999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69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ht="20.25" customHeight="1" x14ac:dyDescent="0.25">
      <c r="A6" s="158" t="s">
        <v>160</v>
      </c>
      <c r="B6" s="158">
        <v>16</v>
      </c>
      <c r="C6" s="158">
        <v>0</v>
      </c>
      <c r="D6" s="158">
        <v>0</v>
      </c>
      <c r="E6" s="158" t="s">
        <v>161</v>
      </c>
      <c r="F6" s="158" t="s">
        <v>162</v>
      </c>
      <c r="G6" s="158">
        <v>1</v>
      </c>
      <c r="H6" s="158">
        <v>0</v>
      </c>
      <c r="I6" s="158" t="s">
        <v>163</v>
      </c>
      <c r="J6" s="38"/>
    </row>
    <row r="7" spans="1:10" ht="20.25" customHeight="1" x14ac:dyDescent="0.25">
      <c r="A7" s="158" t="s">
        <v>164</v>
      </c>
      <c r="B7" s="158">
        <v>11</v>
      </c>
      <c r="C7" s="158">
        <v>0</v>
      </c>
      <c r="D7" s="158">
        <v>0</v>
      </c>
      <c r="E7" s="158" t="s">
        <v>165</v>
      </c>
      <c r="F7" s="158" t="s">
        <v>166</v>
      </c>
      <c r="G7" s="158">
        <v>12</v>
      </c>
      <c r="H7" s="158">
        <v>0</v>
      </c>
      <c r="I7" s="158" t="s">
        <v>167</v>
      </c>
      <c r="J7" s="38"/>
    </row>
    <row r="8" spans="1:10" ht="20.25" customHeight="1" x14ac:dyDescent="0.25">
      <c r="A8" s="158" t="s">
        <v>22</v>
      </c>
      <c r="B8" s="158">
        <v>0</v>
      </c>
      <c r="C8" s="158">
        <v>2</v>
      </c>
      <c r="D8" s="158">
        <v>0</v>
      </c>
      <c r="E8" s="158" t="s">
        <v>168</v>
      </c>
      <c r="F8" s="158" t="s">
        <v>169</v>
      </c>
      <c r="G8" s="158">
        <v>2</v>
      </c>
      <c r="H8" s="158">
        <v>0</v>
      </c>
      <c r="I8" s="158" t="s">
        <v>170</v>
      </c>
      <c r="J8" s="38"/>
    </row>
    <row r="9" spans="1:10" ht="20.25" customHeight="1" x14ac:dyDescent="0.25">
      <c r="A9" s="158" t="s">
        <v>171</v>
      </c>
      <c r="B9" s="158">
        <v>0</v>
      </c>
      <c r="C9" s="158">
        <v>1</v>
      </c>
      <c r="D9" s="158">
        <v>0</v>
      </c>
      <c r="E9" s="158" t="s">
        <v>172</v>
      </c>
      <c r="F9" s="158" t="s">
        <v>173</v>
      </c>
      <c r="G9" s="158">
        <v>1</v>
      </c>
      <c r="H9" s="158">
        <v>0</v>
      </c>
      <c r="I9" s="158" t="s">
        <v>167</v>
      </c>
      <c r="J9" s="38"/>
    </row>
    <row r="10" spans="1:10" ht="20.25" customHeight="1" x14ac:dyDescent="0.25">
      <c r="A10" s="158" t="s">
        <v>174</v>
      </c>
      <c r="B10" s="158">
        <v>0</v>
      </c>
      <c r="C10" s="158">
        <v>6</v>
      </c>
      <c r="D10" s="158">
        <v>0</v>
      </c>
      <c r="E10" s="158" t="s">
        <v>175</v>
      </c>
      <c r="F10" s="158" t="s">
        <v>164</v>
      </c>
      <c r="G10" s="158">
        <v>11</v>
      </c>
      <c r="H10" s="158">
        <v>0</v>
      </c>
      <c r="I10" s="158" t="s">
        <v>165</v>
      </c>
      <c r="J10" s="21"/>
    </row>
    <row r="11" spans="1:10" ht="20.25" customHeight="1" x14ac:dyDescent="0.25">
      <c r="A11" s="158" t="s">
        <v>116</v>
      </c>
      <c r="B11" s="158">
        <v>0</v>
      </c>
      <c r="C11" s="158">
        <v>1</v>
      </c>
      <c r="D11" s="158">
        <v>0</v>
      </c>
      <c r="E11" s="158" t="s">
        <v>176</v>
      </c>
      <c r="F11" s="158" t="s">
        <v>177</v>
      </c>
      <c r="G11" s="158">
        <v>17</v>
      </c>
      <c r="H11" s="158">
        <v>0</v>
      </c>
      <c r="I11" s="158" t="s">
        <v>178</v>
      </c>
      <c r="J11" s="21"/>
    </row>
    <row r="12" spans="1:10" ht="20.25" customHeight="1" x14ac:dyDescent="0.25">
      <c r="A12" s="158" t="s">
        <v>179</v>
      </c>
      <c r="B12" s="158">
        <v>6</v>
      </c>
      <c r="C12" s="158">
        <v>0</v>
      </c>
      <c r="D12" s="158">
        <v>0</v>
      </c>
      <c r="E12" s="158" t="s">
        <v>180</v>
      </c>
      <c r="F12" s="158" t="s">
        <v>181</v>
      </c>
      <c r="G12" s="158">
        <v>1</v>
      </c>
      <c r="H12" s="158">
        <v>0</v>
      </c>
      <c r="I12" s="158" t="s">
        <v>182</v>
      </c>
      <c r="J12" s="21"/>
    </row>
    <row r="13" spans="1:10" ht="20.25" customHeight="1" x14ac:dyDescent="0.25">
      <c r="A13" s="158" t="s">
        <v>183</v>
      </c>
      <c r="B13" s="158">
        <v>9</v>
      </c>
      <c r="C13" s="158">
        <v>0</v>
      </c>
      <c r="D13" s="158">
        <v>0</v>
      </c>
      <c r="E13" s="158" t="s">
        <v>184</v>
      </c>
      <c r="F13" s="158" t="s">
        <v>185</v>
      </c>
      <c r="G13" s="158">
        <v>1</v>
      </c>
      <c r="H13" s="158">
        <v>0</v>
      </c>
      <c r="I13" s="158" t="s">
        <v>186</v>
      </c>
      <c r="J13" s="21"/>
    </row>
    <row r="14" spans="1:10" ht="20.25" customHeight="1" x14ac:dyDescent="0.25">
      <c r="A14" s="158" t="s">
        <v>187</v>
      </c>
      <c r="B14" s="158">
        <v>2</v>
      </c>
      <c r="C14" s="158">
        <v>0</v>
      </c>
      <c r="D14" s="158">
        <v>0</v>
      </c>
      <c r="E14" s="163" t="s">
        <v>188</v>
      </c>
      <c r="F14" s="158" t="s">
        <v>174</v>
      </c>
      <c r="G14" s="158">
        <v>6</v>
      </c>
      <c r="H14" s="158">
        <v>0</v>
      </c>
      <c r="I14" s="158" t="s">
        <v>175</v>
      </c>
      <c r="J14" s="21"/>
    </row>
    <row r="15" spans="1:10" ht="31.5" customHeight="1" x14ac:dyDescent="0.25">
      <c r="A15" s="158"/>
      <c r="B15" s="158"/>
      <c r="C15" s="158"/>
      <c r="D15" s="158"/>
      <c r="E15" s="163"/>
      <c r="F15" s="158" t="s">
        <v>183</v>
      </c>
      <c r="G15" s="158">
        <v>9</v>
      </c>
      <c r="H15" s="158">
        <v>0</v>
      </c>
      <c r="I15" s="158" t="s">
        <v>184</v>
      </c>
      <c r="J15" s="21"/>
    </row>
    <row r="16" spans="1:10" ht="20.25" customHeight="1" x14ac:dyDescent="0.25">
      <c r="A16" s="158"/>
      <c r="B16" s="158"/>
      <c r="C16" s="158"/>
      <c r="D16" s="158"/>
      <c r="E16" s="158"/>
      <c r="F16" s="158" t="s">
        <v>187</v>
      </c>
      <c r="G16" s="158">
        <v>2</v>
      </c>
      <c r="H16" s="158">
        <v>0</v>
      </c>
      <c r="I16" s="163" t="s">
        <v>188</v>
      </c>
    </row>
    <row r="17" spans="1:10" ht="20.25" customHeight="1" x14ac:dyDescent="0.25">
      <c r="A17" s="158"/>
      <c r="B17" s="158"/>
      <c r="C17" s="158"/>
      <c r="D17" s="158"/>
      <c r="E17" s="158"/>
      <c r="F17" s="158"/>
      <c r="G17" s="158"/>
      <c r="H17" s="158"/>
      <c r="I17" s="158"/>
    </row>
    <row r="18" spans="1:10" ht="20.25" customHeight="1" x14ac:dyDescent="0.25">
      <c r="A18" s="158"/>
      <c r="B18" s="158"/>
      <c r="C18" s="158"/>
      <c r="D18" s="158"/>
      <c r="E18" s="158"/>
      <c r="F18" s="158"/>
      <c r="G18" s="158"/>
      <c r="H18" s="158"/>
      <c r="I18" s="158"/>
    </row>
    <row r="19" spans="1:10" ht="20.25" customHeight="1" x14ac:dyDescent="0.25">
      <c r="A19" s="158"/>
      <c r="B19" s="158"/>
      <c r="C19" s="158"/>
      <c r="D19" s="158"/>
      <c r="E19" s="158"/>
      <c r="F19" s="158"/>
      <c r="G19" s="158"/>
      <c r="H19" s="158"/>
      <c r="I19" s="158"/>
    </row>
    <row r="20" spans="1:10" ht="20.25" customHeight="1" x14ac:dyDescent="0.25">
      <c r="A20" s="158"/>
      <c r="B20" s="158"/>
      <c r="C20" s="158"/>
      <c r="D20" s="158"/>
      <c r="E20" s="158"/>
      <c r="F20" s="158"/>
      <c r="G20" s="158"/>
      <c r="H20" s="158"/>
      <c r="I20" s="158"/>
    </row>
    <row r="21" spans="1:10" ht="20.25" customHeight="1" x14ac:dyDescent="0.25">
      <c r="A21" s="158"/>
      <c r="B21" s="158"/>
      <c r="C21" s="158"/>
      <c r="D21" s="158"/>
      <c r="E21" s="158"/>
      <c r="F21" s="158"/>
      <c r="G21" s="158"/>
      <c r="H21" s="158"/>
      <c r="I21" s="158"/>
    </row>
    <row r="22" spans="1:10" ht="20.25" customHeight="1" x14ac:dyDescent="0.25">
      <c r="A22" s="158"/>
      <c r="B22" s="158"/>
      <c r="C22" s="158"/>
      <c r="D22" s="158"/>
      <c r="E22" s="158"/>
      <c r="F22" s="158"/>
      <c r="G22" s="158"/>
      <c r="H22" s="158"/>
      <c r="I22" s="158"/>
    </row>
    <row r="23" spans="1:10" x14ac:dyDescent="0.25">
      <c r="A23" s="130"/>
      <c r="B23" s="131"/>
      <c r="C23" s="131"/>
      <c r="D23" s="131"/>
      <c r="E23" s="132"/>
      <c r="F23" s="127"/>
      <c r="G23" s="127"/>
      <c r="H23" s="127"/>
      <c r="I23" s="127"/>
    </row>
    <row r="24" spans="1:10" x14ac:dyDescent="0.25">
      <c r="A24" s="130"/>
      <c r="B24" s="131"/>
      <c r="C24" s="131"/>
      <c r="D24" s="131"/>
      <c r="E24" s="132"/>
      <c r="F24" s="127"/>
      <c r="G24" s="127"/>
      <c r="H24" s="127"/>
      <c r="I24" s="127"/>
    </row>
    <row r="25" spans="1:10" x14ac:dyDescent="0.25">
      <c r="A25" s="130"/>
      <c r="B25" s="131"/>
      <c r="C25" s="131"/>
      <c r="D25" s="131"/>
      <c r="E25" s="132"/>
      <c r="F25" s="133"/>
      <c r="G25" s="134"/>
      <c r="H25" s="134"/>
      <c r="I25" s="102"/>
    </row>
    <row r="26" spans="1:10" x14ac:dyDescent="0.25">
      <c r="A26" s="140"/>
      <c r="B26" s="141"/>
      <c r="C26" s="141"/>
      <c r="D26" s="141"/>
      <c r="E26" s="142"/>
      <c r="F26" s="143"/>
      <c r="G26" s="156"/>
      <c r="H26" s="157"/>
      <c r="I26" s="128"/>
    </row>
    <row r="27" spans="1:10" x14ac:dyDescent="0.25">
      <c r="A27" s="105"/>
      <c r="B27" s="135"/>
      <c r="C27" s="135"/>
      <c r="D27" s="135"/>
      <c r="E27" s="134"/>
      <c r="F27" s="134"/>
      <c r="G27" s="135"/>
      <c r="H27" s="136"/>
      <c r="I27" s="102"/>
    </row>
    <row r="28" spans="1:10" ht="19.2" x14ac:dyDescent="0.25">
      <c r="A28" s="28">
        <f>COUNTA(A6:A27)</f>
        <v>9</v>
      </c>
      <c r="B28" s="28">
        <f>SUM(B6:B27)</f>
        <v>44</v>
      </c>
      <c r="C28" s="28">
        <f>SUM(C6:C27)</f>
        <v>10</v>
      </c>
      <c r="D28" s="28">
        <f>SUM(D6:D27)</f>
        <v>0</v>
      </c>
      <c r="E28" s="28"/>
      <c r="F28" s="28">
        <f>COUNTA(F6:F27)</f>
        <v>11</v>
      </c>
      <c r="G28" s="28">
        <f>SUM(G6:G27)</f>
        <v>63</v>
      </c>
      <c r="H28" s="28">
        <f>SUM(H6:H27)</f>
        <v>0</v>
      </c>
      <c r="I28" s="28"/>
      <c r="J28" s="11"/>
    </row>
    <row r="29" spans="1:10" x14ac:dyDescent="0.25">
      <c r="F29" s="8"/>
    </row>
    <row r="30" spans="1:10" x14ac:dyDescent="0.25">
      <c r="F30" s="8"/>
    </row>
    <row r="31" spans="1:10" ht="17.399999999999999" x14ac:dyDescent="0.25">
      <c r="A31" s="191" t="s">
        <v>43</v>
      </c>
      <c r="B31" s="192"/>
      <c r="C31" s="192"/>
      <c r="D31" s="192"/>
      <c r="E31" s="192"/>
      <c r="F31" s="192"/>
      <c r="I31" s="6"/>
    </row>
    <row r="32" spans="1:10" ht="66" x14ac:dyDescent="0.25">
      <c r="A32" s="17" t="s">
        <v>6</v>
      </c>
      <c r="B32" s="17" t="s">
        <v>1</v>
      </c>
      <c r="C32" s="18" t="s">
        <v>11</v>
      </c>
      <c r="D32" s="18" t="s">
        <v>9</v>
      </c>
      <c r="E32" s="193" t="s">
        <v>10</v>
      </c>
      <c r="F32" s="194"/>
    </row>
    <row r="33" spans="1:10" x14ac:dyDescent="0.25">
      <c r="A33" s="148" t="s">
        <v>44</v>
      </c>
      <c r="B33" s="153">
        <v>46223</v>
      </c>
      <c r="C33" s="148">
        <v>2</v>
      </c>
      <c r="D33" s="148">
        <v>0</v>
      </c>
      <c r="E33" s="148" t="s">
        <v>45</v>
      </c>
      <c r="F33" s="148"/>
      <c r="G33" s="21"/>
      <c r="H33" s="21"/>
      <c r="I33" s="21"/>
      <c r="J33" s="21"/>
    </row>
    <row r="34" spans="1:10" x14ac:dyDescent="0.25">
      <c r="A34" s="148" t="s">
        <v>46</v>
      </c>
      <c r="B34" s="153">
        <v>46237</v>
      </c>
      <c r="C34" s="148">
        <v>1</v>
      </c>
      <c r="D34" s="148">
        <v>1</v>
      </c>
      <c r="E34" s="148" t="s">
        <v>47</v>
      </c>
      <c r="F34" s="148"/>
      <c r="G34" s="21"/>
      <c r="H34" s="21"/>
      <c r="I34" s="21"/>
      <c r="J34" s="21"/>
    </row>
    <row r="35" spans="1:10" x14ac:dyDescent="0.25">
      <c r="A35" s="148" t="s">
        <v>48</v>
      </c>
      <c r="B35" s="153">
        <v>46282</v>
      </c>
      <c r="C35" s="148">
        <v>1</v>
      </c>
      <c r="D35" s="148">
        <v>1</v>
      </c>
      <c r="E35" s="148" t="s">
        <v>47</v>
      </c>
      <c r="F35" s="148"/>
      <c r="G35" s="21"/>
      <c r="H35" s="21"/>
      <c r="I35" s="21"/>
      <c r="J35" s="21"/>
    </row>
    <row r="36" spans="1:10" x14ac:dyDescent="0.25">
      <c r="A36" s="148" t="s">
        <v>49</v>
      </c>
      <c r="B36" s="153">
        <v>46297</v>
      </c>
      <c r="C36" s="148">
        <v>6</v>
      </c>
      <c r="D36" s="148">
        <v>6</v>
      </c>
      <c r="E36" s="148" t="s">
        <v>50</v>
      </c>
      <c r="F36" s="148"/>
      <c r="G36" s="21"/>
      <c r="H36" s="21"/>
      <c r="I36" s="21"/>
      <c r="J36" s="21"/>
    </row>
    <row r="37" spans="1:10" x14ac:dyDescent="0.25">
      <c r="A37" s="148" t="s">
        <v>51</v>
      </c>
      <c r="B37" s="153">
        <v>46293</v>
      </c>
      <c r="C37" s="148">
        <v>48</v>
      </c>
      <c r="D37" s="148">
        <v>48</v>
      </c>
      <c r="E37" s="148" t="s">
        <v>50</v>
      </c>
      <c r="F37" s="148"/>
      <c r="G37" s="21"/>
      <c r="H37" s="21"/>
      <c r="I37" s="21"/>
      <c r="J37" s="21"/>
    </row>
    <row r="38" spans="1:10" x14ac:dyDescent="0.25">
      <c r="A38" s="148" t="s">
        <v>52</v>
      </c>
      <c r="B38" s="153">
        <v>46293</v>
      </c>
      <c r="C38" s="148">
        <v>3</v>
      </c>
      <c r="D38" s="148">
        <v>3</v>
      </c>
      <c r="E38" s="148" t="s">
        <v>53</v>
      </c>
      <c r="F38" s="148"/>
      <c r="G38" s="21"/>
      <c r="H38" s="21"/>
      <c r="I38" s="21"/>
      <c r="J38" s="21"/>
    </row>
    <row r="39" spans="1:10" x14ac:dyDescent="0.25">
      <c r="A39" s="148"/>
      <c r="B39" s="148"/>
      <c r="C39" s="148"/>
      <c r="D39" s="148"/>
      <c r="E39" s="148"/>
      <c r="F39" s="148"/>
      <c r="G39" s="21"/>
      <c r="H39" s="21"/>
      <c r="I39" s="21"/>
      <c r="J39" s="21"/>
    </row>
    <row r="40" spans="1:10" ht="15" x14ac:dyDescent="0.25">
      <c r="A40" s="10"/>
      <c r="B40" s="20"/>
      <c r="C40" s="22"/>
      <c r="D40" s="22">
        <f>SUM(D33:D39)</f>
        <v>59</v>
      </c>
      <c r="E40" s="182"/>
      <c r="F40" s="183"/>
      <c r="G40" s="21"/>
      <c r="H40" s="21"/>
      <c r="I40" s="21"/>
      <c r="J40" s="21"/>
    </row>
    <row r="41" spans="1:10" x14ac:dyDescent="0.25">
      <c r="H41" s="21"/>
      <c r="I41" s="21"/>
      <c r="J41" s="21"/>
    </row>
    <row r="46" spans="1:10" x14ac:dyDescent="0.25">
      <c r="F46" s="8"/>
    </row>
    <row r="47" spans="1:10" x14ac:dyDescent="0.25">
      <c r="F47" s="8"/>
    </row>
    <row r="48" spans="1:10" x14ac:dyDescent="0.25">
      <c r="F48" s="8"/>
    </row>
    <row r="49" spans="6:6" x14ac:dyDescent="0.25">
      <c r="F49" s="8"/>
    </row>
    <row r="50" spans="6:6" x14ac:dyDescent="0.25">
      <c r="F50" s="8"/>
    </row>
    <row r="51" spans="6:6" x14ac:dyDescent="0.25">
      <c r="F51" s="8"/>
    </row>
    <row r="52" spans="6:6" x14ac:dyDescent="0.25">
      <c r="F52" s="8"/>
    </row>
    <row r="53" spans="6:6" x14ac:dyDescent="0.25">
      <c r="F53" s="8"/>
    </row>
    <row r="54" spans="6:6" x14ac:dyDescent="0.25">
      <c r="F54" s="8"/>
    </row>
    <row r="55" spans="6:6" x14ac:dyDescent="0.25">
      <c r="F55" s="8"/>
    </row>
    <row r="56" spans="6:6" x14ac:dyDescent="0.25">
      <c r="F56" s="8"/>
    </row>
    <row r="57" spans="6:6" x14ac:dyDescent="0.25">
      <c r="F57" s="8"/>
    </row>
    <row r="58" spans="6:6" x14ac:dyDescent="0.25">
      <c r="F58" s="8"/>
    </row>
    <row r="59" spans="6:6" x14ac:dyDescent="0.25">
      <c r="F59" s="8"/>
    </row>
    <row r="60" spans="6:6" x14ac:dyDescent="0.25">
      <c r="F60" s="8"/>
    </row>
    <row r="61" spans="6:6" x14ac:dyDescent="0.25">
      <c r="F61" s="8"/>
    </row>
    <row r="62" spans="6:6" x14ac:dyDescent="0.25">
      <c r="F62" s="8"/>
    </row>
    <row r="63" spans="6:6" x14ac:dyDescent="0.25">
      <c r="F63" s="8"/>
    </row>
    <row r="64" spans="6:6" x14ac:dyDescent="0.25">
      <c r="F64" s="8"/>
    </row>
    <row r="65" spans="1:6" ht="17.399999999999999" x14ac:dyDescent="0.3">
      <c r="E65" s="4"/>
      <c r="F65" s="8"/>
    </row>
    <row r="66" spans="1:6" x14ac:dyDescent="0.25">
      <c r="F66" s="8"/>
    </row>
    <row r="67" spans="1:6" x14ac:dyDescent="0.25">
      <c r="A67" s="39" t="s">
        <v>60</v>
      </c>
      <c r="B67" s="35">
        <v>1</v>
      </c>
      <c r="C67" s="34">
        <v>0</v>
      </c>
      <c r="D67" s="34" t="s">
        <v>61</v>
      </c>
      <c r="F67" s="8"/>
    </row>
    <row r="68" spans="1:6" ht="17.399999999999999" x14ac:dyDescent="0.3">
      <c r="A68" s="2" t="s">
        <v>62</v>
      </c>
      <c r="B68" s="35">
        <v>1</v>
      </c>
      <c r="C68" s="34">
        <v>0</v>
      </c>
      <c r="D68" s="2" t="s">
        <v>63</v>
      </c>
      <c r="E68" s="4"/>
      <c r="F68" s="8"/>
    </row>
    <row r="69" spans="1:6" ht="17.399999999999999" x14ac:dyDescent="0.3">
      <c r="E69" s="4"/>
      <c r="F69" s="8"/>
    </row>
    <row r="70" spans="1:6" ht="19.2" x14ac:dyDescent="0.45">
      <c r="A70" s="7" t="s">
        <v>64</v>
      </c>
      <c r="B70" s="7">
        <v>1</v>
      </c>
      <c r="C70" s="7">
        <v>0</v>
      </c>
      <c r="D70" s="7" t="s">
        <v>65</v>
      </c>
      <c r="E70" s="4"/>
    </row>
    <row r="71" spans="1:6" ht="17.399999999999999" x14ac:dyDescent="0.3">
      <c r="A71" s="52"/>
      <c r="E71" s="4"/>
    </row>
    <row r="72" spans="1:6" x14ac:dyDescent="0.25">
      <c r="A72" s="3"/>
      <c r="B72" s="52"/>
      <c r="C72" s="52"/>
      <c r="D72" s="52"/>
    </row>
    <row r="73" spans="1:6" ht="17.399999999999999" x14ac:dyDescent="0.3">
      <c r="A73" s="4"/>
    </row>
    <row r="74" spans="1:6" ht="231" x14ac:dyDescent="0.3">
      <c r="A74" s="85" t="s">
        <v>66</v>
      </c>
      <c r="B74" s="86" t="s">
        <v>67</v>
      </c>
      <c r="E74" s="4"/>
    </row>
  </sheetData>
  <mergeCells count="6">
    <mergeCell ref="E40:F40"/>
    <mergeCell ref="A1:I1"/>
    <mergeCell ref="A4:E4"/>
    <mergeCell ref="F4:I4"/>
    <mergeCell ref="A31:F31"/>
    <mergeCell ref="E32:F32"/>
  </mergeCells>
  <hyperlinks>
    <hyperlink ref="B74" r:id="rId1" xr:uid="{038C1DBC-7DAB-42AB-B287-432DE1278E1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8121-B35F-4E17-82B8-E4FB1B365E01}">
  <dimension ref="A1:J73"/>
  <sheetViews>
    <sheetView workbookViewId="0">
      <selection activeCell="E13" sqref="E13"/>
    </sheetView>
  </sheetViews>
  <sheetFormatPr defaultRowHeight="14.4" x14ac:dyDescent="0.25"/>
  <cols>
    <col min="1" max="1" width="32.77734375" customWidth="1"/>
    <col min="2" max="2" width="11.88671875" bestFit="1" customWidth="1"/>
    <col min="5" max="5" width="27.77734375" customWidth="1"/>
    <col min="6" max="6" width="24.77734375" customWidth="1"/>
    <col min="9" max="9" width="25.88671875" customWidth="1"/>
  </cols>
  <sheetData>
    <row r="1" spans="1:10" ht="17.399999999999999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17.399999999999999" x14ac:dyDescent="0.25">
      <c r="A2" s="13" t="s">
        <v>1</v>
      </c>
      <c r="B2" s="14">
        <v>46303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7.399999999999999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69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ht="15" x14ac:dyDescent="0.25">
      <c r="A6" s="162" t="s">
        <v>189</v>
      </c>
      <c r="B6" s="102">
        <v>16</v>
      </c>
      <c r="C6" s="102">
        <v>0</v>
      </c>
      <c r="D6" s="102">
        <v>0</v>
      </c>
      <c r="E6" s="102" t="s">
        <v>190</v>
      </c>
      <c r="F6" s="102" t="s">
        <v>191</v>
      </c>
      <c r="G6" s="102">
        <v>4</v>
      </c>
      <c r="H6" s="102">
        <v>0</v>
      </c>
      <c r="I6" s="102" t="s">
        <v>192</v>
      </c>
      <c r="J6" s="38"/>
    </row>
    <row r="7" spans="1:10" ht="15" x14ac:dyDescent="0.25">
      <c r="A7" s="102" t="s">
        <v>193</v>
      </c>
      <c r="B7" s="102">
        <v>11</v>
      </c>
      <c r="C7" s="102">
        <v>0</v>
      </c>
      <c r="D7" s="102">
        <v>0</v>
      </c>
      <c r="E7" s="102" t="s">
        <v>194</v>
      </c>
      <c r="F7" s="102" t="s">
        <v>195</v>
      </c>
      <c r="G7" s="102">
        <v>1</v>
      </c>
      <c r="H7" s="102">
        <v>0</v>
      </c>
      <c r="I7" s="102" t="s">
        <v>196</v>
      </c>
      <c r="J7" s="38"/>
    </row>
    <row r="8" spans="1:10" ht="15" x14ac:dyDescent="0.25">
      <c r="A8" s="102" t="s">
        <v>197</v>
      </c>
      <c r="B8" s="102">
        <v>61</v>
      </c>
      <c r="C8" s="102">
        <v>0</v>
      </c>
      <c r="D8" s="102">
        <v>0</v>
      </c>
      <c r="E8" s="102" t="s">
        <v>198</v>
      </c>
      <c r="F8" s="102" t="s">
        <v>193</v>
      </c>
      <c r="G8" s="102">
        <v>11</v>
      </c>
      <c r="H8" s="102">
        <v>0</v>
      </c>
      <c r="I8" s="102" t="s">
        <v>194</v>
      </c>
      <c r="J8" s="38"/>
    </row>
    <row r="9" spans="1:10" x14ac:dyDescent="0.25">
      <c r="A9" s="115" t="s">
        <v>199</v>
      </c>
      <c r="B9" s="102">
        <v>0</v>
      </c>
      <c r="C9" s="102">
        <v>1</v>
      </c>
      <c r="D9" s="102">
        <v>0</v>
      </c>
      <c r="E9" s="102" t="s">
        <v>200</v>
      </c>
      <c r="F9" s="160" t="s">
        <v>201</v>
      </c>
      <c r="G9" s="102">
        <v>10</v>
      </c>
      <c r="H9" s="102">
        <v>0</v>
      </c>
      <c r="I9" s="102" t="s">
        <v>202</v>
      </c>
      <c r="J9" s="21"/>
    </row>
    <row r="10" spans="1:10" x14ac:dyDescent="0.25">
      <c r="A10" s="102" t="s">
        <v>18</v>
      </c>
      <c r="B10" s="102">
        <v>4</v>
      </c>
      <c r="C10" s="102">
        <v>0</v>
      </c>
      <c r="D10" s="102">
        <v>0</v>
      </c>
      <c r="E10" s="102" t="s">
        <v>203</v>
      </c>
      <c r="F10" s="160" t="s">
        <v>204</v>
      </c>
      <c r="G10" s="102">
        <v>7</v>
      </c>
      <c r="H10" s="102">
        <v>0</v>
      </c>
      <c r="I10" s="102" t="s">
        <v>205</v>
      </c>
      <c r="J10" s="21"/>
    </row>
    <row r="11" spans="1:10" x14ac:dyDescent="0.25">
      <c r="A11" s="161" t="s">
        <v>206</v>
      </c>
      <c r="B11" s="102">
        <v>16</v>
      </c>
      <c r="C11" s="102">
        <v>0</v>
      </c>
      <c r="D11" s="102">
        <v>0</v>
      </c>
      <c r="E11" s="102" t="s">
        <v>207</v>
      </c>
      <c r="F11" s="161" t="s">
        <v>206</v>
      </c>
      <c r="G11" s="102">
        <v>16</v>
      </c>
      <c r="H11" s="102">
        <v>0</v>
      </c>
      <c r="I11" s="102" t="s">
        <v>207</v>
      </c>
      <c r="J11" s="21"/>
    </row>
    <row r="12" spans="1:10" x14ac:dyDescent="0.25">
      <c r="A12" s="115" t="s">
        <v>208</v>
      </c>
      <c r="B12" s="102">
        <v>7</v>
      </c>
      <c r="C12" s="102">
        <v>0</v>
      </c>
      <c r="D12" s="102">
        <v>0</v>
      </c>
      <c r="E12" s="102" t="s">
        <v>209</v>
      </c>
      <c r="F12" s="102" t="s">
        <v>210</v>
      </c>
      <c r="G12" s="102">
        <v>2</v>
      </c>
      <c r="H12" s="102">
        <v>0</v>
      </c>
      <c r="I12" s="102" t="s">
        <v>211</v>
      </c>
      <c r="J12" s="21"/>
    </row>
    <row r="13" spans="1:10" x14ac:dyDescent="0.25">
      <c r="A13" s="115" t="s">
        <v>212</v>
      </c>
      <c r="B13" s="102">
        <v>139</v>
      </c>
      <c r="C13" s="102">
        <v>0</v>
      </c>
      <c r="D13" s="102">
        <v>0</v>
      </c>
      <c r="E13" s="102" t="s">
        <v>209</v>
      </c>
      <c r="F13" s="102" t="s">
        <v>213</v>
      </c>
      <c r="G13" s="102">
        <v>3</v>
      </c>
      <c r="H13" s="102">
        <v>0</v>
      </c>
      <c r="I13" s="102" t="s">
        <v>214</v>
      </c>
      <c r="J13" s="21"/>
    </row>
    <row r="14" spans="1:10" x14ac:dyDescent="0.25">
      <c r="A14" s="161" t="s">
        <v>215</v>
      </c>
      <c r="B14" s="102">
        <v>7</v>
      </c>
      <c r="C14" s="102">
        <v>0</v>
      </c>
      <c r="D14" s="102">
        <v>0</v>
      </c>
      <c r="E14" s="102" t="s">
        <v>216</v>
      </c>
      <c r="F14" s="102" t="s">
        <v>217</v>
      </c>
      <c r="G14" s="102">
        <v>1</v>
      </c>
      <c r="H14" s="102">
        <v>0</v>
      </c>
      <c r="I14" s="102" t="s">
        <v>218</v>
      </c>
      <c r="J14" s="21"/>
    </row>
    <row r="15" spans="1:10" x14ac:dyDescent="0.25">
      <c r="A15" s="102"/>
      <c r="B15" s="102"/>
      <c r="C15" s="102"/>
      <c r="D15" s="102"/>
      <c r="E15" s="102"/>
      <c r="F15" s="102"/>
      <c r="G15" s="102"/>
      <c r="H15" s="102"/>
      <c r="I15" s="102"/>
    </row>
    <row r="16" spans="1:10" x14ac:dyDescent="0.25">
      <c r="A16" s="102"/>
      <c r="B16" s="102"/>
      <c r="C16" s="102"/>
      <c r="D16" s="102"/>
      <c r="E16" s="102"/>
      <c r="F16" s="102"/>
      <c r="G16" s="102"/>
      <c r="H16" s="102"/>
      <c r="I16" s="102"/>
    </row>
    <row r="17" spans="1:10" x14ac:dyDescent="0.25">
      <c r="A17" s="102"/>
      <c r="B17" s="102"/>
      <c r="C17" s="102"/>
      <c r="D17" s="102"/>
      <c r="E17" s="102"/>
      <c r="F17" s="102"/>
      <c r="G17" s="102"/>
      <c r="H17" s="102"/>
      <c r="I17" s="102"/>
    </row>
    <row r="18" spans="1:10" x14ac:dyDescent="0.25">
      <c r="A18" s="102"/>
      <c r="B18" s="102"/>
      <c r="C18" s="102"/>
      <c r="D18" s="102"/>
      <c r="E18" s="102"/>
      <c r="F18" s="102"/>
      <c r="G18" s="102"/>
      <c r="H18" s="102"/>
      <c r="I18" s="102"/>
    </row>
    <row r="19" spans="1:10" x14ac:dyDescent="0.25">
      <c r="A19" s="102"/>
      <c r="B19" s="102"/>
      <c r="C19" s="102"/>
      <c r="D19" s="102"/>
      <c r="E19" s="102"/>
      <c r="F19" s="102"/>
      <c r="G19" s="102"/>
      <c r="H19" s="102"/>
      <c r="I19" s="102"/>
    </row>
    <row r="20" spans="1:10" x14ac:dyDescent="0.25">
      <c r="A20" s="159"/>
      <c r="B20" s="159"/>
      <c r="C20" s="159"/>
      <c r="D20" s="159"/>
      <c r="E20" s="159"/>
      <c r="F20" s="159"/>
      <c r="G20" s="159"/>
      <c r="H20" s="159"/>
      <c r="I20" s="159"/>
    </row>
    <row r="21" spans="1:10" x14ac:dyDescent="0.25">
      <c r="A21" s="115"/>
      <c r="B21" s="115"/>
      <c r="C21" s="115"/>
      <c r="D21" s="115"/>
      <c r="E21" s="115"/>
      <c r="F21" s="115"/>
      <c r="G21" s="126"/>
      <c r="H21" s="127"/>
      <c r="I21" s="102"/>
    </row>
    <row r="22" spans="1:10" x14ac:dyDescent="0.25">
      <c r="A22" s="130"/>
      <c r="B22" s="131"/>
      <c r="C22" s="131"/>
      <c r="D22" s="131"/>
      <c r="E22" s="132"/>
      <c r="F22" s="127"/>
      <c r="G22" s="127"/>
      <c r="H22" s="127"/>
      <c r="I22" s="127"/>
    </row>
    <row r="23" spans="1:10" x14ac:dyDescent="0.25">
      <c r="A23" s="130"/>
      <c r="B23" s="131"/>
      <c r="C23" s="131"/>
      <c r="D23" s="131"/>
      <c r="E23" s="132"/>
      <c r="F23" s="127"/>
      <c r="G23" s="127"/>
      <c r="H23" s="127"/>
      <c r="I23" s="127"/>
    </row>
    <row r="24" spans="1:10" x14ac:dyDescent="0.25">
      <c r="A24" s="130"/>
      <c r="B24" s="131"/>
      <c r="C24" s="131"/>
      <c r="D24" s="131"/>
      <c r="E24" s="132"/>
      <c r="F24" s="133"/>
      <c r="G24" s="134"/>
      <c r="H24" s="134"/>
      <c r="I24" s="102"/>
    </row>
    <row r="25" spans="1:10" x14ac:dyDescent="0.25">
      <c r="A25" s="140"/>
      <c r="B25" s="141"/>
      <c r="C25" s="141"/>
      <c r="D25" s="141"/>
      <c r="E25" s="142"/>
      <c r="F25" s="143"/>
      <c r="G25" s="156"/>
      <c r="H25" s="157"/>
      <c r="I25" s="128"/>
    </row>
    <row r="26" spans="1:10" x14ac:dyDescent="0.25">
      <c r="A26" s="105"/>
      <c r="B26" s="135"/>
      <c r="C26" s="135"/>
      <c r="D26" s="135"/>
      <c r="E26" s="134"/>
      <c r="F26" s="134"/>
      <c r="G26" s="135"/>
      <c r="H26" s="136"/>
      <c r="I26" s="102"/>
    </row>
    <row r="27" spans="1:10" ht="19.2" x14ac:dyDescent="0.25">
      <c r="A27" s="28">
        <f>COUNTA(A6:A26)</f>
        <v>9</v>
      </c>
      <c r="B27" s="28">
        <f>SUM(B6:B26)</f>
        <v>261</v>
      </c>
      <c r="C27" s="28">
        <f>SUM(C6:C26)</f>
        <v>1</v>
      </c>
      <c r="D27" s="28">
        <f>SUM(D6:D26)</f>
        <v>0</v>
      </c>
      <c r="E27" s="28"/>
      <c r="F27" s="28">
        <f>COUNTA(F6:F26)</f>
        <v>9</v>
      </c>
      <c r="G27" s="28">
        <f>SUM(G6:G26)</f>
        <v>55</v>
      </c>
      <c r="H27" s="28">
        <f>SUM(H6:H26)</f>
        <v>0</v>
      </c>
      <c r="I27" s="28"/>
      <c r="J27" s="11"/>
    </row>
    <row r="28" spans="1:10" x14ac:dyDescent="0.25">
      <c r="F28" s="8"/>
    </row>
    <row r="29" spans="1:10" x14ac:dyDescent="0.25">
      <c r="F29" s="8"/>
    </row>
    <row r="30" spans="1:10" ht="17.399999999999999" x14ac:dyDescent="0.25">
      <c r="A30" s="191" t="s">
        <v>43</v>
      </c>
      <c r="B30" s="192"/>
      <c r="C30" s="192"/>
      <c r="D30" s="192"/>
      <c r="E30" s="192"/>
      <c r="F30" s="192"/>
      <c r="I30" s="6"/>
    </row>
    <row r="31" spans="1:10" ht="66" x14ac:dyDescent="0.25">
      <c r="A31" s="17" t="s">
        <v>6</v>
      </c>
      <c r="B31" s="17" t="s">
        <v>1</v>
      </c>
      <c r="C31" s="18" t="s">
        <v>11</v>
      </c>
      <c r="D31" s="18" t="s">
        <v>9</v>
      </c>
      <c r="E31" s="193" t="s">
        <v>10</v>
      </c>
      <c r="F31" s="194"/>
    </row>
    <row r="32" spans="1:10" x14ac:dyDescent="0.25">
      <c r="A32" s="148" t="s">
        <v>44</v>
      </c>
      <c r="B32" s="153">
        <v>46223</v>
      </c>
      <c r="C32" s="148">
        <v>2</v>
      </c>
      <c r="D32" s="148">
        <v>2</v>
      </c>
      <c r="E32" s="148" t="s">
        <v>45</v>
      </c>
      <c r="F32" s="148"/>
      <c r="G32" s="21"/>
      <c r="H32" s="21"/>
      <c r="I32" s="21"/>
      <c r="J32" s="21"/>
    </row>
    <row r="33" spans="1:10" x14ac:dyDescent="0.25">
      <c r="A33" s="148" t="s">
        <v>46</v>
      </c>
      <c r="B33" s="153">
        <v>46237</v>
      </c>
      <c r="C33" s="148">
        <v>1</v>
      </c>
      <c r="D33" s="148">
        <v>1</v>
      </c>
      <c r="E33" s="148" t="s">
        <v>47</v>
      </c>
      <c r="F33" s="148"/>
      <c r="G33" s="21"/>
      <c r="H33" s="21"/>
      <c r="I33" s="21"/>
      <c r="J33" s="21"/>
    </row>
    <row r="34" spans="1:10" x14ac:dyDescent="0.25">
      <c r="A34" s="148" t="s">
        <v>48</v>
      </c>
      <c r="B34" s="153">
        <v>46282</v>
      </c>
      <c r="C34" s="148">
        <v>1</v>
      </c>
      <c r="D34" s="148">
        <v>1</v>
      </c>
      <c r="E34" s="148" t="s">
        <v>47</v>
      </c>
      <c r="F34" s="148"/>
      <c r="G34" s="21"/>
      <c r="H34" s="21"/>
      <c r="I34" s="21"/>
      <c r="J34" s="21"/>
    </row>
    <row r="35" spans="1:10" x14ac:dyDescent="0.25">
      <c r="A35" s="148" t="s">
        <v>49</v>
      </c>
      <c r="B35" s="153">
        <v>46297</v>
      </c>
      <c r="C35" s="148">
        <v>6</v>
      </c>
      <c r="D35" s="148">
        <v>6</v>
      </c>
      <c r="E35" s="148" t="s">
        <v>50</v>
      </c>
      <c r="F35" s="148"/>
      <c r="G35" s="21"/>
      <c r="H35" s="21"/>
      <c r="I35" s="21"/>
      <c r="J35" s="21"/>
    </row>
    <row r="36" spans="1:10" x14ac:dyDescent="0.25">
      <c r="A36" s="148" t="s">
        <v>51</v>
      </c>
      <c r="B36" s="153">
        <v>46293</v>
      </c>
      <c r="C36" s="148">
        <v>48</v>
      </c>
      <c r="D36" s="148">
        <v>48</v>
      </c>
      <c r="E36" s="148" t="s">
        <v>50</v>
      </c>
      <c r="F36" s="148"/>
      <c r="G36" s="21"/>
      <c r="H36" s="21"/>
      <c r="I36" s="21"/>
      <c r="J36" s="21"/>
    </row>
    <row r="37" spans="1:10" x14ac:dyDescent="0.25">
      <c r="A37" s="148" t="s">
        <v>52</v>
      </c>
      <c r="B37" s="153">
        <v>46293</v>
      </c>
      <c r="C37" s="148">
        <v>3</v>
      </c>
      <c r="D37" s="148">
        <v>3</v>
      </c>
      <c r="E37" s="148" t="s">
        <v>53</v>
      </c>
      <c r="F37" s="148"/>
      <c r="G37" s="21"/>
      <c r="H37" s="21"/>
      <c r="I37" s="21"/>
      <c r="J37" s="21"/>
    </row>
    <row r="38" spans="1:10" x14ac:dyDescent="0.25">
      <c r="A38" s="148"/>
      <c r="B38" s="148"/>
      <c r="C38" s="148"/>
      <c r="D38" s="148"/>
      <c r="E38" s="148"/>
      <c r="F38" s="148"/>
      <c r="G38" s="21"/>
      <c r="H38" s="21"/>
      <c r="I38" s="21"/>
      <c r="J38" s="21"/>
    </row>
    <row r="39" spans="1:10" ht="15" x14ac:dyDescent="0.25">
      <c r="A39" s="10"/>
      <c r="B39" s="20"/>
      <c r="C39" s="22"/>
      <c r="D39" s="22">
        <f>SUM(D32:D38)</f>
        <v>61</v>
      </c>
      <c r="E39" s="182"/>
      <c r="F39" s="183"/>
      <c r="G39" s="21"/>
      <c r="H39" s="21"/>
      <c r="I39" s="21"/>
      <c r="J39" s="21"/>
    </row>
    <row r="40" spans="1:10" x14ac:dyDescent="0.25">
      <c r="H40" s="21"/>
      <c r="I40" s="21"/>
      <c r="J40" s="21"/>
    </row>
    <row r="45" spans="1:10" x14ac:dyDescent="0.25">
      <c r="F45" s="8"/>
    </row>
    <row r="46" spans="1:10" x14ac:dyDescent="0.25">
      <c r="F46" s="8"/>
    </row>
    <row r="47" spans="1:10" x14ac:dyDescent="0.25">
      <c r="F47" s="8"/>
    </row>
    <row r="48" spans="1:10" x14ac:dyDescent="0.25">
      <c r="F48" s="8"/>
    </row>
    <row r="49" spans="5:6" x14ac:dyDescent="0.25">
      <c r="F49" s="8"/>
    </row>
    <row r="50" spans="5:6" x14ac:dyDescent="0.25">
      <c r="F50" s="8"/>
    </row>
    <row r="51" spans="5:6" x14ac:dyDescent="0.25">
      <c r="F51" s="8"/>
    </row>
    <row r="52" spans="5:6" x14ac:dyDescent="0.25">
      <c r="F52" s="8"/>
    </row>
    <row r="53" spans="5:6" x14ac:dyDescent="0.25">
      <c r="F53" s="8"/>
    </row>
    <row r="54" spans="5:6" x14ac:dyDescent="0.25">
      <c r="F54" s="8"/>
    </row>
    <row r="55" spans="5:6" x14ac:dyDescent="0.25">
      <c r="F55" s="8"/>
    </row>
    <row r="56" spans="5:6" x14ac:dyDescent="0.25">
      <c r="F56" s="8"/>
    </row>
    <row r="57" spans="5:6" x14ac:dyDescent="0.25">
      <c r="F57" s="8"/>
    </row>
    <row r="58" spans="5:6" x14ac:dyDescent="0.25">
      <c r="F58" s="8"/>
    </row>
    <row r="59" spans="5:6" x14ac:dyDescent="0.25">
      <c r="F59" s="8"/>
    </row>
    <row r="60" spans="5:6" x14ac:dyDescent="0.25">
      <c r="F60" s="8"/>
    </row>
    <row r="61" spans="5:6" x14ac:dyDescent="0.25">
      <c r="F61" s="8"/>
    </row>
    <row r="62" spans="5:6" x14ac:dyDescent="0.25">
      <c r="F62" s="8"/>
    </row>
    <row r="63" spans="5:6" x14ac:dyDescent="0.25">
      <c r="F63" s="8"/>
    </row>
    <row r="64" spans="5:6" ht="17.399999999999999" x14ac:dyDescent="0.3">
      <c r="E64" s="4"/>
      <c r="F64" s="8"/>
    </row>
    <row r="65" spans="1:6" x14ac:dyDescent="0.25">
      <c r="F65" s="8"/>
    </row>
    <row r="66" spans="1:6" x14ac:dyDescent="0.25">
      <c r="A66" s="39" t="s">
        <v>60</v>
      </c>
      <c r="B66" s="35">
        <v>1</v>
      </c>
      <c r="C66" s="34">
        <v>0</v>
      </c>
      <c r="D66" s="34" t="s">
        <v>61</v>
      </c>
      <c r="F66" s="8"/>
    </row>
    <row r="67" spans="1:6" ht="17.399999999999999" x14ac:dyDescent="0.3">
      <c r="A67" s="2" t="s">
        <v>62</v>
      </c>
      <c r="B67" s="35">
        <v>1</v>
      </c>
      <c r="C67" s="34">
        <v>0</v>
      </c>
      <c r="D67" s="2" t="s">
        <v>63</v>
      </c>
      <c r="E67" s="4"/>
      <c r="F67" s="8"/>
    </row>
    <row r="68" spans="1:6" ht="17.399999999999999" x14ac:dyDescent="0.3">
      <c r="E68" s="4"/>
      <c r="F68" s="8"/>
    </row>
    <row r="69" spans="1:6" ht="19.2" x14ac:dyDescent="0.45">
      <c r="A69" s="7" t="s">
        <v>64</v>
      </c>
      <c r="B69" s="7">
        <v>1</v>
      </c>
      <c r="C69" s="7">
        <v>0</v>
      </c>
      <c r="D69" s="7" t="s">
        <v>65</v>
      </c>
      <c r="E69" s="4"/>
    </row>
    <row r="70" spans="1:6" ht="17.399999999999999" x14ac:dyDescent="0.3">
      <c r="A70" s="52"/>
      <c r="E70" s="4"/>
    </row>
    <row r="71" spans="1:6" x14ac:dyDescent="0.25">
      <c r="A71" s="3"/>
      <c r="B71" s="52"/>
      <c r="C71" s="52"/>
      <c r="D71" s="52"/>
    </row>
    <row r="72" spans="1:6" ht="17.399999999999999" x14ac:dyDescent="0.3">
      <c r="A72" s="4"/>
    </row>
    <row r="73" spans="1:6" ht="231" x14ac:dyDescent="0.3">
      <c r="A73" s="85" t="s">
        <v>66</v>
      </c>
      <c r="B73" s="86" t="s">
        <v>67</v>
      </c>
      <c r="E73" s="4"/>
    </row>
  </sheetData>
  <mergeCells count="6">
    <mergeCell ref="E39:F39"/>
    <mergeCell ref="A1:I1"/>
    <mergeCell ref="A4:E4"/>
    <mergeCell ref="F4:I4"/>
    <mergeCell ref="A30:F30"/>
    <mergeCell ref="E31:F31"/>
  </mergeCells>
  <hyperlinks>
    <hyperlink ref="B73" r:id="rId1" xr:uid="{1AF78576-C934-4D6E-8988-E3B4593A2D5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31D2-0EC5-4339-B8F8-916FDDCCCC6C}">
  <dimension ref="A1:J73"/>
  <sheetViews>
    <sheetView workbookViewId="0">
      <selection activeCell="E14" sqref="E14"/>
    </sheetView>
  </sheetViews>
  <sheetFormatPr defaultRowHeight="14.4" x14ac:dyDescent="0.25"/>
  <cols>
    <col min="1" max="1" width="30.109375" customWidth="1"/>
    <col min="2" max="2" width="11.109375" customWidth="1"/>
    <col min="3" max="3" width="8.33203125" customWidth="1"/>
    <col min="5" max="5" width="27.109375" customWidth="1"/>
    <col min="6" max="6" width="30.88671875" customWidth="1"/>
    <col min="9" max="9" width="27.44140625" customWidth="1"/>
    <col min="10" max="10" width="27.88671875" customWidth="1"/>
  </cols>
  <sheetData>
    <row r="1" spans="1:10" ht="17.399999999999999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17.399999999999999" x14ac:dyDescent="0.25">
      <c r="A2" s="13" t="s">
        <v>1</v>
      </c>
      <c r="B2" s="14">
        <v>46302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7.399999999999999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69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ht="18" customHeight="1" x14ac:dyDescent="0.25">
      <c r="A6" s="158" t="s">
        <v>219</v>
      </c>
      <c r="B6" s="158">
        <v>6</v>
      </c>
      <c r="C6" s="158">
        <v>0</v>
      </c>
      <c r="D6" s="158">
        <v>0</v>
      </c>
      <c r="E6" s="158" t="s">
        <v>220</v>
      </c>
      <c r="F6" s="158" t="s">
        <v>221</v>
      </c>
      <c r="G6" s="158">
        <v>5</v>
      </c>
      <c r="H6" s="158">
        <v>0</v>
      </c>
      <c r="I6" s="158" t="s">
        <v>222</v>
      </c>
      <c r="J6" s="38"/>
    </row>
    <row r="7" spans="1:10" ht="18" customHeight="1" x14ac:dyDescent="0.25">
      <c r="A7" s="158" t="s">
        <v>223</v>
      </c>
      <c r="B7" s="158">
        <v>0</v>
      </c>
      <c r="C7" s="158">
        <v>7</v>
      </c>
      <c r="D7" s="158">
        <v>0</v>
      </c>
      <c r="E7" s="158" t="s">
        <v>224</v>
      </c>
      <c r="F7" s="158" t="s">
        <v>225</v>
      </c>
      <c r="G7" s="158">
        <v>6</v>
      </c>
      <c r="H7" s="158">
        <v>0</v>
      </c>
      <c r="I7" s="158" t="s">
        <v>226</v>
      </c>
      <c r="J7" s="38"/>
    </row>
    <row r="8" spans="1:10" ht="18" customHeight="1" x14ac:dyDescent="0.25">
      <c r="A8" s="158" t="s">
        <v>227</v>
      </c>
      <c r="B8" s="158">
        <v>6</v>
      </c>
      <c r="C8" s="158">
        <v>0</v>
      </c>
      <c r="D8" s="158">
        <v>0</v>
      </c>
      <c r="E8" s="158" t="s">
        <v>228</v>
      </c>
      <c r="F8" s="158" t="s">
        <v>229</v>
      </c>
      <c r="G8" s="158">
        <v>5</v>
      </c>
      <c r="H8" s="158">
        <v>0</v>
      </c>
      <c r="I8" s="158" t="s">
        <v>230</v>
      </c>
      <c r="J8" s="38"/>
    </row>
    <row r="9" spans="1:10" ht="18" customHeight="1" x14ac:dyDescent="0.25">
      <c r="A9" s="158" t="s">
        <v>231</v>
      </c>
      <c r="B9" s="158">
        <v>23</v>
      </c>
      <c r="C9" s="158">
        <v>0</v>
      </c>
      <c r="D9" s="158">
        <v>0</v>
      </c>
      <c r="E9" s="158" t="s">
        <v>232</v>
      </c>
      <c r="F9" s="158" t="s">
        <v>231</v>
      </c>
      <c r="G9" s="158">
        <v>23</v>
      </c>
      <c r="H9" s="158">
        <v>0</v>
      </c>
      <c r="I9" s="158" t="s">
        <v>233</v>
      </c>
      <c r="J9" s="21"/>
    </row>
    <row r="10" spans="1:10" ht="18" customHeight="1" x14ac:dyDescent="0.25">
      <c r="A10" s="158" t="s">
        <v>234</v>
      </c>
      <c r="B10" s="158">
        <v>10</v>
      </c>
      <c r="C10" s="158">
        <v>0</v>
      </c>
      <c r="D10" s="158">
        <v>0</v>
      </c>
      <c r="E10" s="158" t="s">
        <v>235</v>
      </c>
      <c r="F10" s="158" t="s">
        <v>236</v>
      </c>
      <c r="G10" s="158">
        <v>11</v>
      </c>
      <c r="H10" s="158">
        <v>0</v>
      </c>
      <c r="I10" s="158" t="s">
        <v>237</v>
      </c>
      <c r="J10" s="21"/>
    </row>
    <row r="11" spans="1:10" ht="18" customHeight="1" x14ac:dyDescent="0.25">
      <c r="A11" s="158" t="s">
        <v>236</v>
      </c>
      <c r="B11" s="158">
        <v>11</v>
      </c>
      <c r="C11" s="158">
        <v>0</v>
      </c>
      <c r="D11" s="158">
        <v>0</v>
      </c>
      <c r="E11" s="158" t="s">
        <v>238</v>
      </c>
      <c r="F11" s="158" t="s">
        <v>212</v>
      </c>
      <c r="G11" s="158">
        <v>146</v>
      </c>
      <c r="H11" s="158">
        <v>0</v>
      </c>
      <c r="I11" s="158" t="s">
        <v>239</v>
      </c>
      <c r="J11" s="21"/>
    </row>
    <row r="12" spans="1:10" ht="18" customHeight="1" x14ac:dyDescent="0.25">
      <c r="A12" s="158" t="s">
        <v>240</v>
      </c>
      <c r="B12" s="158">
        <v>2</v>
      </c>
      <c r="C12" s="158">
        <v>0</v>
      </c>
      <c r="D12" s="158">
        <v>0</v>
      </c>
      <c r="E12" s="158" t="s">
        <v>241</v>
      </c>
      <c r="F12" s="158" t="s">
        <v>242</v>
      </c>
      <c r="G12" s="158">
        <v>5</v>
      </c>
      <c r="H12" s="158">
        <v>0</v>
      </c>
      <c r="I12" s="158" t="s">
        <v>243</v>
      </c>
      <c r="J12" s="21"/>
    </row>
    <row r="13" spans="1:10" ht="18" customHeight="1" x14ac:dyDescent="0.25">
      <c r="A13" s="158" t="s">
        <v>212</v>
      </c>
      <c r="B13" s="158">
        <v>146</v>
      </c>
      <c r="C13" s="158">
        <v>0</v>
      </c>
      <c r="D13" s="158">
        <v>0</v>
      </c>
      <c r="E13" s="158" t="s">
        <v>244</v>
      </c>
      <c r="F13" s="158" t="s">
        <v>245</v>
      </c>
      <c r="G13" s="158">
        <v>5</v>
      </c>
      <c r="H13" s="158">
        <v>0</v>
      </c>
      <c r="I13" s="158" t="s">
        <v>246</v>
      </c>
      <c r="J13" s="21"/>
    </row>
    <row r="14" spans="1:10" ht="18" customHeight="1" x14ac:dyDescent="0.25">
      <c r="A14" s="158" t="s">
        <v>14</v>
      </c>
      <c r="B14" s="158">
        <v>17</v>
      </c>
      <c r="C14" s="158">
        <v>0</v>
      </c>
      <c r="D14" s="158">
        <v>0</v>
      </c>
      <c r="E14" s="158" t="s">
        <v>247</v>
      </c>
      <c r="F14" s="158"/>
      <c r="G14" s="158"/>
      <c r="H14" s="158"/>
      <c r="I14" s="158"/>
      <c r="J14" s="21"/>
    </row>
    <row r="15" spans="1:10" ht="18" customHeight="1" x14ac:dyDescent="0.25">
      <c r="A15" s="158" t="s">
        <v>14</v>
      </c>
      <c r="B15" s="158">
        <v>1</v>
      </c>
      <c r="C15" s="158">
        <v>0</v>
      </c>
      <c r="D15" s="158">
        <v>0</v>
      </c>
      <c r="E15" s="158" t="s">
        <v>248</v>
      </c>
      <c r="F15" s="158"/>
      <c r="G15" s="158"/>
      <c r="H15" s="158"/>
      <c r="I15" s="158"/>
    </row>
    <row r="16" spans="1:10" ht="18" customHeight="1" x14ac:dyDescent="0.25">
      <c r="A16" s="158"/>
      <c r="B16" s="158"/>
      <c r="C16" s="158"/>
      <c r="D16" s="158"/>
      <c r="E16" s="158"/>
      <c r="F16" s="158"/>
      <c r="G16" s="158"/>
      <c r="H16" s="158"/>
      <c r="I16" s="158"/>
    </row>
    <row r="17" spans="1:10" ht="18" customHeight="1" x14ac:dyDescent="0.25">
      <c r="A17" s="158"/>
      <c r="B17" s="158"/>
      <c r="C17" s="158"/>
      <c r="D17" s="158"/>
      <c r="E17" s="158"/>
      <c r="F17" s="158"/>
      <c r="G17" s="158"/>
      <c r="H17" s="158"/>
      <c r="I17" s="158"/>
    </row>
    <row r="18" spans="1:10" ht="18" customHeight="1" x14ac:dyDescent="0.25">
      <c r="A18" s="158"/>
      <c r="B18" s="158"/>
      <c r="C18" s="158"/>
      <c r="D18" s="158"/>
      <c r="E18" s="158"/>
      <c r="F18" s="158"/>
      <c r="G18" s="158"/>
      <c r="H18" s="158"/>
      <c r="I18" s="158"/>
    </row>
    <row r="19" spans="1:10" ht="18" customHeight="1" x14ac:dyDescent="0.25">
      <c r="A19" s="158"/>
      <c r="B19" s="158"/>
      <c r="C19" s="158"/>
      <c r="D19" s="158"/>
      <c r="E19" s="158"/>
      <c r="F19" s="158"/>
      <c r="G19" s="158"/>
      <c r="H19" s="158"/>
      <c r="I19" s="158"/>
    </row>
    <row r="20" spans="1:10" ht="18" customHeight="1" x14ac:dyDescent="0.25">
      <c r="A20" s="158"/>
      <c r="B20" s="158"/>
      <c r="C20" s="158"/>
      <c r="D20" s="158"/>
      <c r="E20" s="158"/>
      <c r="F20" s="158"/>
      <c r="G20" s="158"/>
      <c r="H20" s="158"/>
      <c r="I20" s="158"/>
    </row>
    <row r="21" spans="1:10" x14ac:dyDescent="0.25">
      <c r="A21" s="115"/>
      <c r="B21" s="115"/>
      <c r="C21" s="115"/>
      <c r="D21" s="115"/>
      <c r="E21" s="115"/>
      <c r="F21" s="115"/>
      <c r="G21" s="126"/>
      <c r="H21" s="127"/>
      <c r="I21" s="102"/>
    </row>
    <row r="22" spans="1:10" x14ac:dyDescent="0.25">
      <c r="A22" s="130"/>
      <c r="B22" s="131"/>
      <c r="C22" s="131"/>
      <c r="D22" s="131"/>
      <c r="E22" s="132"/>
      <c r="F22" s="127"/>
      <c r="G22" s="127"/>
      <c r="H22" s="127"/>
      <c r="I22" s="127"/>
    </row>
    <row r="23" spans="1:10" x14ac:dyDescent="0.25">
      <c r="A23" s="130"/>
      <c r="B23" s="131"/>
      <c r="C23" s="131"/>
      <c r="D23" s="131"/>
      <c r="E23" s="132"/>
      <c r="F23" s="127"/>
      <c r="G23" s="127"/>
      <c r="H23" s="127"/>
      <c r="I23" s="127"/>
    </row>
    <row r="24" spans="1:10" x14ac:dyDescent="0.25">
      <c r="A24" s="130"/>
      <c r="B24" s="131"/>
      <c r="C24" s="131"/>
      <c r="D24" s="131"/>
      <c r="E24" s="132"/>
      <c r="F24" s="133"/>
      <c r="G24" s="134"/>
      <c r="H24" s="134"/>
      <c r="I24" s="102"/>
    </row>
    <row r="25" spans="1:10" x14ac:dyDescent="0.25">
      <c r="A25" s="140"/>
      <c r="B25" s="141"/>
      <c r="C25" s="141"/>
      <c r="D25" s="141"/>
      <c r="E25" s="142"/>
      <c r="F25" s="143"/>
      <c r="G25" s="156"/>
      <c r="H25" s="157"/>
      <c r="I25" s="128"/>
    </row>
    <row r="26" spans="1:10" x14ac:dyDescent="0.25">
      <c r="A26" s="105"/>
      <c r="B26" s="135"/>
      <c r="C26" s="135"/>
      <c r="D26" s="135"/>
      <c r="E26" s="134"/>
      <c r="F26" s="134"/>
      <c r="G26" s="135"/>
      <c r="H26" s="136"/>
      <c r="I26" s="102"/>
    </row>
    <row r="27" spans="1:10" ht="19.2" x14ac:dyDescent="0.25">
      <c r="A27" s="28">
        <f>COUNTA(A6:A26)</f>
        <v>10</v>
      </c>
      <c r="B27" s="28">
        <f>SUM(B6:B26)</f>
        <v>222</v>
      </c>
      <c r="C27" s="28">
        <f>SUM(C6:C26)</f>
        <v>7</v>
      </c>
      <c r="D27" s="28">
        <f>SUM(D6:D26)</f>
        <v>0</v>
      </c>
      <c r="E27" s="28"/>
      <c r="F27" s="28">
        <f>COUNTA(F6:F26)</f>
        <v>8</v>
      </c>
      <c r="G27" s="28">
        <f>SUM(G6:G26)</f>
        <v>206</v>
      </c>
      <c r="H27" s="28">
        <f>SUM(H6:H26)</f>
        <v>0</v>
      </c>
      <c r="I27" s="28"/>
      <c r="J27" s="11"/>
    </row>
    <row r="28" spans="1:10" x14ac:dyDescent="0.25">
      <c r="F28" s="8"/>
    </row>
    <row r="29" spans="1:10" x14ac:dyDescent="0.25">
      <c r="F29" s="8"/>
    </row>
    <row r="30" spans="1:10" ht="17.399999999999999" x14ac:dyDescent="0.25">
      <c r="A30" s="191" t="s">
        <v>43</v>
      </c>
      <c r="B30" s="192"/>
      <c r="C30" s="192"/>
      <c r="D30" s="192"/>
      <c r="E30" s="192"/>
      <c r="F30" s="192"/>
      <c r="I30" s="6"/>
    </row>
    <row r="31" spans="1:10" ht="66" x14ac:dyDescent="0.25">
      <c r="A31" s="17" t="s">
        <v>6</v>
      </c>
      <c r="B31" s="17" t="s">
        <v>1</v>
      </c>
      <c r="C31" s="18" t="s">
        <v>11</v>
      </c>
      <c r="D31" s="18" t="s">
        <v>9</v>
      </c>
      <c r="E31" s="193" t="s">
        <v>10</v>
      </c>
      <c r="F31" s="194"/>
    </row>
    <row r="32" spans="1:10" x14ac:dyDescent="0.25">
      <c r="A32" s="148" t="s">
        <v>44</v>
      </c>
      <c r="B32" s="153">
        <v>46223</v>
      </c>
      <c r="C32" s="148">
        <v>2</v>
      </c>
      <c r="D32" s="148">
        <v>2</v>
      </c>
      <c r="E32" s="148" t="s">
        <v>45</v>
      </c>
      <c r="F32" s="148"/>
      <c r="G32" s="21"/>
      <c r="H32" s="21"/>
      <c r="I32" s="21"/>
      <c r="J32" s="21"/>
    </row>
    <row r="33" spans="1:10" x14ac:dyDescent="0.25">
      <c r="A33" s="148" t="s">
        <v>46</v>
      </c>
      <c r="B33" s="153">
        <v>46237</v>
      </c>
      <c r="C33" s="148">
        <v>1</v>
      </c>
      <c r="D33" s="148">
        <v>1</v>
      </c>
      <c r="E33" s="148" t="s">
        <v>47</v>
      </c>
      <c r="F33" s="148"/>
      <c r="G33" s="21"/>
      <c r="H33" s="21"/>
      <c r="I33" s="21"/>
      <c r="J33" s="21"/>
    </row>
    <row r="34" spans="1:10" x14ac:dyDescent="0.25">
      <c r="A34" s="148" t="s">
        <v>48</v>
      </c>
      <c r="B34" s="153">
        <v>46282</v>
      </c>
      <c r="C34" s="148">
        <v>1</v>
      </c>
      <c r="D34" s="148">
        <v>1</v>
      </c>
      <c r="E34" s="148" t="s">
        <v>47</v>
      </c>
      <c r="F34" s="148"/>
      <c r="G34" s="21"/>
      <c r="H34" s="21"/>
      <c r="I34" s="21"/>
      <c r="J34" s="21"/>
    </row>
    <row r="35" spans="1:10" x14ac:dyDescent="0.25">
      <c r="A35" s="148" t="s">
        <v>49</v>
      </c>
      <c r="B35" s="153">
        <v>46297</v>
      </c>
      <c r="C35" s="148">
        <v>6</v>
      </c>
      <c r="D35" s="148">
        <v>6</v>
      </c>
      <c r="E35" s="148" t="s">
        <v>50</v>
      </c>
      <c r="F35" s="148"/>
      <c r="G35" s="21"/>
      <c r="H35" s="21"/>
      <c r="I35" s="21"/>
      <c r="J35" s="21"/>
    </row>
    <row r="36" spans="1:10" x14ac:dyDescent="0.25">
      <c r="A36" s="148" t="s">
        <v>51</v>
      </c>
      <c r="B36" s="153">
        <v>46293</v>
      </c>
      <c r="C36" s="148">
        <v>48</v>
      </c>
      <c r="D36" s="148">
        <v>48</v>
      </c>
      <c r="E36" s="148" t="s">
        <v>50</v>
      </c>
      <c r="F36" s="148"/>
      <c r="G36" s="21"/>
      <c r="H36" s="21"/>
      <c r="I36" s="21"/>
      <c r="J36" s="21"/>
    </row>
    <row r="37" spans="1:10" x14ac:dyDescent="0.25">
      <c r="A37" s="148" t="s">
        <v>52</v>
      </c>
      <c r="B37" s="153">
        <v>46293</v>
      </c>
      <c r="C37" s="148">
        <v>3</v>
      </c>
      <c r="D37" s="148">
        <v>3</v>
      </c>
      <c r="E37" s="148" t="s">
        <v>53</v>
      </c>
      <c r="F37" s="148"/>
      <c r="G37" s="21"/>
      <c r="H37" s="21"/>
      <c r="I37" s="21"/>
      <c r="J37" s="21"/>
    </row>
    <row r="38" spans="1:10" x14ac:dyDescent="0.25">
      <c r="A38" s="148"/>
      <c r="B38" s="148"/>
      <c r="C38" s="148"/>
      <c r="D38" s="148"/>
      <c r="E38" s="148"/>
      <c r="F38" s="148"/>
      <c r="G38" s="21"/>
      <c r="H38" s="21"/>
      <c r="I38" s="21"/>
      <c r="J38" s="21"/>
    </row>
    <row r="39" spans="1:10" ht="15" x14ac:dyDescent="0.25">
      <c r="A39" s="10"/>
      <c r="B39" s="20"/>
      <c r="C39" s="22"/>
      <c r="D39" s="22">
        <f>SUM(D32:D38)</f>
        <v>61</v>
      </c>
      <c r="E39" s="182"/>
      <c r="F39" s="183"/>
      <c r="G39" s="21"/>
      <c r="H39" s="21"/>
      <c r="I39" s="21"/>
      <c r="J39" s="21"/>
    </row>
    <row r="40" spans="1:10" x14ac:dyDescent="0.25">
      <c r="H40" s="21"/>
      <c r="I40" s="21"/>
      <c r="J40" s="21"/>
    </row>
    <row r="45" spans="1:10" x14ac:dyDescent="0.25">
      <c r="F45" s="8"/>
    </row>
    <row r="46" spans="1:10" x14ac:dyDescent="0.25">
      <c r="F46" s="8"/>
    </row>
    <row r="47" spans="1:10" x14ac:dyDescent="0.25">
      <c r="F47" s="8"/>
    </row>
    <row r="48" spans="1:10" x14ac:dyDescent="0.25">
      <c r="F48" s="8"/>
    </row>
    <row r="49" spans="5:6" x14ac:dyDescent="0.25">
      <c r="F49" s="8"/>
    </row>
    <row r="50" spans="5:6" x14ac:dyDescent="0.25">
      <c r="F50" s="8"/>
    </row>
    <row r="51" spans="5:6" x14ac:dyDescent="0.25">
      <c r="F51" s="8"/>
    </row>
    <row r="52" spans="5:6" x14ac:dyDescent="0.25">
      <c r="F52" s="8"/>
    </row>
    <row r="53" spans="5:6" x14ac:dyDescent="0.25">
      <c r="F53" s="8"/>
    </row>
    <row r="54" spans="5:6" x14ac:dyDescent="0.25">
      <c r="F54" s="8"/>
    </row>
    <row r="55" spans="5:6" x14ac:dyDescent="0.25">
      <c r="F55" s="8"/>
    </row>
    <row r="56" spans="5:6" x14ac:dyDescent="0.25">
      <c r="F56" s="8"/>
    </row>
    <row r="57" spans="5:6" x14ac:dyDescent="0.25">
      <c r="F57" s="8"/>
    </row>
    <row r="58" spans="5:6" x14ac:dyDescent="0.25">
      <c r="F58" s="8"/>
    </row>
    <row r="59" spans="5:6" x14ac:dyDescent="0.25">
      <c r="F59" s="8"/>
    </row>
    <row r="60" spans="5:6" x14ac:dyDescent="0.25">
      <c r="F60" s="8"/>
    </row>
    <row r="61" spans="5:6" x14ac:dyDescent="0.25">
      <c r="F61" s="8"/>
    </row>
    <row r="62" spans="5:6" x14ac:dyDescent="0.25">
      <c r="F62" s="8"/>
    </row>
    <row r="63" spans="5:6" x14ac:dyDescent="0.25">
      <c r="F63" s="8"/>
    </row>
    <row r="64" spans="5:6" ht="17.399999999999999" x14ac:dyDescent="0.3">
      <c r="E64" s="4"/>
      <c r="F64" s="8"/>
    </row>
    <row r="65" spans="1:6" x14ac:dyDescent="0.25">
      <c r="F65" s="8"/>
    </row>
    <row r="66" spans="1:6" x14ac:dyDescent="0.25">
      <c r="A66" s="39" t="s">
        <v>60</v>
      </c>
      <c r="B66" s="35">
        <v>1</v>
      </c>
      <c r="C66" s="34">
        <v>0</v>
      </c>
      <c r="D66" s="34" t="s">
        <v>61</v>
      </c>
      <c r="F66" s="8"/>
    </row>
    <row r="67" spans="1:6" ht="17.399999999999999" x14ac:dyDescent="0.3">
      <c r="A67" s="2" t="s">
        <v>62</v>
      </c>
      <c r="B67" s="35">
        <v>1</v>
      </c>
      <c r="C67" s="34">
        <v>0</v>
      </c>
      <c r="D67" s="2" t="s">
        <v>63</v>
      </c>
      <c r="E67" s="4"/>
      <c r="F67" s="8"/>
    </row>
    <row r="68" spans="1:6" ht="17.399999999999999" x14ac:dyDescent="0.3">
      <c r="E68" s="4"/>
      <c r="F68" s="8"/>
    </row>
    <row r="69" spans="1:6" ht="19.2" x14ac:dyDescent="0.45">
      <c r="A69" s="7" t="s">
        <v>64</v>
      </c>
      <c r="B69" s="7">
        <v>1</v>
      </c>
      <c r="C69" s="7">
        <v>0</v>
      </c>
      <c r="D69" s="7" t="s">
        <v>65</v>
      </c>
      <c r="E69" s="4"/>
    </row>
    <row r="70" spans="1:6" ht="17.399999999999999" x14ac:dyDescent="0.3">
      <c r="A70" s="52"/>
      <c r="E70" s="4"/>
    </row>
    <row r="71" spans="1:6" x14ac:dyDescent="0.25">
      <c r="A71" s="3"/>
      <c r="B71" s="52"/>
      <c r="C71" s="52"/>
      <c r="D71" s="52"/>
    </row>
    <row r="72" spans="1:6" ht="17.399999999999999" x14ac:dyDescent="0.3">
      <c r="A72" s="4"/>
    </row>
    <row r="73" spans="1:6" ht="231" x14ac:dyDescent="0.3">
      <c r="A73" s="85" t="s">
        <v>66</v>
      </c>
      <c r="B73" s="86" t="s">
        <v>67</v>
      </c>
      <c r="E73" s="4"/>
    </row>
  </sheetData>
  <mergeCells count="6">
    <mergeCell ref="E39:F39"/>
    <mergeCell ref="A1:I1"/>
    <mergeCell ref="A4:E4"/>
    <mergeCell ref="F4:I4"/>
    <mergeCell ref="A30:F30"/>
    <mergeCell ref="E31:F31"/>
  </mergeCells>
  <hyperlinks>
    <hyperlink ref="B73" r:id="rId1" xr:uid="{32613359-641A-40C4-A2D2-6D74163432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40F14-A7C7-41EC-9AB8-0D38C875F1BB}">
  <dimension ref="A1:J73"/>
  <sheetViews>
    <sheetView topLeftCell="A5" workbookViewId="0">
      <selection activeCell="E12" sqref="A12:E12"/>
    </sheetView>
  </sheetViews>
  <sheetFormatPr defaultRowHeight="14.4" x14ac:dyDescent="0.25"/>
  <cols>
    <col min="1" max="1" width="32.109375" customWidth="1"/>
    <col min="2" max="2" width="11.88671875" bestFit="1" customWidth="1"/>
    <col min="5" max="5" width="36.109375" customWidth="1"/>
    <col min="6" max="6" width="37.77734375" customWidth="1"/>
    <col min="9" max="9" width="24.33203125" customWidth="1"/>
  </cols>
  <sheetData>
    <row r="1" spans="1:10" ht="17.399999999999999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17.399999999999999" x14ac:dyDescent="0.25">
      <c r="A2" s="13" t="s">
        <v>1</v>
      </c>
      <c r="B2" s="14">
        <v>46301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7.399999999999999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69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ht="20.25" customHeight="1" x14ac:dyDescent="0.25">
      <c r="A6" s="155" t="s">
        <v>249</v>
      </c>
      <c r="B6" s="155">
        <v>3</v>
      </c>
      <c r="C6" s="155">
        <v>0</v>
      </c>
      <c r="D6" s="155">
        <v>0</v>
      </c>
      <c r="E6" s="155" t="s">
        <v>250</v>
      </c>
      <c r="F6" s="155" t="s">
        <v>251</v>
      </c>
      <c r="G6" s="155">
        <v>24</v>
      </c>
      <c r="H6" s="155">
        <v>0</v>
      </c>
      <c r="I6" s="155" t="s">
        <v>252</v>
      </c>
      <c r="J6" s="38"/>
    </row>
    <row r="7" spans="1:10" ht="20.25" customHeight="1" x14ac:dyDescent="0.25">
      <c r="A7" s="155" t="s">
        <v>217</v>
      </c>
      <c r="B7" s="155">
        <v>1</v>
      </c>
      <c r="C7" s="155">
        <v>0</v>
      </c>
      <c r="D7" s="155">
        <v>0</v>
      </c>
      <c r="E7" s="155" t="s">
        <v>253</v>
      </c>
      <c r="F7" s="155" t="s">
        <v>254</v>
      </c>
      <c r="G7" s="155">
        <v>7</v>
      </c>
      <c r="H7" s="155">
        <v>0</v>
      </c>
      <c r="I7" s="155" t="s">
        <v>255</v>
      </c>
      <c r="J7" s="38"/>
    </row>
    <row r="8" spans="1:10" ht="20.25" customHeight="1" x14ac:dyDescent="0.25">
      <c r="A8" s="155" t="s">
        <v>254</v>
      </c>
      <c r="B8" s="155">
        <v>0</v>
      </c>
      <c r="C8" s="155">
        <v>7</v>
      </c>
      <c r="D8" s="155">
        <v>0</v>
      </c>
      <c r="E8" s="155" t="s">
        <v>255</v>
      </c>
      <c r="F8" s="155" t="s">
        <v>256</v>
      </c>
      <c r="G8" s="155">
        <v>4</v>
      </c>
      <c r="H8" s="155">
        <v>0</v>
      </c>
      <c r="I8" s="155" t="s">
        <v>257</v>
      </c>
      <c r="J8" s="38"/>
    </row>
    <row r="9" spans="1:10" ht="20.25" customHeight="1" x14ac:dyDescent="0.25">
      <c r="A9" s="155" t="s">
        <v>258</v>
      </c>
      <c r="B9" s="155">
        <v>33</v>
      </c>
      <c r="C9" s="155">
        <v>0</v>
      </c>
      <c r="D9" s="155">
        <v>0</v>
      </c>
      <c r="E9" s="155" t="s">
        <v>259</v>
      </c>
      <c r="F9" s="155" t="s">
        <v>260</v>
      </c>
      <c r="G9" s="155">
        <v>3</v>
      </c>
      <c r="H9" s="155">
        <v>0</v>
      </c>
      <c r="I9" s="155" t="s">
        <v>261</v>
      </c>
      <c r="J9" s="21"/>
    </row>
    <row r="10" spans="1:10" ht="20.25" customHeight="1" x14ac:dyDescent="0.25">
      <c r="A10" s="155" t="s">
        <v>262</v>
      </c>
      <c r="B10" s="155">
        <v>0</v>
      </c>
      <c r="C10" s="155">
        <v>1</v>
      </c>
      <c r="D10" s="155">
        <v>0</v>
      </c>
      <c r="E10" s="155" t="s">
        <v>263</v>
      </c>
      <c r="F10" s="155" t="s">
        <v>264</v>
      </c>
      <c r="G10" s="155">
        <v>4</v>
      </c>
      <c r="H10" s="155">
        <v>0</v>
      </c>
      <c r="I10" s="155" t="s">
        <v>265</v>
      </c>
      <c r="J10" s="21"/>
    </row>
    <row r="11" spans="1:10" ht="20.25" customHeight="1" x14ac:dyDescent="0.25">
      <c r="A11" s="155" t="s">
        <v>260</v>
      </c>
      <c r="B11" s="155">
        <v>3</v>
      </c>
      <c r="C11" s="155">
        <v>0</v>
      </c>
      <c r="D11" s="155">
        <v>0</v>
      </c>
      <c r="E11" s="155" t="s">
        <v>261</v>
      </c>
      <c r="F11" s="155" t="s">
        <v>266</v>
      </c>
      <c r="G11" s="155">
        <v>9</v>
      </c>
      <c r="H11" s="155">
        <v>0</v>
      </c>
      <c r="I11" s="155" t="s">
        <v>267</v>
      </c>
      <c r="J11" s="21"/>
    </row>
    <row r="12" spans="1:10" ht="20.25" customHeight="1" x14ac:dyDescent="0.25">
      <c r="A12" s="155" t="s">
        <v>102</v>
      </c>
      <c r="B12" s="155">
        <v>28</v>
      </c>
      <c r="C12" s="155">
        <v>0</v>
      </c>
      <c r="D12" s="155">
        <v>0</v>
      </c>
      <c r="E12" s="155" t="s">
        <v>268</v>
      </c>
      <c r="F12" s="155" t="s">
        <v>269</v>
      </c>
      <c r="G12" s="155">
        <v>11</v>
      </c>
      <c r="H12" s="155">
        <v>0</v>
      </c>
      <c r="I12" s="155" t="s">
        <v>270</v>
      </c>
      <c r="J12" s="21"/>
    </row>
    <row r="13" spans="1:10" ht="20.25" customHeight="1" x14ac:dyDescent="0.25">
      <c r="A13" s="155" t="s">
        <v>271</v>
      </c>
      <c r="B13" s="155">
        <v>0</v>
      </c>
      <c r="C13" s="155">
        <v>1</v>
      </c>
      <c r="D13" s="155">
        <v>0</v>
      </c>
      <c r="E13" s="155" t="s">
        <v>272</v>
      </c>
      <c r="F13" s="155" t="s">
        <v>273</v>
      </c>
      <c r="G13" s="155">
        <v>6</v>
      </c>
      <c r="H13" s="155">
        <v>0</v>
      </c>
      <c r="I13" s="155" t="s">
        <v>274</v>
      </c>
      <c r="J13" s="21"/>
    </row>
    <row r="14" spans="1:10" ht="20.25" customHeight="1" x14ac:dyDescent="0.25">
      <c r="A14" s="155" t="s">
        <v>269</v>
      </c>
      <c r="B14" s="155">
        <v>11</v>
      </c>
      <c r="C14" s="155">
        <v>0</v>
      </c>
      <c r="D14" s="155">
        <v>0</v>
      </c>
      <c r="E14" s="155" t="s">
        <v>270</v>
      </c>
      <c r="F14" s="155" t="s">
        <v>275</v>
      </c>
      <c r="G14" s="155">
        <v>22</v>
      </c>
      <c r="H14" s="155">
        <v>0</v>
      </c>
      <c r="I14" s="155" t="s">
        <v>276</v>
      </c>
      <c r="J14" s="21"/>
    </row>
    <row r="15" spans="1:10" ht="20.25" customHeight="1" x14ac:dyDescent="0.25">
      <c r="A15" s="155" t="s">
        <v>275</v>
      </c>
      <c r="B15" s="155">
        <v>22</v>
      </c>
      <c r="C15" s="155">
        <v>0</v>
      </c>
      <c r="D15" s="155">
        <v>0</v>
      </c>
      <c r="E15" s="155" t="s">
        <v>276</v>
      </c>
      <c r="F15" s="155"/>
      <c r="G15" s="155"/>
      <c r="H15" s="155"/>
      <c r="I15" s="155"/>
    </row>
    <row r="16" spans="1:10" ht="20.25" customHeight="1" x14ac:dyDescent="0.25">
      <c r="A16" s="155" t="s">
        <v>273</v>
      </c>
      <c r="B16" s="155">
        <v>6</v>
      </c>
      <c r="C16" s="155">
        <v>0</v>
      </c>
      <c r="D16" s="155">
        <v>0</v>
      </c>
      <c r="E16" s="155" t="s">
        <v>274</v>
      </c>
      <c r="F16" s="155"/>
      <c r="G16" s="155"/>
      <c r="H16" s="155"/>
      <c r="I16" s="155"/>
    </row>
    <row r="17" spans="1:10" ht="20.25" customHeight="1" x14ac:dyDescent="0.25">
      <c r="A17" s="155"/>
      <c r="B17" s="155"/>
      <c r="C17" s="155"/>
      <c r="D17" s="155"/>
      <c r="E17" s="155"/>
      <c r="F17" s="155"/>
      <c r="G17" s="155"/>
      <c r="H17" s="155"/>
      <c r="I17" s="155"/>
    </row>
    <row r="18" spans="1:10" ht="20.25" customHeight="1" x14ac:dyDescent="0.25">
      <c r="A18" s="155"/>
      <c r="B18" s="155"/>
      <c r="C18" s="155"/>
      <c r="D18" s="155"/>
      <c r="E18" s="155"/>
      <c r="F18" s="155"/>
      <c r="G18" s="155"/>
      <c r="H18" s="155"/>
      <c r="I18" s="155"/>
    </row>
    <row r="19" spans="1:10" ht="20.25" customHeight="1" x14ac:dyDescent="0.25">
      <c r="A19" s="155"/>
      <c r="B19" s="155"/>
      <c r="C19" s="155"/>
      <c r="D19" s="155"/>
      <c r="E19" s="155"/>
      <c r="F19" s="155"/>
      <c r="G19" s="155"/>
      <c r="H19" s="155"/>
      <c r="I19" s="155"/>
    </row>
    <row r="20" spans="1:10" ht="20.25" customHeight="1" x14ac:dyDescent="0.25">
      <c r="A20" s="155"/>
      <c r="B20" s="155"/>
      <c r="C20" s="155"/>
      <c r="D20" s="155"/>
      <c r="E20" s="155"/>
      <c r="F20" s="155"/>
      <c r="G20" s="155"/>
      <c r="H20" s="155"/>
      <c r="I20" s="155"/>
    </row>
    <row r="21" spans="1:10" ht="20.25" customHeight="1" x14ac:dyDescent="0.25">
      <c r="A21" s="115"/>
      <c r="B21" s="115"/>
      <c r="C21" s="115"/>
      <c r="D21" s="115"/>
      <c r="E21" s="115"/>
      <c r="F21" s="115"/>
      <c r="G21" s="126"/>
      <c r="H21" s="127"/>
      <c r="I21" s="102"/>
    </row>
    <row r="22" spans="1:10" ht="20.25" customHeight="1" x14ac:dyDescent="0.25">
      <c r="A22" s="140"/>
      <c r="B22" s="141"/>
      <c r="C22" s="141"/>
      <c r="D22" s="141"/>
      <c r="E22" s="142"/>
      <c r="F22" s="154"/>
      <c r="G22" s="154"/>
      <c r="H22" s="154"/>
      <c r="I22" s="154"/>
    </row>
    <row r="23" spans="1:10" x14ac:dyDescent="0.25">
      <c r="A23" s="130"/>
      <c r="B23" s="131"/>
      <c r="C23" s="131"/>
      <c r="D23" s="131"/>
      <c r="E23" s="132"/>
      <c r="F23" s="127"/>
      <c r="G23" s="127"/>
      <c r="H23" s="127"/>
      <c r="I23" s="127"/>
    </row>
    <row r="24" spans="1:10" x14ac:dyDescent="0.25">
      <c r="A24" s="140"/>
      <c r="B24" s="141"/>
      <c r="C24" s="141"/>
      <c r="D24" s="141"/>
      <c r="E24" s="142"/>
      <c r="F24" s="143"/>
      <c r="G24" s="144"/>
      <c r="H24" s="144"/>
      <c r="I24" s="128"/>
    </row>
    <row r="25" spans="1:10" x14ac:dyDescent="0.25">
      <c r="A25" s="130"/>
      <c r="B25" s="131"/>
      <c r="C25" s="131"/>
      <c r="D25" s="131"/>
      <c r="E25" s="132"/>
      <c r="F25" s="133"/>
      <c r="G25" s="135"/>
      <c r="H25" s="136"/>
      <c r="I25" s="102"/>
    </row>
    <row r="26" spans="1:10" x14ac:dyDescent="0.25">
      <c r="A26" s="105"/>
      <c r="B26" s="135"/>
      <c r="C26" s="135"/>
      <c r="D26" s="135"/>
      <c r="E26" s="134"/>
      <c r="F26" s="134"/>
      <c r="G26" s="135"/>
      <c r="H26" s="136"/>
      <c r="I26" s="102"/>
    </row>
    <row r="27" spans="1:10" ht="19.2" x14ac:dyDescent="0.25">
      <c r="A27" s="28">
        <f>COUNTA(A6:A26)</f>
        <v>11</v>
      </c>
      <c r="B27" s="28">
        <f>SUM(B6:B26)</f>
        <v>107</v>
      </c>
      <c r="C27" s="28">
        <f>SUM(C6:C26)</f>
        <v>9</v>
      </c>
      <c r="D27" s="28">
        <f>SUM(D6:D26)</f>
        <v>0</v>
      </c>
      <c r="E27" s="28"/>
      <c r="F27" s="28">
        <f>COUNTA(F6:F26)</f>
        <v>9</v>
      </c>
      <c r="G27" s="28">
        <f>SUM(G6:G26)</f>
        <v>90</v>
      </c>
      <c r="H27" s="28">
        <f>SUM(H6:H26)</f>
        <v>0</v>
      </c>
      <c r="I27" s="28"/>
      <c r="J27" s="11"/>
    </row>
    <row r="28" spans="1:10" x14ac:dyDescent="0.25">
      <c r="F28" s="8"/>
    </row>
    <row r="29" spans="1:10" x14ac:dyDescent="0.25">
      <c r="F29" s="8"/>
    </row>
    <row r="30" spans="1:10" ht="17.399999999999999" x14ac:dyDescent="0.25">
      <c r="A30" s="191" t="s">
        <v>43</v>
      </c>
      <c r="B30" s="192"/>
      <c r="C30" s="192"/>
      <c r="D30" s="192"/>
      <c r="E30" s="192"/>
      <c r="F30" s="192"/>
      <c r="I30" s="6"/>
    </row>
    <row r="31" spans="1:10" ht="66" x14ac:dyDescent="0.25">
      <c r="A31" s="17" t="s">
        <v>6</v>
      </c>
      <c r="B31" s="17" t="s">
        <v>1</v>
      </c>
      <c r="C31" s="18" t="s">
        <v>11</v>
      </c>
      <c r="D31" s="18" t="s">
        <v>9</v>
      </c>
      <c r="E31" s="193" t="s">
        <v>10</v>
      </c>
      <c r="F31" s="194"/>
    </row>
    <row r="32" spans="1:10" x14ac:dyDescent="0.25">
      <c r="A32" s="148" t="s">
        <v>44</v>
      </c>
      <c r="B32" s="153">
        <v>46223</v>
      </c>
      <c r="C32" s="148">
        <v>2</v>
      </c>
      <c r="D32" s="148">
        <v>2</v>
      </c>
      <c r="E32" s="148" t="s">
        <v>45</v>
      </c>
      <c r="F32" s="148"/>
      <c r="G32" s="21"/>
      <c r="H32" s="21"/>
      <c r="I32" s="21"/>
      <c r="J32" s="21"/>
    </row>
    <row r="33" spans="1:10" x14ac:dyDescent="0.25">
      <c r="A33" s="148" t="s">
        <v>46</v>
      </c>
      <c r="B33" s="153">
        <v>46237</v>
      </c>
      <c r="C33" s="148">
        <v>1</v>
      </c>
      <c r="D33" s="148">
        <v>1</v>
      </c>
      <c r="E33" s="148" t="s">
        <v>47</v>
      </c>
      <c r="F33" s="148"/>
      <c r="G33" s="21"/>
      <c r="H33" s="21"/>
      <c r="I33" s="21"/>
      <c r="J33" s="21"/>
    </row>
    <row r="34" spans="1:10" x14ac:dyDescent="0.25">
      <c r="A34" s="148" t="s">
        <v>48</v>
      </c>
      <c r="B34" s="153">
        <v>46282</v>
      </c>
      <c r="C34" s="148">
        <v>1</v>
      </c>
      <c r="D34" s="148">
        <v>1</v>
      </c>
      <c r="E34" s="148" t="s">
        <v>47</v>
      </c>
      <c r="F34" s="148"/>
      <c r="G34" s="21"/>
      <c r="H34" s="21"/>
      <c r="I34" s="21"/>
      <c r="J34" s="21"/>
    </row>
    <row r="35" spans="1:10" x14ac:dyDescent="0.25">
      <c r="A35" s="148" t="s">
        <v>49</v>
      </c>
      <c r="B35" s="153">
        <v>46297</v>
      </c>
      <c r="C35" s="148">
        <v>6</v>
      </c>
      <c r="D35" s="148">
        <v>6</v>
      </c>
      <c r="E35" s="148" t="s">
        <v>50</v>
      </c>
      <c r="F35" s="148"/>
      <c r="G35" s="21"/>
      <c r="H35" s="21"/>
      <c r="I35" s="21"/>
      <c r="J35" s="21"/>
    </row>
    <row r="36" spans="1:10" x14ac:dyDescent="0.25">
      <c r="A36" s="148" t="s">
        <v>51</v>
      </c>
      <c r="B36" s="153">
        <v>46293</v>
      </c>
      <c r="C36" s="148">
        <v>48</v>
      </c>
      <c r="D36" s="148">
        <v>48</v>
      </c>
      <c r="E36" s="148" t="s">
        <v>50</v>
      </c>
      <c r="F36" s="148"/>
      <c r="G36" s="21"/>
      <c r="H36" s="21"/>
      <c r="I36" s="21"/>
      <c r="J36" s="21"/>
    </row>
    <row r="37" spans="1:10" x14ac:dyDescent="0.25">
      <c r="A37" s="148" t="s">
        <v>52</v>
      </c>
      <c r="B37" s="153">
        <v>46293</v>
      </c>
      <c r="C37" s="148">
        <v>3</v>
      </c>
      <c r="D37" s="148">
        <v>3</v>
      </c>
      <c r="E37" s="148" t="s">
        <v>53</v>
      </c>
      <c r="F37" s="148"/>
      <c r="G37" s="21"/>
      <c r="H37" s="21"/>
      <c r="I37" s="21"/>
      <c r="J37" s="21"/>
    </row>
    <row r="38" spans="1:10" x14ac:dyDescent="0.25">
      <c r="A38" s="148"/>
      <c r="B38" s="148"/>
      <c r="C38" s="148"/>
      <c r="D38" s="148"/>
      <c r="E38" s="148"/>
      <c r="F38" s="148"/>
      <c r="G38" s="21"/>
      <c r="H38" s="21"/>
      <c r="I38" s="21"/>
      <c r="J38" s="21"/>
    </row>
    <row r="39" spans="1:10" ht="15" x14ac:dyDescent="0.25">
      <c r="A39" s="10"/>
      <c r="B39" s="20"/>
      <c r="C39" s="22"/>
      <c r="D39" s="22">
        <f>SUM(D32:D38)</f>
        <v>61</v>
      </c>
      <c r="E39" s="182"/>
      <c r="F39" s="183"/>
      <c r="G39" s="21"/>
      <c r="H39" s="21"/>
      <c r="I39" s="21"/>
      <c r="J39" s="21"/>
    </row>
    <row r="40" spans="1:10" x14ac:dyDescent="0.25">
      <c r="H40" s="21"/>
      <c r="I40" s="21"/>
      <c r="J40" s="21"/>
    </row>
    <row r="45" spans="1:10" x14ac:dyDescent="0.25">
      <c r="F45" s="8"/>
    </row>
    <row r="46" spans="1:10" x14ac:dyDescent="0.25">
      <c r="F46" s="8"/>
    </row>
    <row r="47" spans="1:10" x14ac:dyDescent="0.25">
      <c r="F47" s="8"/>
    </row>
    <row r="48" spans="1:10" x14ac:dyDescent="0.25">
      <c r="F48" s="8"/>
    </row>
    <row r="49" spans="5:6" x14ac:dyDescent="0.25">
      <c r="F49" s="8"/>
    </row>
    <row r="50" spans="5:6" x14ac:dyDescent="0.25">
      <c r="F50" s="8"/>
    </row>
    <row r="51" spans="5:6" x14ac:dyDescent="0.25">
      <c r="F51" s="8"/>
    </row>
    <row r="52" spans="5:6" x14ac:dyDescent="0.25">
      <c r="F52" s="8"/>
    </row>
    <row r="53" spans="5:6" x14ac:dyDescent="0.25">
      <c r="F53" s="8"/>
    </row>
    <row r="54" spans="5:6" x14ac:dyDescent="0.25">
      <c r="F54" s="8"/>
    </row>
    <row r="55" spans="5:6" x14ac:dyDescent="0.25">
      <c r="F55" s="8"/>
    </row>
    <row r="56" spans="5:6" x14ac:dyDescent="0.25">
      <c r="F56" s="8"/>
    </row>
    <row r="57" spans="5:6" x14ac:dyDescent="0.25">
      <c r="F57" s="8"/>
    </row>
    <row r="58" spans="5:6" x14ac:dyDescent="0.25">
      <c r="F58" s="8"/>
    </row>
    <row r="59" spans="5:6" x14ac:dyDescent="0.25">
      <c r="F59" s="8"/>
    </row>
    <row r="60" spans="5:6" x14ac:dyDescent="0.25">
      <c r="F60" s="8"/>
    </row>
    <row r="61" spans="5:6" x14ac:dyDescent="0.25">
      <c r="F61" s="8"/>
    </row>
    <row r="62" spans="5:6" x14ac:dyDescent="0.25">
      <c r="F62" s="8"/>
    </row>
    <row r="63" spans="5:6" x14ac:dyDescent="0.25">
      <c r="F63" s="8"/>
    </row>
    <row r="64" spans="5:6" ht="17.399999999999999" x14ac:dyDescent="0.3">
      <c r="E64" s="4"/>
      <c r="F64" s="8"/>
    </row>
    <row r="65" spans="1:6" x14ac:dyDescent="0.25">
      <c r="F65" s="8"/>
    </row>
    <row r="66" spans="1:6" x14ac:dyDescent="0.25">
      <c r="A66" s="39" t="s">
        <v>60</v>
      </c>
      <c r="B66" s="35">
        <v>1</v>
      </c>
      <c r="C66" s="34">
        <v>0</v>
      </c>
      <c r="D66" s="34" t="s">
        <v>61</v>
      </c>
      <c r="F66" s="8"/>
    </row>
    <row r="67" spans="1:6" ht="17.399999999999999" x14ac:dyDescent="0.3">
      <c r="A67" s="2" t="s">
        <v>62</v>
      </c>
      <c r="B67" s="35">
        <v>1</v>
      </c>
      <c r="C67" s="34">
        <v>0</v>
      </c>
      <c r="D67" s="2" t="s">
        <v>63</v>
      </c>
      <c r="E67" s="4"/>
      <c r="F67" s="8"/>
    </row>
    <row r="68" spans="1:6" ht="17.399999999999999" x14ac:dyDescent="0.3">
      <c r="E68" s="4"/>
      <c r="F68" s="8"/>
    </row>
    <row r="69" spans="1:6" ht="19.2" x14ac:dyDescent="0.45">
      <c r="A69" s="7" t="s">
        <v>64</v>
      </c>
      <c r="B69" s="7">
        <v>1</v>
      </c>
      <c r="C69" s="7">
        <v>0</v>
      </c>
      <c r="D69" s="7" t="s">
        <v>65</v>
      </c>
      <c r="E69" s="4"/>
    </row>
    <row r="70" spans="1:6" ht="17.399999999999999" x14ac:dyDescent="0.3">
      <c r="A70" s="52"/>
      <c r="E70" s="4"/>
    </row>
    <row r="71" spans="1:6" x14ac:dyDescent="0.25">
      <c r="A71" s="3"/>
      <c r="B71" s="52"/>
      <c r="C71" s="52"/>
      <c r="D71" s="52"/>
    </row>
    <row r="72" spans="1:6" ht="17.399999999999999" x14ac:dyDescent="0.3">
      <c r="A72" s="4"/>
    </row>
    <row r="73" spans="1:6" ht="231" x14ac:dyDescent="0.3">
      <c r="A73" s="85" t="s">
        <v>66</v>
      </c>
      <c r="B73" s="86" t="s">
        <v>67</v>
      </c>
      <c r="E73" s="4"/>
    </row>
  </sheetData>
  <mergeCells count="6">
    <mergeCell ref="E39:F39"/>
    <mergeCell ref="A1:I1"/>
    <mergeCell ref="A4:E4"/>
    <mergeCell ref="F4:I4"/>
    <mergeCell ref="A30:F30"/>
    <mergeCell ref="E31:F31"/>
  </mergeCells>
  <hyperlinks>
    <hyperlink ref="B73" r:id="rId1" xr:uid="{47B0726B-0122-49A2-83D9-7CCFD6D006A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CB7A-A68D-4F6C-AF63-7FEE9E86C9D3}">
  <dimension ref="A1:J73"/>
  <sheetViews>
    <sheetView workbookViewId="0">
      <selection activeCell="A11" sqref="A11"/>
    </sheetView>
  </sheetViews>
  <sheetFormatPr defaultRowHeight="14.4" x14ac:dyDescent="0.25"/>
  <cols>
    <col min="1" max="1" width="31.44140625" customWidth="1"/>
    <col min="2" max="2" width="11.88671875" bestFit="1" customWidth="1"/>
    <col min="5" max="5" width="31.88671875" customWidth="1"/>
    <col min="6" max="6" width="24.33203125" customWidth="1"/>
    <col min="9" max="9" width="32.44140625" customWidth="1"/>
  </cols>
  <sheetData>
    <row r="1" spans="1:10" ht="17.399999999999999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17.399999999999999" x14ac:dyDescent="0.25">
      <c r="A2" s="13" t="s">
        <v>1</v>
      </c>
      <c r="B2" s="14">
        <v>46300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7.399999999999999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69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ht="15" x14ac:dyDescent="0.25">
      <c r="A6" s="147" t="s">
        <v>277</v>
      </c>
      <c r="B6" s="147">
        <v>0</v>
      </c>
      <c r="C6" s="147">
        <v>19</v>
      </c>
      <c r="D6" s="147">
        <v>0</v>
      </c>
      <c r="E6" s="147" t="s">
        <v>278</v>
      </c>
      <c r="F6" s="147" t="s">
        <v>279</v>
      </c>
      <c r="G6" s="147">
        <v>4</v>
      </c>
      <c r="H6" s="147">
        <v>0</v>
      </c>
      <c r="I6" s="147" t="s">
        <v>280</v>
      </c>
      <c r="J6" s="38"/>
    </row>
    <row r="7" spans="1:10" ht="15" x14ac:dyDescent="0.25">
      <c r="A7" s="147" t="s">
        <v>281</v>
      </c>
      <c r="B7" s="147">
        <v>0</v>
      </c>
      <c r="C7" s="147">
        <v>5</v>
      </c>
      <c r="D7" s="147">
        <v>0</v>
      </c>
      <c r="E7" s="147" t="s">
        <v>278</v>
      </c>
      <c r="F7" s="147" t="s">
        <v>282</v>
      </c>
      <c r="G7" s="147">
        <v>2</v>
      </c>
      <c r="H7" s="147">
        <v>0</v>
      </c>
      <c r="I7" s="147" t="s">
        <v>283</v>
      </c>
      <c r="J7" s="38"/>
    </row>
    <row r="8" spans="1:10" ht="15" x14ac:dyDescent="0.25">
      <c r="A8" s="147" t="s">
        <v>284</v>
      </c>
      <c r="B8" s="147">
        <v>0</v>
      </c>
      <c r="C8" s="147">
        <v>7</v>
      </c>
      <c r="D8" s="147">
        <v>0</v>
      </c>
      <c r="E8" s="147" t="s">
        <v>285</v>
      </c>
      <c r="F8" s="147" t="s">
        <v>286</v>
      </c>
      <c r="G8" s="147">
        <v>2</v>
      </c>
      <c r="H8" s="147">
        <v>0</v>
      </c>
      <c r="I8" s="147" t="s">
        <v>287</v>
      </c>
      <c r="J8" s="38"/>
    </row>
    <row r="9" spans="1:10" ht="15.75" customHeight="1" x14ac:dyDescent="0.25">
      <c r="A9" s="147" t="s">
        <v>288</v>
      </c>
      <c r="B9" s="147">
        <v>0</v>
      </c>
      <c r="C9" s="147">
        <v>1</v>
      </c>
      <c r="D9" s="147">
        <v>0</v>
      </c>
      <c r="E9" s="147" t="s">
        <v>289</v>
      </c>
      <c r="F9" s="147" t="s">
        <v>290</v>
      </c>
      <c r="G9" s="147">
        <v>8</v>
      </c>
      <c r="H9" s="147">
        <v>0</v>
      </c>
      <c r="I9" s="147" t="s">
        <v>291</v>
      </c>
      <c r="J9" s="21"/>
    </row>
    <row r="10" spans="1:10" x14ac:dyDescent="0.25">
      <c r="A10" s="147" t="s">
        <v>185</v>
      </c>
      <c r="B10" s="147">
        <v>1</v>
      </c>
      <c r="C10" s="147">
        <v>0</v>
      </c>
      <c r="D10" s="147">
        <v>0</v>
      </c>
      <c r="E10" s="147" t="s">
        <v>292</v>
      </c>
      <c r="F10" s="147" t="s">
        <v>293</v>
      </c>
      <c r="G10" s="147">
        <v>6</v>
      </c>
      <c r="H10" s="147">
        <v>0</v>
      </c>
      <c r="I10" s="147" t="s">
        <v>294</v>
      </c>
      <c r="J10" s="21"/>
    </row>
    <row r="11" spans="1:10" ht="15.75" customHeight="1" x14ac:dyDescent="0.25">
      <c r="A11" s="147" t="s">
        <v>181</v>
      </c>
      <c r="B11" s="147">
        <v>1</v>
      </c>
      <c r="C11" s="147">
        <v>0</v>
      </c>
      <c r="D11" s="147">
        <v>0</v>
      </c>
      <c r="E11" s="147" t="s">
        <v>295</v>
      </c>
      <c r="F11" s="147" t="s">
        <v>288</v>
      </c>
      <c r="G11" s="147">
        <v>1</v>
      </c>
      <c r="H11" s="147">
        <v>0</v>
      </c>
      <c r="I11" s="147" t="s">
        <v>289</v>
      </c>
      <c r="J11" s="21"/>
    </row>
    <row r="12" spans="1:10" x14ac:dyDescent="0.25">
      <c r="A12" s="147"/>
      <c r="B12" s="147"/>
      <c r="C12" s="147"/>
      <c r="D12" s="147"/>
      <c r="E12" s="147"/>
      <c r="F12" s="147" t="s">
        <v>284</v>
      </c>
      <c r="G12" s="147">
        <v>7</v>
      </c>
      <c r="H12" s="147">
        <v>0</v>
      </c>
      <c r="I12" s="147" t="s">
        <v>285</v>
      </c>
      <c r="J12" s="21"/>
    </row>
    <row r="13" spans="1:10" x14ac:dyDescent="0.25">
      <c r="A13" s="147"/>
      <c r="B13" s="147"/>
      <c r="C13" s="147"/>
      <c r="D13" s="147"/>
      <c r="E13" s="147"/>
      <c r="F13" s="147" t="s">
        <v>277</v>
      </c>
      <c r="G13" s="147">
        <v>19</v>
      </c>
      <c r="H13" s="147">
        <v>0</v>
      </c>
      <c r="I13" s="152" t="s">
        <v>296</v>
      </c>
      <c r="J13" s="21"/>
    </row>
    <row r="14" spans="1:10" x14ac:dyDescent="0.25">
      <c r="A14" s="147"/>
      <c r="B14" s="150"/>
      <c r="C14" s="150"/>
      <c r="D14" s="150"/>
      <c r="E14" s="150"/>
      <c r="F14" s="147" t="s">
        <v>281</v>
      </c>
      <c r="G14" s="147">
        <v>5</v>
      </c>
      <c r="H14" s="147">
        <v>0</v>
      </c>
      <c r="I14" s="152" t="s">
        <v>297</v>
      </c>
      <c r="J14" s="21"/>
    </row>
    <row r="15" spans="1:10" x14ac:dyDescent="0.25">
      <c r="A15" s="148"/>
      <c r="B15" s="150"/>
      <c r="C15" s="150"/>
      <c r="D15" s="150"/>
      <c r="E15" s="148"/>
      <c r="F15" s="147"/>
      <c r="G15" s="145"/>
      <c r="H15" s="145"/>
      <c r="I15" s="147"/>
    </row>
    <row r="16" spans="1:10" x14ac:dyDescent="0.25">
      <c r="A16" s="148"/>
      <c r="B16" s="150"/>
      <c r="C16" s="150"/>
      <c r="D16" s="150"/>
      <c r="E16" s="150"/>
      <c r="F16" s="145"/>
      <c r="G16" s="146"/>
      <c r="H16" s="145"/>
      <c r="I16" s="147"/>
    </row>
    <row r="17" spans="1:10" x14ac:dyDescent="0.25">
      <c r="A17" s="148"/>
      <c r="B17" s="150"/>
      <c r="C17" s="150"/>
      <c r="D17" s="150"/>
      <c r="E17" s="148"/>
      <c r="F17" s="147"/>
      <c r="G17" s="145"/>
      <c r="H17" s="145"/>
      <c r="I17" s="151"/>
    </row>
    <row r="18" spans="1:10" x14ac:dyDescent="0.25">
      <c r="A18" s="1"/>
      <c r="B18" s="1"/>
      <c r="C18" s="1"/>
      <c r="D18" s="1"/>
      <c r="E18" s="1"/>
      <c r="F18" s="125"/>
      <c r="G18" s="107"/>
      <c r="H18" s="107"/>
      <c r="I18" s="119"/>
    </row>
    <row r="19" spans="1:10" x14ac:dyDescent="0.25">
      <c r="A19" s="1"/>
      <c r="B19" s="1"/>
      <c r="C19" s="1"/>
      <c r="D19" s="1"/>
      <c r="E19" s="1"/>
      <c r="F19" s="119"/>
      <c r="G19" s="107"/>
      <c r="H19" s="107"/>
      <c r="I19" s="123"/>
    </row>
    <row r="20" spans="1:10" x14ac:dyDescent="0.25">
      <c r="A20" s="1"/>
      <c r="B20" s="1"/>
      <c r="C20" s="1"/>
      <c r="D20" s="1"/>
      <c r="E20" s="1"/>
      <c r="F20" s="139"/>
      <c r="G20" s="107"/>
      <c r="H20" s="107"/>
      <c r="I20" s="123"/>
    </row>
    <row r="21" spans="1:10" x14ac:dyDescent="0.25">
      <c r="A21" s="115"/>
      <c r="B21" s="115"/>
      <c r="C21" s="115"/>
      <c r="D21" s="115"/>
      <c r="E21" s="115"/>
      <c r="F21" s="115"/>
      <c r="G21" s="126"/>
      <c r="H21" s="127"/>
      <c r="I21" s="102"/>
    </row>
    <row r="22" spans="1:10" x14ac:dyDescent="0.25">
      <c r="A22" s="140"/>
      <c r="B22" s="141"/>
      <c r="C22" s="141"/>
      <c r="D22" s="141"/>
      <c r="E22" s="142"/>
      <c r="F22" s="154"/>
      <c r="G22" s="154"/>
      <c r="H22" s="154"/>
      <c r="I22" s="154"/>
    </row>
    <row r="23" spans="1:10" x14ac:dyDescent="0.25">
      <c r="A23" s="130"/>
      <c r="B23" s="131"/>
      <c r="C23" s="131"/>
      <c r="D23" s="131"/>
      <c r="E23" s="132"/>
      <c r="F23" s="127"/>
      <c r="G23" s="127"/>
      <c r="H23" s="127"/>
      <c r="I23" s="127"/>
    </row>
    <row r="24" spans="1:10" x14ac:dyDescent="0.25">
      <c r="A24" s="140"/>
      <c r="B24" s="141"/>
      <c r="C24" s="141"/>
      <c r="D24" s="141"/>
      <c r="E24" s="142"/>
      <c r="F24" s="143"/>
      <c r="G24" s="144"/>
      <c r="H24" s="144"/>
      <c r="I24" s="128"/>
    </row>
    <row r="25" spans="1:10" x14ac:dyDescent="0.25">
      <c r="A25" s="130"/>
      <c r="B25" s="131"/>
      <c r="C25" s="131"/>
      <c r="D25" s="131"/>
      <c r="E25" s="132"/>
      <c r="F25" s="133"/>
      <c r="G25" s="135"/>
      <c r="H25" s="136"/>
      <c r="I25" s="102"/>
    </row>
    <row r="26" spans="1:10" x14ac:dyDescent="0.25">
      <c r="A26" s="105"/>
      <c r="B26" s="135"/>
      <c r="C26" s="135"/>
      <c r="D26" s="135"/>
      <c r="E26" s="134"/>
      <c r="F26" s="134"/>
      <c r="G26" s="135"/>
      <c r="H26" s="136"/>
      <c r="I26" s="102"/>
    </row>
    <row r="27" spans="1:10" ht="19.2" x14ac:dyDescent="0.25">
      <c r="A27" s="28">
        <f>COUNTA(A6:A26)</f>
        <v>6</v>
      </c>
      <c r="B27" s="28">
        <f>SUM(B6:B26)</f>
        <v>2</v>
      </c>
      <c r="C27" s="28">
        <f>SUM(C6:C26)</f>
        <v>32</v>
      </c>
      <c r="D27" s="28">
        <f>SUM(D6:D26)</f>
        <v>0</v>
      </c>
      <c r="E27" s="28"/>
      <c r="F27" s="28">
        <f>COUNTA(F6:F26)</f>
        <v>9</v>
      </c>
      <c r="G27" s="28">
        <f>SUM(G6:G26)</f>
        <v>54</v>
      </c>
      <c r="H27" s="28">
        <f>SUM(H6:H26)</f>
        <v>0</v>
      </c>
      <c r="I27" s="28"/>
      <c r="J27" s="11"/>
    </row>
    <row r="28" spans="1:10" x14ac:dyDescent="0.25">
      <c r="F28" s="8"/>
    </row>
    <row r="29" spans="1:10" x14ac:dyDescent="0.25">
      <c r="F29" s="8"/>
    </row>
    <row r="30" spans="1:10" ht="17.399999999999999" x14ac:dyDescent="0.25">
      <c r="A30" s="191" t="s">
        <v>43</v>
      </c>
      <c r="B30" s="192"/>
      <c r="C30" s="192"/>
      <c r="D30" s="192"/>
      <c r="E30" s="192"/>
      <c r="F30" s="192"/>
      <c r="I30" s="6"/>
    </row>
    <row r="31" spans="1:10" ht="66" x14ac:dyDescent="0.25">
      <c r="A31" s="17" t="s">
        <v>6</v>
      </c>
      <c r="B31" s="17" t="s">
        <v>1</v>
      </c>
      <c r="C31" s="18" t="s">
        <v>11</v>
      </c>
      <c r="D31" s="18" t="s">
        <v>9</v>
      </c>
      <c r="E31" s="193" t="s">
        <v>10</v>
      </c>
      <c r="F31" s="194"/>
    </row>
    <row r="32" spans="1:10" x14ac:dyDescent="0.25">
      <c r="A32" s="148" t="s">
        <v>44</v>
      </c>
      <c r="B32" s="153">
        <v>46223</v>
      </c>
      <c r="C32" s="148">
        <v>2</v>
      </c>
      <c r="D32" s="148">
        <v>2</v>
      </c>
      <c r="E32" s="148" t="s">
        <v>45</v>
      </c>
      <c r="F32" s="148"/>
      <c r="G32" s="21"/>
      <c r="H32" s="21"/>
      <c r="I32" s="21"/>
      <c r="J32" s="21"/>
    </row>
    <row r="33" spans="1:10" x14ac:dyDescent="0.25">
      <c r="A33" s="148" t="s">
        <v>46</v>
      </c>
      <c r="B33" s="153">
        <v>46237</v>
      </c>
      <c r="C33" s="148">
        <v>1</v>
      </c>
      <c r="D33" s="148">
        <v>1</v>
      </c>
      <c r="E33" s="148" t="s">
        <v>47</v>
      </c>
      <c r="F33" s="148"/>
      <c r="G33" s="21"/>
      <c r="H33" s="21"/>
      <c r="I33" s="21"/>
      <c r="J33" s="21"/>
    </row>
    <row r="34" spans="1:10" x14ac:dyDescent="0.25">
      <c r="A34" s="148" t="s">
        <v>48</v>
      </c>
      <c r="B34" s="153">
        <v>46282</v>
      </c>
      <c r="C34" s="148">
        <v>1</v>
      </c>
      <c r="D34" s="148">
        <v>1</v>
      </c>
      <c r="E34" s="148" t="s">
        <v>47</v>
      </c>
      <c r="F34" s="148"/>
      <c r="G34" s="21"/>
      <c r="H34" s="21"/>
      <c r="I34" s="21"/>
      <c r="J34" s="21"/>
    </row>
    <row r="35" spans="1:10" x14ac:dyDescent="0.25">
      <c r="A35" s="148" t="s">
        <v>49</v>
      </c>
      <c r="B35" s="153">
        <v>46297</v>
      </c>
      <c r="C35" s="148">
        <v>6</v>
      </c>
      <c r="D35" s="148">
        <v>6</v>
      </c>
      <c r="E35" s="148" t="s">
        <v>50</v>
      </c>
      <c r="F35" s="148"/>
      <c r="G35" s="21"/>
      <c r="H35" s="21"/>
      <c r="I35" s="21"/>
      <c r="J35" s="21"/>
    </row>
    <row r="36" spans="1:10" x14ac:dyDescent="0.25">
      <c r="A36" s="148" t="s">
        <v>51</v>
      </c>
      <c r="B36" s="153">
        <v>46293</v>
      </c>
      <c r="C36" s="148">
        <v>48</v>
      </c>
      <c r="D36" s="148">
        <v>48</v>
      </c>
      <c r="E36" s="148" t="s">
        <v>50</v>
      </c>
      <c r="F36" s="148"/>
      <c r="G36" s="21"/>
      <c r="H36" s="21"/>
      <c r="I36" s="21"/>
      <c r="J36" s="21"/>
    </row>
    <row r="37" spans="1:10" x14ac:dyDescent="0.25">
      <c r="A37" s="148" t="s">
        <v>52</v>
      </c>
      <c r="B37" s="153">
        <v>46293</v>
      </c>
      <c r="C37" s="148">
        <v>3</v>
      </c>
      <c r="D37" s="148">
        <v>3</v>
      </c>
      <c r="E37" s="148" t="s">
        <v>53</v>
      </c>
      <c r="F37" s="148"/>
      <c r="G37" s="21"/>
      <c r="H37" s="21"/>
      <c r="I37" s="21"/>
      <c r="J37" s="21"/>
    </row>
    <row r="38" spans="1:10" x14ac:dyDescent="0.25">
      <c r="A38" s="148"/>
      <c r="B38" s="148"/>
      <c r="C38" s="148"/>
      <c r="D38" s="148"/>
      <c r="E38" s="148"/>
      <c r="F38" s="148"/>
      <c r="G38" s="21"/>
      <c r="H38" s="21"/>
      <c r="I38" s="21"/>
      <c r="J38" s="21"/>
    </row>
    <row r="39" spans="1:10" ht="15" x14ac:dyDescent="0.25">
      <c r="A39" s="10"/>
      <c r="B39" s="20"/>
      <c r="C39" s="22"/>
      <c r="D39" s="22">
        <f>SUM(D32:D38)</f>
        <v>61</v>
      </c>
      <c r="E39" s="182"/>
      <c r="F39" s="183"/>
      <c r="G39" s="21"/>
      <c r="H39" s="21"/>
      <c r="I39" s="21"/>
      <c r="J39" s="21"/>
    </row>
    <row r="40" spans="1:10" x14ac:dyDescent="0.25">
      <c r="H40" s="21"/>
      <c r="I40" s="21"/>
      <c r="J40" s="21"/>
    </row>
    <row r="45" spans="1:10" x14ac:dyDescent="0.25">
      <c r="F45" s="8"/>
    </row>
    <row r="46" spans="1:10" x14ac:dyDescent="0.25">
      <c r="F46" s="8"/>
    </row>
    <row r="47" spans="1:10" x14ac:dyDescent="0.25">
      <c r="F47" s="8"/>
    </row>
    <row r="48" spans="1:10" x14ac:dyDescent="0.25">
      <c r="F48" s="8"/>
    </row>
    <row r="49" spans="5:6" x14ac:dyDescent="0.25">
      <c r="F49" s="8"/>
    </row>
    <row r="50" spans="5:6" x14ac:dyDescent="0.25">
      <c r="F50" s="8"/>
    </row>
    <row r="51" spans="5:6" x14ac:dyDescent="0.25">
      <c r="F51" s="8"/>
    </row>
    <row r="52" spans="5:6" x14ac:dyDescent="0.25">
      <c r="F52" s="8"/>
    </row>
    <row r="53" spans="5:6" x14ac:dyDescent="0.25">
      <c r="F53" s="8"/>
    </row>
    <row r="54" spans="5:6" x14ac:dyDescent="0.25">
      <c r="F54" s="8"/>
    </row>
    <row r="55" spans="5:6" x14ac:dyDescent="0.25">
      <c r="F55" s="8"/>
    </row>
    <row r="56" spans="5:6" x14ac:dyDescent="0.25">
      <c r="F56" s="8"/>
    </row>
    <row r="57" spans="5:6" x14ac:dyDescent="0.25">
      <c r="F57" s="8"/>
    </row>
    <row r="58" spans="5:6" x14ac:dyDescent="0.25">
      <c r="F58" s="8"/>
    </row>
    <row r="59" spans="5:6" x14ac:dyDescent="0.25">
      <c r="F59" s="8"/>
    </row>
    <row r="60" spans="5:6" x14ac:dyDescent="0.25">
      <c r="F60" s="8"/>
    </row>
    <row r="61" spans="5:6" x14ac:dyDescent="0.25">
      <c r="F61" s="8"/>
    </row>
    <row r="62" spans="5:6" x14ac:dyDescent="0.25">
      <c r="F62" s="8"/>
    </row>
    <row r="63" spans="5:6" x14ac:dyDescent="0.25">
      <c r="F63" s="8"/>
    </row>
    <row r="64" spans="5:6" ht="17.399999999999999" x14ac:dyDescent="0.3">
      <c r="E64" s="4"/>
      <c r="F64" s="8"/>
    </row>
    <row r="65" spans="1:6" x14ac:dyDescent="0.25">
      <c r="F65" s="8"/>
    </row>
    <row r="66" spans="1:6" x14ac:dyDescent="0.25">
      <c r="A66" s="39" t="s">
        <v>60</v>
      </c>
      <c r="B66" s="35">
        <v>1</v>
      </c>
      <c r="C66" s="34">
        <v>0</v>
      </c>
      <c r="D66" s="34" t="s">
        <v>61</v>
      </c>
      <c r="F66" s="8"/>
    </row>
    <row r="67" spans="1:6" ht="17.399999999999999" x14ac:dyDescent="0.3">
      <c r="A67" s="2" t="s">
        <v>62</v>
      </c>
      <c r="B67" s="35">
        <v>1</v>
      </c>
      <c r="C67" s="34">
        <v>0</v>
      </c>
      <c r="D67" s="2" t="s">
        <v>63</v>
      </c>
      <c r="E67" s="4"/>
      <c r="F67" s="8"/>
    </row>
    <row r="68" spans="1:6" ht="17.399999999999999" x14ac:dyDescent="0.3">
      <c r="E68" s="4"/>
      <c r="F68" s="8"/>
    </row>
    <row r="69" spans="1:6" ht="19.2" x14ac:dyDescent="0.45">
      <c r="A69" s="7" t="s">
        <v>64</v>
      </c>
      <c r="B69" s="7">
        <v>1</v>
      </c>
      <c r="C69" s="7">
        <v>0</v>
      </c>
      <c r="D69" s="7" t="s">
        <v>65</v>
      </c>
      <c r="E69" s="4"/>
    </row>
    <row r="70" spans="1:6" ht="17.399999999999999" x14ac:dyDescent="0.3">
      <c r="A70" s="52"/>
      <c r="E70" s="4"/>
    </row>
    <row r="71" spans="1:6" x14ac:dyDescent="0.25">
      <c r="A71" s="3"/>
      <c r="B71" s="52"/>
      <c r="C71" s="52"/>
      <c r="D71" s="52"/>
    </row>
    <row r="72" spans="1:6" ht="17.399999999999999" x14ac:dyDescent="0.3">
      <c r="A72" s="4"/>
    </row>
    <row r="73" spans="1:6" ht="231" x14ac:dyDescent="0.3">
      <c r="A73" s="85" t="s">
        <v>66</v>
      </c>
      <c r="B73" s="86" t="s">
        <v>67</v>
      </c>
      <c r="E73" s="4"/>
    </row>
  </sheetData>
  <mergeCells count="6">
    <mergeCell ref="E39:F39"/>
    <mergeCell ref="A1:I1"/>
    <mergeCell ref="A4:E4"/>
    <mergeCell ref="F4:I4"/>
    <mergeCell ref="A30:F30"/>
    <mergeCell ref="E31:F31"/>
  </mergeCells>
  <hyperlinks>
    <hyperlink ref="B73" r:id="rId1" xr:uid="{708BA2E6-371E-4D32-ACEB-FB2E4379636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3D89-EA94-4843-82DD-774C94EAC0BC}">
  <dimension ref="A1:J73"/>
  <sheetViews>
    <sheetView topLeftCell="A5" workbookViewId="0">
      <selection activeCell="A20" sqref="A20"/>
    </sheetView>
  </sheetViews>
  <sheetFormatPr defaultRowHeight="14.4" x14ac:dyDescent="0.25"/>
  <cols>
    <col min="1" max="1" width="29.109375" customWidth="1"/>
    <col min="2" max="2" width="11.88671875" bestFit="1" customWidth="1"/>
    <col min="5" max="5" width="27.109375" customWidth="1"/>
    <col min="6" max="6" width="35.21875" customWidth="1"/>
    <col min="9" max="9" width="36.33203125" customWidth="1"/>
  </cols>
  <sheetData>
    <row r="1" spans="1:10" ht="17.399999999999999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17.399999999999999" x14ac:dyDescent="0.25">
      <c r="A2" s="13" t="s">
        <v>1</v>
      </c>
      <c r="B2" s="14">
        <v>46297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7.399999999999999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69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ht="20.25" customHeight="1" x14ac:dyDescent="0.25">
      <c r="A6" s="147" t="s">
        <v>251</v>
      </c>
      <c r="B6" s="145">
        <v>24</v>
      </c>
      <c r="C6" s="145">
        <v>0</v>
      </c>
      <c r="D6" s="145">
        <v>0</v>
      </c>
      <c r="E6" s="147" t="s">
        <v>298</v>
      </c>
      <c r="F6" s="148" t="s">
        <v>299</v>
      </c>
      <c r="G6" s="145">
        <v>1</v>
      </c>
      <c r="H6" s="145">
        <v>0</v>
      </c>
      <c r="I6" s="148" t="s">
        <v>300</v>
      </c>
      <c r="J6" s="38"/>
    </row>
    <row r="7" spans="1:10" ht="20.25" customHeight="1" x14ac:dyDescent="0.25">
      <c r="A7" s="147" t="s">
        <v>301</v>
      </c>
      <c r="B7" s="145">
        <v>4</v>
      </c>
      <c r="C7" s="145">
        <v>0</v>
      </c>
      <c r="D7" s="145">
        <v>0</v>
      </c>
      <c r="E7" s="147" t="s">
        <v>302</v>
      </c>
      <c r="F7" s="148" t="s">
        <v>303</v>
      </c>
      <c r="G7" s="146">
        <v>6</v>
      </c>
      <c r="H7" s="145">
        <v>0</v>
      </c>
      <c r="I7" s="148" t="s">
        <v>304</v>
      </c>
      <c r="J7" s="38"/>
    </row>
    <row r="8" spans="1:10" ht="20.25" customHeight="1" x14ac:dyDescent="0.25">
      <c r="A8" s="147" t="s">
        <v>204</v>
      </c>
      <c r="B8" s="145">
        <v>7</v>
      </c>
      <c r="C8" s="145">
        <v>0</v>
      </c>
      <c r="D8" s="145">
        <v>0</v>
      </c>
      <c r="E8" s="145" t="s">
        <v>305</v>
      </c>
      <c r="F8" s="147" t="s">
        <v>219</v>
      </c>
      <c r="G8" s="149">
        <v>6</v>
      </c>
      <c r="H8" s="149">
        <v>0</v>
      </c>
      <c r="I8" s="148" t="s">
        <v>306</v>
      </c>
      <c r="J8" s="38"/>
    </row>
    <row r="9" spans="1:10" ht="20.25" customHeight="1" x14ac:dyDescent="0.25">
      <c r="A9" s="147" t="s">
        <v>219</v>
      </c>
      <c r="B9" s="149">
        <v>6</v>
      </c>
      <c r="C9" s="149">
        <v>0</v>
      </c>
      <c r="D9" s="149">
        <v>0</v>
      </c>
      <c r="E9" s="148" t="s">
        <v>306</v>
      </c>
      <c r="F9" s="147" t="s">
        <v>307</v>
      </c>
      <c r="G9" s="149">
        <v>61</v>
      </c>
      <c r="H9" s="149">
        <v>0</v>
      </c>
      <c r="I9" s="148" t="s">
        <v>308</v>
      </c>
      <c r="J9" s="21"/>
    </row>
    <row r="10" spans="1:10" ht="20.25" customHeight="1" x14ac:dyDescent="0.25">
      <c r="A10" s="147" t="s">
        <v>307</v>
      </c>
      <c r="B10" s="149">
        <v>61</v>
      </c>
      <c r="C10" s="149">
        <v>0</v>
      </c>
      <c r="D10" s="149">
        <v>0</v>
      </c>
      <c r="E10" s="148" t="s">
        <v>308</v>
      </c>
      <c r="F10" s="148" t="s">
        <v>309</v>
      </c>
      <c r="G10" s="150">
        <v>2</v>
      </c>
      <c r="H10" s="150">
        <v>0</v>
      </c>
      <c r="I10" s="148" t="s">
        <v>310</v>
      </c>
      <c r="J10" s="21"/>
    </row>
    <row r="11" spans="1:10" ht="20.25" customHeight="1" x14ac:dyDescent="0.25">
      <c r="A11" s="147" t="s">
        <v>311</v>
      </c>
      <c r="B11" s="147">
        <v>22</v>
      </c>
      <c r="C11" s="147">
        <v>0</v>
      </c>
      <c r="D11" s="147">
        <v>0</v>
      </c>
      <c r="E11" s="147" t="s">
        <v>312</v>
      </c>
      <c r="F11" s="148" t="s">
        <v>313</v>
      </c>
      <c r="G11" s="150">
        <v>22</v>
      </c>
      <c r="H11" s="150">
        <v>0</v>
      </c>
      <c r="I11" s="148" t="s">
        <v>314</v>
      </c>
      <c r="J11" s="21"/>
    </row>
    <row r="12" spans="1:10" ht="20.25" customHeight="1" x14ac:dyDescent="0.25">
      <c r="A12" s="147" t="s">
        <v>315</v>
      </c>
      <c r="B12" s="145">
        <v>74</v>
      </c>
      <c r="C12" s="145">
        <v>0</v>
      </c>
      <c r="D12" s="145">
        <v>0</v>
      </c>
      <c r="E12" s="151" t="s">
        <v>316</v>
      </c>
      <c r="F12" s="148"/>
      <c r="G12" s="146"/>
      <c r="H12" s="145"/>
      <c r="I12" s="148"/>
      <c r="J12" s="21"/>
    </row>
    <row r="13" spans="1:10" ht="20.25" customHeight="1" x14ac:dyDescent="0.25">
      <c r="A13" s="147" t="s">
        <v>317</v>
      </c>
      <c r="B13" s="145">
        <v>100</v>
      </c>
      <c r="C13" s="145">
        <v>0</v>
      </c>
      <c r="D13" s="145">
        <v>0</v>
      </c>
      <c r="E13" s="151" t="s">
        <v>318</v>
      </c>
      <c r="F13" s="148"/>
      <c r="G13" s="146"/>
      <c r="H13" s="145"/>
      <c r="I13" s="148"/>
      <c r="J13" s="21"/>
    </row>
    <row r="14" spans="1:10" ht="20.25" customHeight="1" x14ac:dyDescent="0.25">
      <c r="A14" s="147" t="s">
        <v>319</v>
      </c>
      <c r="B14" s="150">
        <v>100</v>
      </c>
      <c r="C14" s="150">
        <v>0</v>
      </c>
      <c r="D14" s="150">
        <v>0</v>
      </c>
      <c r="E14" s="150" t="s">
        <v>320</v>
      </c>
      <c r="F14" s="147"/>
      <c r="G14" s="146"/>
      <c r="H14" s="145"/>
      <c r="I14" s="152"/>
      <c r="J14" s="21"/>
    </row>
    <row r="15" spans="1:10" ht="20.25" customHeight="1" x14ac:dyDescent="0.25">
      <c r="A15" s="148" t="s">
        <v>49</v>
      </c>
      <c r="B15" s="150">
        <v>6</v>
      </c>
      <c r="C15" s="150">
        <v>0</v>
      </c>
      <c r="D15" s="150">
        <v>6</v>
      </c>
      <c r="E15" s="148" t="s">
        <v>321</v>
      </c>
      <c r="F15" s="147"/>
      <c r="G15" s="145"/>
      <c r="H15" s="145"/>
      <c r="I15" s="147"/>
    </row>
    <row r="16" spans="1:10" ht="20.25" customHeight="1" x14ac:dyDescent="0.25">
      <c r="A16" s="148" t="s">
        <v>195</v>
      </c>
      <c r="B16" s="150">
        <v>1</v>
      </c>
      <c r="C16" s="150">
        <v>0</v>
      </c>
      <c r="D16" s="150">
        <v>0</v>
      </c>
      <c r="E16" s="150" t="s">
        <v>322</v>
      </c>
      <c r="F16" s="145"/>
      <c r="G16" s="146"/>
      <c r="H16" s="145"/>
      <c r="I16" s="147"/>
    </row>
    <row r="17" spans="1:10" ht="20.25" customHeight="1" x14ac:dyDescent="0.25">
      <c r="A17" s="148" t="s">
        <v>313</v>
      </c>
      <c r="B17" s="150">
        <v>22</v>
      </c>
      <c r="C17" s="150">
        <v>0</v>
      </c>
      <c r="D17" s="150">
        <v>0</v>
      </c>
      <c r="E17" s="148" t="s">
        <v>314</v>
      </c>
      <c r="F17" s="147"/>
      <c r="G17" s="145"/>
      <c r="H17" s="145"/>
      <c r="I17" s="151"/>
    </row>
    <row r="18" spans="1:10" ht="20.25" customHeight="1" x14ac:dyDescent="0.25">
      <c r="A18" s="1"/>
      <c r="B18" s="1"/>
      <c r="C18" s="1"/>
      <c r="D18" s="1"/>
      <c r="E18" s="1"/>
      <c r="F18" s="125"/>
      <c r="G18" s="107"/>
      <c r="H18" s="107"/>
      <c r="I18" s="119"/>
    </row>
    <row r="19" spans="1:10" ht="20.25" customHeight="1" x14ac:dyDescent="0.25">
      <c r="A19" s="1"/>
      <c r="B19" s="1"/>
      <c r="C19" s="1"/>
      <c r="D19" s="1"/>
      <c r="E19" s="1"/>
      <c r="F19" s="119"/>
      <c r="G19" s="107"/>
      <c r="H19" s="107"/>
      <c r="I19" s="123"/>
    </row>
    <row r="20" spans="1:10" ht="20.25" customHeight="1" x14ac:dyDescent="0.25">
      <c r="A20" s="1"/>
      <c r="B20" s="1"/>
      <c r="C20" s="1"/>
      <c r="D20" s="1"/>
      <c r="E20" s="1"/>
      <c r="F20" s="139"/>
      <c r="G20" s="107"/>
      <c r="H20" s="107"/>
      <c r="I20" s="123"/>
    </row>
    <row r="21" spans="1:10" ht="15" customHeight="1" x14ac:dyDescent="0.25">
      <c r="A21" s="115"/>
      <c r="B21" s="115"/>
      <c r="C21" s="115"/>
      <c r="D21" s="115"/>
      <c r="E21" s="115"/>
      <c r="F21" s="115"/>
      <c r="G21" s="126"/>
      <c r="H21" s="127"/>
      <c r="I21" s="102"/>
    </row>
    <row r="22" spans="1:10" ht="15" customHeight="1" x14ac:dyDescent="0.25">
      <c r="A22" s="130"/>
      <c r="B22" s="131"/>
      <c r="C22" s="131"/>
      <c r="D22" s="131"/>
      <c r="E22" s="132"/>
      <c r="F22" s="127"/>
      <c r="G22" s="127"/>
      <c r="H22" s="127"/>
      <c r="I22" s="127"/>
    </row>
    <row r="23" spans="1:10" ht="15" customHeight="1" x14ac:dyDescent="0.25">
      <c r="A23" s="130"/>
      <c r="B23" s="131"/>
      <c r="C23" s="131"/>
      <c r="D23" s="131"/>
      <c r="E23" s="132"/>
      <c r="F23" s="127"/>
      <c r="G23" s="127"/>
      <c r="H23" s="127"/>
      <c r="I23" s="127"/>
    </row>
    <row r="24" spans="1:10" x14ac:dyDescent="0.25">
      <c r="A24" s="140"/>
      <c r="B24" s="141"/>
      <c r="C24" s="141"/>
      <c r="D24" s="141"/>
      <c r="E24" s="142"/>
      <c r="F24" s="143"/>
      <c r="G24" s="144"/>
      <c r="H24" s="144"/>
      <c r="I24" s="128"/>
    </row>
    <row r="25" spans="1:10" x14ac:dyDescent="0.25">
      <c r="A25" s="130"/>
      <c r="B25" s="131"/>
      <c r="C25" s="131"/>
      <c r="D25" s="131"/>
      <c r="E25" s="132"/>
      <c r="F25" s="133"/>
      <c r="G25" s="135"/>
      <c r="H25" s="136"/>
      <c r="I25" s="102"/>
    </row>
    <row r="26" spans="1:10" x14ac:dyDescent="0.25">
      <c r="A26" s="105"/>
      <c r="B26" s="135"/>
      <c r="C26" s="135"/>
      <c r="D26" s="135"/>
      <c r="E26" s="134"/>
      <c r="F26" s="134"/>
      <c r="G26" s="135"/>
      <c r="H26" s="136"/>
      <c r="I26" s="102"/>
    </row>
    <row r="27" spans="1:10" ht="19.2" x14ac:dyDescent="0.25">
      <c r="A27" s="28">
        <f>COUNTA(A6:A26)</f>
        <v>12</v>
      </c>
      <c r="B27" s="28">
        <f>SUM(B6:B26)</f>
        <v>427</v>
      </c>
      <c r="C27" s="28">
        <f>SUM(C6:C26)</f>
        <v>0</v>
      </c>
      <c r="D27" s="28">
        <f>SUM(D6:D26)</f>
        <v>6</v>
      </c>
      <c r="E27" s="28"/>
      <c r="F27" s="28">
        <f>COUNTA(F6:F26)</f>
        <v>6</v>
      </c>
      <c r="G27" s="28">
        <f>SUM(G6:G26)</f>
        <v>98</v>
      </c>
      <c r="H27" s="28">
        <f>SUM(H6:H26)</f>
        <v>0</v>
      </c>
      <c r="I27" s="28"/>
      <c r="J27" s="11"/>
    </row>
    <row r="28" spans="1:10" x14ac:dyDescent="0.25">
      <c r="F28" s="8"/>
    </row>
    <row r="29" spans="1:10" x14ac:dyDescent="0.25">
      <c r="F29" s="8"/>
    </row>
    <row r="30" spans="1:10" ht="17.399999999999999" x14ac:dyDescent="0.25">
      <c r="A30" s="191" t="s">
        <v>43</v>
      </c>
      <c r="B30" s="192"/>
      <c r="C30" s="192"/>
      <c r="D30" s="192"/>
      <c r="E30" s="192"/>
      <c r="F30" s="192"/>
      <c r="I30" s="6"/>
    </row>
    <row r="31" spans="1:10" ht="66" x14ac:dyDescent="0.25">
      <c r="A31" s="17" t="s">
        <v>6</v>
      </c>
      <c r="B31" s="17" t="s">
        <v>1</v>
      </c>
      <c r="C31" s="18" t="s">
        <v>11</v>
      </c>
      <c r="D31" s="18" t="s">
        <v>9</v>
      </c>
      <c r="E31" s="193" t="s">
        <v>10</v>
      </c>
      <c r="F31" s="194"/>
    </row>
    <row r="32" spans="1:10" x14ac:dyDescent="0.25">
      <c r="A32" s="148" t="s">
        <v>44</v>
      </c>
      <c r="B32" s="153">
        <v>46223</v>
      </c>
      <c r="C32" s="148">
        <v>2</v>
      </c>
      <c r="D32" s="148">
        <v>2</v>
      </c>
      <c r="E32" s="148" t="s">
        <v>45</v>
      </c>
      <c r="F32" s="148"/>
      <c r="G32" s="21"/>
      <c r="H32" s="21"/>
      <c r="I32" s="21"/>
      <c r="J32" s="21"/>
    </row>
    <row r="33" spans="1:10" x14ac:dyDescent="0.25">
      <c r="A33" s="148" t="s">
        <v>46</v>
      </c>
      <c r="B33" s="153">
        <v>46237</v>
      </c>
      <c r="C33" s="148">
        <v>1</v>
      </c>
      <c r="D33" s="148">
        <v>1</v>
      </c>
      <c r="E33" s="148" t="s">
        <v>47</v>
      </c>
      <c r="F33" s="148"/>
      <c r="G33" s="21"/>
      <c r="H33" s="21"/>
      <c r="I33" s="21"/>
      <c r="J33" s="21"/>
    </row>
    <row r="34" spans="1:10" x14ac:dyDescent="0.25">
      <c r="A34" s="148" t="s">
        <v>48</v>
      </c>
      <c r="B34" s="153">
        <v>46282</v>
      </c>
      <c r="C34" s="148">
        <v>1</v>
      </c>
      <c r="D34" s="148">
        <v>1</v>
      </c>
      <c r="E34" s="148" t="s">
        <v>47</v>
      </c>
      <c r="F34" s="148"/>
      <c r="G34" s="21"/>
      <c r="H34" s="21"/>
      <c r="I34" s="21"/>
      <c r="J34" s="21"/>
    </row>
    <row r="35" spans="1:10" x14ac:dyDescent="0.25">
      <c r="A35" s="148" t="s">
        <v>49</v>
      </c>
      <c r="B35" s="153">
        <v>46297</v>
      </c>
      <c r="C35" s="148">
        <v>6</v>
      </c>
      <c r="D35" s="148">
        <v>6</v>
      </c>
      <c r="E35" s="148" t="s">
        <v>50</v>
      </c>
      <c r="F35" s="148"/>
      <c r="G35" s="21"/>
      <c r="H35" s="21"/>
      <c r="I35" s="21"/>
      <c r="J35" s="21"/>
    </row>
    <row r="36" spans="1:10" x14ac:dyDescent="0.25">
      <c r="A36" s="148" t="s">
        <v>51</v>
      </c>
      <c r="B36" s="153">
        <v>46293</v>
      </c>
      <c r="C36" s="148">
        <v>48</v>
      </c>
      <c r="D36" s="148">
        <v>48</v>
      </c>
      <c r="E36" s="148" t="s">
        <v>50</v>
      </c>
      <c r="F36" s="148"/>
      <c r="G36" s="21"/>
      <c r="H36" s="21"/>
      <c r="I36" s="21"/>
      <c r="J36" s="21"/>
    </row>
    <row r="37" spans="1:10" x14ac:dyDescent="0.25">
      <c r="A37" s="148" t="s">
        <v>52</v>
      </c>
      <c r="B37" s="153">
        <v>46293</v>
      </c>
      <c r="C37" s="148">
        <v>3</v>
      </c>
      <c r="D37" s="148">
        <v>3</v>
      </c>
      <c r="E37" s="148" t="s">
        <v>53</v>
      </c>
      <c r="F37" s="148"/>
      <c r="G37" s="21"/>
      <c r="H37" s="21"/>
      <c r="I37" s="21"/>
      <c r="J37" s="21"/>
    </row>
    <row r="38" spans="1:10" x14ac:dyDescent="0.25">
      <c r="A38" s="148"/>
      <c r="B38" s="148"/>
      <c r="C38" s="148"/>
      <c r="D38" s="148"/>
      <c r="E38" s="148"/>
      <c r="F38" s="148"/>
      <c r="G38" s="21"/>
      <c r="H38" s="21"/>
      <c r="I38" s="21"/>
      <c r="J38" s="21"/>
    </row>
    <row r="39" spans="1:10" ht="15" x14ac:dyDescent="0.25">
      <c r="A39" s="10"/>
      <c r="B39" s="20"/>
      <c r="C39" s="22"/>
      <c r="D39" s="22">
        <f>SUM(D32:D38)</f>
        <v>61</v>
      </c>
      <c r="E39" s="182"/>
      <c r="F39" s="183"/>
      <c r="G39" s="21"/>
      <c r="H39" s="21"/>
      <c r="I39" s="21"/>
      <c r="J39" s="21"/>
    </row>
    <row r="40" spans="1:10" x14ac:dyDescent="0.25">
      <c r="H40" s="21"/>
      <c r="I40" s="21"/>
      <c r="J40" s="21"/>
    </row>
    <row r="45" spans="1:10" x14ac:dyDescent="0.25">
      <c r="F45" s="8"/>
    </row>
    <row r="46" spans="1:10" x14ac:dyDescent="0.25">
      <c r="F46" s="8"/>
    </row>
    <row r="47" spans="1:10" x14ac:dyDescent="0.25">
      <c r="F47" s="8"/>
    </row>
    <row r="48" spans="1:10" x14ac:dyDescent="0.25">
      <c r="F48" s="8"/>
    </row>
    <row r="49" spans="5:6" x14ac:dyDescent="0.25">
      <c r="F49" s="8"/>
    </row>
    <row r="50" spans="5:6" x14ac:dyDescent="0.25">
      <c r="F50" s="8"/>
    </row>
    <row r="51" spans="5:6" x14ac:dyDescent="0.25">
      <c r="F51" s="8"/>
    </row>
    <row r="52" spans="5:6" x14ac:dyDescent="0.25">
      <c r="F52" s="8"/>
    </row>
    <row r="53" spans="5:6" x14ac:dyDescent="0.25">
      <c r="F53" s="8"/>
    </row>
    <row r="54" spans="5:6" x14ac:dyDescent="0.25">
      <c r="F54" s="8"/>
    </row>
    <row r="55" spans="5:6" x14ac:dyDescent="0.25">
      <c r="F55" s="8"/>
    </row>
    <row r="56" spans="5:6" x14ac:dyDescent="0.25">
      <c r="F56" s="8"/>
    </row>
    <row r="57" spans="5:6" x14ac:dyDescent="0.25">
      <c r="F57" s="8"/>
    </row>
    <row r="58" spans="5:6" x14ac:dyDescent="0.25">
      <c r="F58" s="8"/>
    </row>
    <row r="59" spans="5:6" x14ac:dyDescent="0.25">
      <c r="F59" s="8"/>
    </row>
    <row r="60" spans="5:6" x14ac:dyDescent="0.25">
      <c r="F60" s="8"/>
    </row>
    <row r="61" spans="5:6" x14ac:dyDescent="0.25">
      <c r="F61" s="8"/>
    </row>
    <row r="62" spans="5:6" x14ac:dyDescent="0.25">
      <c r="F62" s="8"/>
    </row>
    <row r="63" spans="5:6" x14ac:dyDescent="0.25">
      <c r="F63" s="8"/>
    </row>
    <row r="64" spans="5:6" ht="17.399999999999999" x14ac:dyDescent="0.3">
      <c r="E64" s="4"/>
      <c r="F64" s="8"/>
    </row>
    <row r="65" spans="1:6" x14ac:dyDescent="0.25">
      <c r="F65" s="8"/>
    </row>
    <row r="66" spans="1:6" x14ac:dyDescent="0.25">
      <c r="A66" s="39" t="s">
        <v>60</v>
      </c>
      <c r="B66" s="35">
        <v>1</v>
      </c>
      <c r="C66" s="34">
        <v>0</v>
      </c>
      <c r="D66" s="34" t="s">
        <v>61</v>
      </c>
      <c r="F66" s="8"/>
    </row>
    <row r="67" spans="1:6" ht="17.399999999999999" x14ac:dyDescent="0.3">
      <c r="A67" s="2" t="s">
        <v>62</v>
      </c>
      <c r="B67" s="35">
        <v>1</v>
      </c>
      <c r="C67" s="34">
        <v>0</v>
      </c>
      <c r="D67" s="2" t="s">
        <v>63</v>
      </c>
      <c r="E67" s="4"/>
      <c r="F67" s="8"/>
    </row>
    <row r="68" spans="1:6" ht="17.399999999999999" x14ac:dyDescent="0.3">
      <c r="E68" s="4"/>
      <c r="F68" s="8"/>
    </row>
    <row r="69" spans="1:6" ht="19.2" x14ac:dyDescent="0.45">
      <c r="A69" s="7" t="s">
        <v>64</v>
      </c>
      <c r="B69" s="7">
        <v>1</v>
      </c>
      <c r="C69" s="7">
        <v>0</v>
      </c>
      <c r="D69" s="7" t="s">
        <v>65</v>
      </c>
      <c r="E69" s="4"/>
    </row>
    <row r="70" spans="1:6" ht="17.399999999999999" x14ac:dyDescent="0.3">
      <c r="A70" s="52"/>
      <c r="E70" s="4"/>
    </row>
    <row r="71" spans="1:6" x14ac:dyDescent="0.25">
      <c r="A71" s="3"/>
      <c r="B71" s="52"/>
      <c r="C71" s="52"/>
      <c r="D71" s="52"/>
    </row>
    <row r="72" spans="1:6" ht="17.399999999999999" x14ac:dyDescent="0.3">
      <c r="A72" s="4"/>
    </row>
    <row r="73" spans="1:6" ht="231" x14ac:dyDescent="0.3">
      <c r="A73" s="85" t="s">
        <v>66</v>
      </c>
      <c r="B73" s="86" t="s">
        <v>67</v>
      </c>
      <c r="E73" s="4"/>
    </row>
  </sheetData>
  <mergeCells count="6">
    <mergeCell ref="E39:F39"/>
    <mergeCell ref="A1:I1"/>
    <mergeCell ref="A4:E4"/>
    <mergeCell ref="F4:I4"/>
    <mergeCell ref="A30:F30"/>
    <mergeCell ref="E31:F31"/>
  </mergeCells>
  <hyperlinks>
    <hyperlink ref="B73" r:id="rId1" xr:uid="{5D058DDC-6F2C-47ED-B13B-278732A2F95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AEB29-B35F-4557-99E8-A175236B5EE6}">
  <dimension ref="A1:J72"/>
  <sheetViews>
    <sheetView workbookViewId="0">
      <selection activeCell="F9" sqref="F9"/>
    </sheetView>
  </sheetViews>
  <sheetFormatPr defaultRowHeight="14.4" x14ac:dyDescent="0.25"/>
  <cols>
    <col min="1" max="1" width="36.44140625" customWidth="1"/>
    <col min="2" max="2" width="11.88671875" customWidth="1"/>
    <col min="3" max="3" width="13.33203125" customWidth="1"/>
    <col min="5" max="5" width="29.109375" customWidth="1"/>
    <col min="6" max="6" width="30.6640625" customWidth="1"/>
    <col min="9" max="9" width="26.109375" customWidth="1"/>
  </cols>
  <sheetData>
    <row r="1" spans="1:10" ht="17.399999999999999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17.399999999999999" x14ac:dyDescent="0.25">
      <c r="A2" s="13" t="s">
        <v>1</v>
      </c>
      <c r="B2" s="14">
        <v>46296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7.399999999999999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69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ht="20.25" customHeight="1" x14ac:dyDescent="0.25">
      <c r="A6" s="105" t="s">
        <v>323</v>
      </c>
      <c r="B6" s="97">
        <v>15</v>
      </c>
      <c r="C6" s="97">
        <v>0</v>
      </c>
      <c r="D6" s="97">
        <v>0</v>
      </c>
      <c r="E6" s="119" t="s">
        <v>324</v>
      </c>
      <c r="F6" s="121" t="s">
        <v>323</v>
      </c>
      <c r="G6" s="101">
        <v>15</v>
      </c>
      <c r="H6" s="97">
        <v>0</v>
      </c>
      <c r="I6" s="119" t="s">
        <v>324</v>
      </c>
      <c r="J6" s="38"/>
    </row>
    <row r="7" spans="1:10" ht="20.25" customHeight="1" x14ac:dyDescent="0.25">
      <c r="A7" s="105" t="s">
        <v>325</v>
      </c>
      <c r="B7" s="97">
        <v>0</v>
      </c>
      <c r="C7" s="97">
        <v>1</v>
      </c>
      <c r="D7" s="97">
        <v>0</v>
      </c>
      <c r="E7" s="122" t="s">
        <v>326</v>
      </c>
      <c r="F7" s="121" t="s">
        <v>327</v>
      </c>
      <c r="G7" s="101">
        <v>1</v>
      </c>
      <c r="H7" s="97">
        <v>0</v>
      </c>
      <c r="I7" s="105" t="s">
        <v>328</v>
      </c>
      <c r="J7" s="38"/>
    </row>
    <row r="8" spans="1:10" ht="20.25" customHeight="1" x14ac:dyDescent="0.25">
      <c r="A8" s="105" t="s">
        <v>201</v>
      </c>
      <c r="B8" s="97">
        <v>10</v>
      </c>
      <c r="C8" s="97">
        <v>0</v>
      </c>
      <c r="D8" s="97">
        <v>0</v>
      </c>
      <c r="E8" s="97" t="s">
        <v>329</v>
      </c>
      <c r="F8" s="121" t="s">
        <v>330</v>
      </c>
      <c r="G8" s="101">
        <v>2</v>
      </c>
      <c r="H8" s="97">
        <v>0</v>
      </c>
      <c r="I8" s="105" t="s">
        <v>331</v>
      </c>
      <c r="J8" s="38"/>
    </row>
    <row r="9" spans="1:10" ht="20.25" customHeight="1" x14ac:dyDescent="0.25">
      <c r="A9" s="105" t="s">
        <v>154</v>
      </c>
      <c r="B9" s="97">
        <v>3</v>
      </c>
      <c r="C9" s="97">
        <v>0</v>
      </c>
      <c r="D9" s="97">
        <v>0</v>
      </c>
      <c r="E9" s="122" t="s">
        <v>332</v>
      </c>
      <c r="F9" s="121" t="s">
        <v>333</v>
      </c>
      <c r="G9" s="101">
        <v>4</v>
      </c>
      <c r="H9" s="97">
        <v>0</v>
      </c>
      <c r="I9" s="105" t="s">
        <v>334</v>
      </c>
      <c r="J9" s="21"/>
    </row>
    <row r="10" spans="1:10" ht="20.25" customHeight="1" x14ac:dyDescent="0.25">
      <c r="A10" s="105" t="s">
        <v>335</v>
      </c>
      <c r="B10" s="97">
        <v>14</v>
      </c>
      <c r="C10" s="97">
        <v>0</v>
      </c>
      <c r="D10" s="97">
        <v>0</v>
      </c>
      <c r="E10" s="105" t="s">
        <v>336</v>
      </c>
      <c r="F10" s="121" t="s">
        <v>337</v>
      </c>
      <c r="G10" s="101">
        <v>1</v>
      </c>
      <c r="H10" s="97">
        <v>0</v>
      </c>
      <c r="I10" s="106" t="s">
        <v>338</v>
      </c>
      <c r="J10" s="21"/>
    </row>
    <row r="11" spans="1:10" ht="15" x14ac:dyDescent="0.25">
      <c r="A11" s="119" t="s">
        <v>339</v>
      </c>
      <c r="B11" s="105">
        <v>22</v>
      </c>
      <c r="C11" s="105">
        <v>0</v>
      </c>
      <c r="D11" s="105">
        <v>0</v>
      </c>
      <c r="E11" s="106" t="s">
        <v>340</v>
      </c>
      <c r="F11" s="121" t="s">
        <v>341</v>
      </c>
      <c r="G11" s="101">
        <v>3</v>
      </c>
      <c r="H11" s="97">
        <v>0</v>
      </c>
      <c r="I11" s="105" t="s">
        <v>342</v>
      </c>
      <c r="J11" s="21"/>
    </row>
    <row r="12" spans="1:10" x14ac:dyDescent="0.25">
      <c r="A12" s="119" t="s">
        <v>343</v>
      </c>
      <c r="B12" s="107">
        <v>74</v>
      </c>
      <c r="C12" s="107">
        <v>0</v>
      </c>
      <c r="D12" s="107">
        <v>0</v>
      </c>
      <c r="E12" s="119" t="s">
        <v>344</v>
      </c>
      <c r="F12" s="124" t="s">
        <v>345</v>
      </c>
      <c r="G12" s="107">
        <v>1</v>
      </c>
      <c r="H12" s="107">
        <v>0</v>
      </c>
      <c r="I12" s="119" t="s">
        <v>346</v>
      </c>
      <c r="J12" s="21"/>
    </row>
    <row r="13" spans="1:10" x14ac:dyDescent="0.25">
      <c r="A13" s="119" t="s">
        <v>347</v>
      </c>
      <c r="B13" s="107">
        <v>114</v>
      </c>
      <c r="C13" s="107">
        <v>0</v>
      </c>
      <c r="D13" s="107">
        <v>0</v>
      </c>
      <c r="E13" s="123" t="s">
        <v>348</v>
      </c>
      <c r="F13" s="121" t="s">
        <v>349</v>
      </c>
      <c r="G13" s="118">
        <v>22</v>
      </c>
      <c r="H13" s="107">
        <v>0</v>
      </c>
      <c r="I13" s="119" t="s">
        <v>350</v>
      </c>
      <c r="J13" s="21"/>
    </row>
    <row r="14" spans="1:10" x14ac:dyDescent="0.25">
      <c r="A14" s="123" t="s">
        <v>351</v>
      </c>
      <c r="B14" s="107">
        <v>61</v>
      </c>
      <c r="C14" s="107">
        <v>0</v>
      </c>
      <c r="D14" s="107">
        <v>0</v>
      </c>
      <c r="E14" s="102" t="s">
        <v>352</v>
      </c>
      <c r="F14" s="124" t="s">
        <v>339</v>
      </c>
      <c r="G14" s="118">
        <v>22</v>
      </c>
      <c r="H14" s="107">
        <v>0</v>
      </c>
      <c r="I14" s="106" t="s">
        <v>340</v>
      </c>
      <c r="J14" s="21"/>
    </row>
    <row r="15" spans="1:10" x14ac:dyDescent="0.25">
      <c r="A15" s="119" t="s">
        <v>353</v>
      </c>
      <c r="B15" s="107">
        <v>152</v>
      </c>
      <c r="C15" s="107">
        <v>0</v>
      </c>
      <c r="D15" s="107">
        <v>0</v>
      </c>
      <c r="E15" s="137" t="s">
        <v>354</v>
      </c>
      <c r="F15" s="124" t="s">
        <v>343</v>
      </c>
      <c r="G15" s="107">
        <v>74</v>
      </c>
      <c r="H15" s="107">
        <v>0</v>
      </c>
      <c r="I15" s="119" t="s">
        <v>344</v>
      </c>
    </row>
    <row r="16" spans="1:10" x14ac:dyDescent="0.25">
      <c r="A16" s="115" t="s">
        <v>355</v>
      </c>
      <c r="B16" s="107">
        <v>147</v>
      </c>
      <c r="C16" s="107">
        <v>0</v>
      </c>
      <c r="D16" s="107">
        <v>0</v>
      </c>
      <c r="E16" s="137" t="s">
        <v>356</v>
      </c>
      <c r="F16" s="107" t="s">
        <v>357</v>
      </c>
      <c r="G16" s="118">
        <v>2</v>
      </c>
      <c r="H16" s="107"/>
      <c r="I16" s="119" t="s">
        <v>350</v>
      </c>
    </row>
    <row r="17" spans="1:9" ht="15" x14ac:dyDescent="0.25">
      <c r="A17" s="120"/>
      <c r="B17" s="120"/>
      <c r="C17" s="120"/>
      <c r="D17" s="120"/>
      <c r="E17" s="120"/>
      <c r="F17" s="124" t="s">
        <v>347</v>
      </c>
      <c r="G17" s="107">
        <v>114</v>
      </c>
      <c r="H17" s="107">
        <v>0</v>
      </c>
      <c r="I17" s="123" t="s">
        <v>348</v>
      </c>
    </row>
    <row r="18" spans="1:9" ht="15" x14ac:dyDescent="0.25">
      <c r="A18" s="120"/>
      <c r="B18" s="120"/>
      <c r="C18" s="120"/>
      <c r="D18" s="120"/>
      <c r="E18" s="120"/>
      <c r="F18" s="125" t="s">
        <v>351</v>
      </c>
      <c r="G18" s="107">
        <v>61</v>
      </c>
      <c r="H18" s="107">
        <v>0</v>
      </c>
      <c r="I18" s="102" t="s">
        <v>352</v>
      </c>
    </row>
    <row r="19" spans="1:9" ht="15" x14ac:dyDescent="0.25">
      <c r="A19" s="120"/>
      <c r="B19" s="120"/>
      <c r="C19" s="120"/>
      <c r="D19" s="120"/>
      <c r="E19" s="120"/>
      <c r="F19" s="119" t="s">
        <v>353</v>
      </c>
      <c r="G19" s="107">
        <v>152</v>
      </c>
      <c r="H19" s="107">
        <v>0</v>
      </c>
      <c r="I19" s="137" t="s">
        <v>354</v>
      </c>
    </row>
    <row r="20" spans="1:9" ht="15" x14ac:dyDescent="0.25">
      <c r="A20" s="111"/>
      <c r="B20" s="111"/>
      <c r="C20" s="111"/>
      <c r="D20" s="111"/>
      <c r="E20" s="111"/>
      <c r="F20" s="115" t="s">
        <v>355</v>
      </c>
      <c r="G20" s="107">
        <v>147</v>
      </c>
      <c r="H20" s="107">
        <v>0</v>
      </c>
      <c r="I20" s="137" t="s">
        <v>356</v>
      </c>
    </row>
    <row r="21" spans="1:9" ht="15" x14ac:dyDescent="0.25">
      <c r="A21" s="115"/>
      <c r="B21" s="102"/>
      <c r="C21" s="102"/>
      <c r="D21" s="102"/>
      <c r="E21" s="102"/>
      <c r="F21" s="113"/>
      <c r="G21" s="112"/>
      <c r="H21" s="112"/>
      <c r="I21" s="112"/>
    </row>
    <row r="22" spans="1:9" ht="15" x14ac:dyDescent="0.25">
      <c r="A22" s="115"/>
      <c r="B22" s="102"/>
      <c r="C22" s="102"/>
      <c r="D22" s="102"/>
      <c r="E22" s="102"/>
      <c r="F22" s="112"/>
      <c r="G22" s="112"/>
      <c r="H22" s="112"/>
      <c r="I22" s="112"/>
    </row>
    <row r="23" spans="1:9" ht="15" x14ac:dyDescent="0.25">
      <c r="A23" s="102"/>
      <c r="B23" s="102"/>
      <c r="C23" s="102"/>
      <c r="D23" s="102"/>
      <c r="E23" s="102"/>
      <c r="F23" s="112"/>
      <c r="G23" s="112"/>
      <c r="H23" s="112"/>
      <c r="I23" s="112"/>
    </row>
    <row r="24" spans="1:9" ht="15" x14ac:dyDescent="0.25">
      <c r="A24" s="128"/>
      <c r="B24" s="128"/>
      <c r="C24" s="128"/>
      <c r="D24" s="128"/>
      <c r="E24" s="128"/>
      <c r="F24" s="138"/>
      <c r="G24" s="138"/>
      <c r="H24" s="138"/>
      <c r="I24" s="129"/>
    </row>
    <row r="25" spans="1:9" x14ac:dyDescent="0.25">
      <c r="A25" s="102"/>
      <c r="B25" s="102"/>
      <c r="C25" s="102"/>
      <c r="D25" s="102"/>
      <c r="E25" s="102"/>
      <c r="F25" s="102"/>
      <c r="G25" s="116"/>
      <c r="H25" s="102"/>
      <c r="I25" s="102"/>
    </row>
    <row r="26" spans="1:9" x14ac:dyDescent="0.25">
      <c r="A26" s="128"/>
      <c r="B26" s="128"/>
      <c r="C26" s="128"/>
      <c r="D26" s="128"/>
      <c r="E26" s="128"/>
      <c r="F26" s="128"/>
      <c r="G26" s="129"/>
      <c r="H26" s="128"/>
      <c r="I26" s="128"/>
    </row>
    <row r="27" spans="1:9" x14ac:dyDescent="0.25">
      <c r="A27" s="115"/>
      <c r="B27" s="115"/>
      <c r="C27" s="115"/>
      <c r="D27" s="115"/>
      <c r="E27" s="115"/>
      <c r="F27" s="115"/>
      <c r="G27" s="126"/>
      <c r="H27" s="127"/>
      <c r="I27" s="102"/>
    </row>
    <row r="28" spans="1:9" x14ac:dyDescent="0.25">
      <c r="A28" s="130"/>
      <c r="B28" s="131"/>
      <c r="C28" s="131"/>
      <c r="D28" s="131"/>
      <c r="E28" s="132"/>
      <c r="F28" s="127"/>
      <c r="G28" s="127"/>
      <c r="H28" s="127"/>
      <c r="I28" s="127"/>
    </row>
    <row r="29" spans="1:9" x14ac:dyDescent="0.25">
      <c r="A29" s="130"/>
      <c r="B29" s="131"/>
      <c r="C29" s="131"/>
      <c r="D29" s="131"/>
      <c r="E29" s="132"/>
      <c r="F29" s="127"/>
      <c r="G29" s="127"/>
      <c r="H29" s="127"/>
      <c r="I29" s="127"/>
    </row>
    <row r="30" spans="1:9" x14ac:dyDescent="0.25">
      <c r="A30" s="130"/>
      <c r="B30" s="131"/>
      <c r="C30" s="131"/>
      <c r="D30" s="131"/>
      <c r="E30" s="132"/>
      <c r="F30" s="133"/>
      <c r="G30" s="134"/>
      <c r="H30" s="134"/>
      <c r="I30" s="102"/>
    </row>
    <row r="31" spans="1:9" x14ac:dyDescent="0.25">
      <c r="A31" s="130"/>
      <c r="B31" s="131"/>
      <c r="C31" s="131"/>
      <c r="D31" s="131"/>
      <c r="E31" s="132"/>
      <c r="F31" s="133"/>
      <c r="G31" s="135"/>
      <c r="H31" s="136"/>
      <c r="I31" s="102"/>
    </row>
    <row r="32" spans="1:9" x14ac:dyDescent="0.25">
      <c r="A32" s="105"/>
      <c r="B32" s="135"/>
      <c r="C32" s="135"/>
      <c r="D32" s="135"/>
      <c r="E32" s="134"/>
      <c r="F32" s="134"/>
      <c r="G32" s="135"/>
      <c r="H32" s="136"/>
      <c r="I32" s="102"/>
    </row>
    <row r="33" spans="1:10" ht="19.2" x14ac:dyDescent="0.25">
      <c r="A33" s="28">
        <f>COUNTA(A6:A32)</f>
        <v>11</v>
      </c>
      <c r="B33" s="28">
        <f>SUM(B6:B32)</f>
        <v>612</v>
      </c>
      <c r="C33" s="28">
        <f>SUM(C6:C32)</f>
        <v>1</v>
      </c>
      <c r="D33" s="28">
        <f>SUM(D6:D32)</f>
        <v>0</v>
      </c>
      <c r="E33" s="28"/>
      <c r="F33" s="28">
        <f>COUNTA(F6:F32)</f>
        <v>15</v>
      </c>
      <c r="G33" s="28">
        <f>SUM(G6:G32)</f>
        <v>621</v>
      </c>
      <c r="H33" s="28">
        <f>SUM(H6:H32)</f>
        <v>0</v>
      </c>
      <c r="I33" s="28"/>
      <c r="J33" s="11"/>
    </row>
    <row r="34" spans="1:10" x14ac:dyDescent="0.25">
      <c r="F34" s="8"/>
    </row>
    <row r="35" spans="1:10" x14ac:dyDescent="0.25">
      <c r="F35" s="8"/>
    </row>
    <row r="36" spans="1:10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10" ht="66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10" ht="15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  <c r="G38" s="21"/>
      <c r="H38" s="21"/>
      <c r="I38" s="21"/>
      <c r="J38" s="21"/>
    </row>
    <row r="39" spans="1:10" ht="15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  <c r="G39" s="21"/>
      <c r="H39" s="21"/>
      <c r="I39" s="21"/>
      <c r="J39" s="21"/>
    </row>
    <row r="40" spans="1:10" ht="15" x14ac:dyDescent="0.25">
      <c r="A40" s="52" t="s">
        <v>48</v>
      </c>
      <c r="B40" s="20">
        <v>46282</v>
      </c>
      <c r="C40" s="22">
        <v>1</v>
      </c>
      <c r="D40" s="22">
        <v>1</v>
      </c>
      <c r="E40" s="182" t="s">
        <v>47</v>
      </c>
      <c r="F40" s="183"/>
      <c r="G40" s="21"/>
      <c r="H40" s="21"/>
      <c r="I40" s="21"/>
      <c r="J40" s="21"/>
    </row>
    <row r="41" spans="1:10" ht="15" x14ac:dyDescent="0.25">
      <c r="A41" s="52"/>
      <c r="B41" s="20"/>
      <c r="C41" s="22"/>
      <c r="D41" s="22"/>
      <c r="E41" s="182"/>
      <c r="F41" s="183"/>
      <c r="G41" s="21"/>
      <c r="H41" s="21"/>
      <c r="I41" s="21"/>
      <c r="J41" s="21"/>
    </row>
    <row r="42" spans="1:10" ht="15" x14ac:dyDescent="0.25">
      <c r="A42" s="52"/>
      <c r="B42" s="20"/>
      <c r="C42" s="22"/>
      <c r="D42" s="22"/>
      <c r="E42" s="75"/>
      <c r="F42" s="76"/>
      <c r="G42" s="21"/>
      <c r="H42" s="21"/>
      <c r="I42" s="21"/>
      <c r="J42" s="21"/>
    </row>
    <row r="43" spans="1:10" ht="15" x14ac:dyDescent="0.25">
      <c r="A43" s="10"/>
      <c r="B43" s="20"/>
      <c r="C43" s="22"/>
      <c r="D43" s="22">
        <f>SUM(D38:D42)</f>
        <v>4</v>
      </c>
      <c r="E43" s="182"/>
      <c r="F43" s="183"/>
      <c r="G43" s="21"/>
      <c r="H43" s="21"/>
      <c r="I43" s="21"/>
      <c r="J43" s="21"/>
    </row>
    <row r="44" spans="1:10" x14ac:dyDescent="0.25">
      <c r="H44" s="21"/>
      <c r="I44" s="21"/>
      <c r="J44" s="21"/>
    </row>
    <row r="49" spans="1:6" x14ac:dyDescent="0.25">
      <c r="F49" s="8"/>
    </row>
    <row r="50" spans="1:6" x14ac:dyDescent="0.25">
      <c r="F50" s="8"/>
    </row>
    <row r="51" spans="1:6" x14ac:dyDescent="0.25">
      <c r="F51" s="8"/>
    </row>
    <row r="52" spans="1:6" x14ac:dyDescent="0.25">
      <c r="F52" s="8"/>
    </row>
    <row r="53" spans="1:6" x14ac:dyDescent="0.25">
      <c r="F53" s="8"/>
    </row>
    <row r="54" spans="1:6" x14ac:dyDescent="0.25">
      <c r="F54" s="8"/>
    </row>
    <row r="55" spans="1:6" x14ac:dyDescent="0.25">
      <c r="F55" s="8"/>
    </row>
    <row r="56" spans="1:6" x14ac:dyDescent="0.25">
      <c r="F56" s="8"/>
    </row>
    <row r="57" spans="1:6" x14ac:dyDescent="0.25">
      <c r="F57" s="8"/>
    </row>
    <row r="58" spans="1:6" x14ac:dyDescent="0.25">
      <c r="F58" s="8"/>
    </row>
    <row r="59" spans="1:6" x14ac:dyDescent="0.25">
      <c r="F59" s="8"/>
    </row>
    <row r="60" spans="1:6" x14ac:dyDescent="0.25">
      <c r="A60" s="39" t="s">
        <v>60</v>
      </c>
      <c r="B60" s="35">
        <v>1</v>
      </c>
      <c r="C60" s="34">
        <v>0</v>
      </c>
      <c r="D60" s="34" t="s">
        <v>61</v>
      </c>
      <c r="F60" s="8"/>
    </row>
    <row r="61" spans="1:6" ht="17.399999999999999" x14ac:dyDescent="0.3">
      <c r="A61" s="2" t="s">
        <v>62</v>
      </c>
      <c r="B61" s="35">
        <v>1</v>
      </c>
      <c r="C61" s="34">
        <v>0</v>
      </c>
      <c r="D61" s="2" t="s">
        <v>63</v>
      </c>
      <c r="E61" s="4"/>
      <c r="F61" s="8"/>
    </row>
    <row r="62" spans="1:6" ht="17.399999999999999" x14ac:dyDescent="0.3">
      <c r="E62" s="4"/>
      <c r="F62" s="8"/>
    </row>
    <row r="63" spans="1:6" ht="19.2" x14ac:dyDescent="0.45">
      <c r="A63" s="7" t="s">
        <v>64</v>
      </c>
      <c r="B63" s="7">
        <v>1</v>
      </c>
      <c r="C63" s="7">
        <v>0</v>
      </c>
      <c r="D63" s="7" t="s">
        <v>65</v>
      </c>
      <c r="E63" s="4"/>
      <c r="F63" s="8"/>
    </row>
    <row r="64" spans="1:6" ht="17.399999999999999" x14ac:dyDescent="0.3">
      <c r="A64" s="52"/>
      <c r="E64" s="4"/>
      <c r="F64" s="8"/>
    </row>
    <row r="65" spans="1:6" x14ac:dyDescent="0.25">
      <c r="A65" s="3"/>
      <c r="B65" s="52"/>
      <c r="C65" s="52"/>
      <c r="D65" s="52"/>
      <c r="F65" s="8"/>
    </row>
    <row r="66" spans="1:6" ht="17.399999999999999" x14ac:dyDescent="0.3">
      <c r="A66" s="4"/>
      <c r="F66" s="8"/>
    </row>
    <row r="67" spans="1:6" ht="231" x14ac:dyDescent="0.3">
      <c r="A67" s="85" t="s">
        <v>66</v>
      </c>
      <c r="B67" s="86" t="s">
        <v>67</v>
      </c>
      <c r="E67" s="4"/>
      <c r="F67" s="8"/>
    </row>
    <row r="68" spans="1:6" ht="17.399999999999999" x14ac:dyDescent="0.3">
      <c r="E68" s="4"/>
      <c r="F68" s="8"/>
    </row>
    <row r="69" spans="1:6" x14ac:dyDescent="0.25">
      <c r="F69" s="8"/>
    </row>
    <row r="70" spans="1:6" x14ac:dyDescent="0.25">
      <c r="F70" s="8"/>
    </row>
    <row r="71" spans="1:6" ht="17.399999999999999" x14ac:dyDescent="0.3">
      <c r="E71" s="4"/>
      <c r="F71" s="8"/>
    </row>
    <row r="72" spans="1:6" ht="17.399999999999999" x14ac:dyDescent="0.3">
      <c r="E72" s="4"/>
      <c r="F72" s="8"/>
    </row>
  </sheetData>
  <mergeCells count="10">
    <mergeCell ref="E39:F39"/>
    <mergeCell ref="E40:F40"/>
    <mergeCell ref="E41:F41"/>
    <mergeCell ref="E43:F43"/>
    <mergeCell ref="A1:I1"/>
    <mergeCell ref="A4:E4"/>
    <mergeCell ref="F4:I4"/>
    <mergeCell ref="A36:F36"/>
    <mergeCell ref="E37:F37"/>
    <mergeCell ref="E38:F38"/>
  </mergeCells>
  <hyperlinks>
    <hyperlink ref="B67" r:id="rId1" xr:uid="{B49707CE-5DB3-4185-BD03-EAE59458104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8809-B75C-4B79-B990-08FC3C691C94}">
  <dimension ref="A1:J72"/>
  <sheetViews>
    <sheetView topLeftCell="A5" workbookViewId="0">
      <selection activeCell="A16" sqref="A16"/>
    </sheetView>
  </sheetViews>
  <sheetFormatPr defaultRowHeight="14.4" x14ac:dyDescent="0.25"/>
  <cols>
    <col min="1" max="1" width="41.44140625" customWidth="1"/>
    <col min="2" max="2" width="12" customWidth="1"/>
    <col min="5" max="5" width="25.88671875" customWidth="1"/>
    <col min="6" max="6" width="29.6640625" customWidth="1"/>
    <col min="9" max="9" width="24.33203125" customWidth="1"/>
  </cols>
  <sheetData>
    <row r="1" spans="1:10" ht="17.399999999999999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17.399999999999999" x14ac:dyDescent="0.25">
      <c r="A2" s="13" t="s">
        <v>1</v>
      </c>
      <c r="B2" s="14">
        <v>46295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7.399999999999999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69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ht="15" x14ac:dyDescent="0.25">
      <c r="A6" s="102" t="s">
        <v>152</v>
      </c>
      <c r="B6" s="97">
        <v>2</v>
      </c>
      <c r="C6" s="97">
        <v>0</v>
      </c>
      <c r="D6" s="97">
        <v>0</v>
      </c>
      <c r="E6" s="97" t="s">
        <v>358</v>
      </c>
      <c r="F6" s="102" t="s">
        <v>359</v>
      </c>
      <c r="G6" s="98">
        <v>156</v>
      </c>
      <c r="H6" s="99">
        <v>0</v>
      </c>
      <c r="I6" s="102" t="s">
        <v>360</v>
      </c>
      <c r="J6" s="38"/>
    </row>
    <row r="7" spans="1:10" ht="15" x14ac:dyDescent="0.25">
      <c r="A7" s="102" t="s">
        <v>361</v>
      </c>
      <c r="B7" s="97">
        <v>0</v>
      </c>
      <c r="C7" s="97">
        <v>1</v>
      </c>
      <c r="D7" s="97">
        <v>0</v>
      </c>
      <c r="E7" s="102" t="s">
        <v>362</v>
      </c>
      <c r="F7" s="102" t="s">
        <v>361</v>
      </c>
      <c r="G7" s="98">
        <v>1</v>
      </c>
      <c r="H7" s="99">
        <v>0</v>
      </c>
      <c r="I7" s="102" t="s">
        <v>362</v>
      </c>
      <c r="J7" s="38"/>
    </row>
    <row r="8" spans="1:10" ht="15" x14ac:dyDescent="0.25">
      <c r="A8" s="102" t="s">
        <v>225</v>
      </c>
      <c r="B8" s="97">
        <v>6</v>
      </c>
      <c r="C8" s="97">
        <v>0</v>
      </c>
      <c r="D8" s="97">
        <v>0</v>
      </c>
      <c r="E8" s="97" t="s">
        <v>363</v>
      </c>
      <c r="F8" s="102" t="s">
        <v>364</v>
      </c>
      <c r="G8" s="98">
        <v>1</v>
      </c>
      <c r="H8" s="99">
        <v>0</v>
      </c>
      <c r="I8" s="102" t="s">
        <v>365</v>
      </c>
      <c r="J8" s="38"/>
    </row>
    <row r="9" spans="1:10" ht="17.399999999999999" x14ac:dyDescent="0.3">
      <c r="A9" s="99" t="s">
        <v>366</v>
      </c>
      <c r="B9" s="97">
        <v>0</v>
      </c>
      <c r="C9" s="97">
        <v>1</v>
      </c>
      <c r="D9" s="97">
        <v>0</v>
      </c>
      <c r="E9" s="103" t="s">
        <v>367</v>
      </c>
      <c r="F9" s="102" t="s">
        <v>245</v>
      </c>
      <c r="G9" s="98">
        <v>4</v>
      </c>
      <c r="H9" s="99">
        <v>0</v>
      </c>
      <c r="I9" s="102" t="s">
        <v>368</v>
      </c>
      <c r="J9" s="21"/>
    </row>
    <row r="10" spans="1:10" ht="27.6" x14ac:dyDescent="0.25">
      <c r="A10" s="102" t="s">
        <v>369</v>
      </c>
      <c r="B10" s="97">
        <v>12</v>
      </c>
      <c r="C10" s="97">
        <v>0</v>
      </c>
      <c r="D10" s="97">
        <v>0</v>
      </c>
      <c r="E10" s="102" t="s">
        <v>370</v>
      </c>
      <c r="F10" s="102" t="s">
        <v>371</v>
      </c>
      <c r="G10" s="98">
        <v>9</v>
      </c>
      <c r="H10" s="99">
        <v>0</v>
      </c>
      <c r="I10" s="104" t="s">
        <v>372</v>
      </c>
      <c r="J10" s="21"/>
    </row>
    <row r="11" spans="1:10" ht="54.75" customHeight="1" x14ac:dyDescent="0.25">
      <c r="A11" s="105" t="s">
        <v>371</v>
      </c>
      <c r="B11" s="105">
        <v>9</v>
      </c>
      <c r="C11" s="105">
        <v>0</v>
      </c>
      <c r="D11" s="105">
        <v>0</v>
      </c>
      <c r="E11" s="106" t="s">
        <v>372</v>
      </c>
      <c r="F11" s="105" t="s">
        <v>373</v>
      </c>
      <c r="G11" s="101">
        <v>1</v>
      </c>
      <c r="H11" s="97">
        <v>0</v>
      </c>
      <c r="I11" s="114" t="s">
        <v>374</v>
      </c>
      <c r="J11" s="21"/>
    </row>
    <row r="12" spans="1:10" x14ac:dyDescent="0.25">
      <c r="A12" s="102" t="s">
        <v>375</v>
      </c>
      <c r="B12" s="107">
        <v>9</v>
      </c>
      <c r="C12" s="107">
        <v>0</v>
      </c>
      <c r="D12" s="107">
        <v>0</v>
      </c>
      <c r="E12" s="108" t="s">
        <v>376</v>
      </c>
      <c r="F12" s="108" t="s">
        <v>173</v>
      </c>
      <c r="G12" s="108">
        <v>1</v>
      </c>
      <c r="H12" s="108">
        <v>0</v>
      </c>
      <c r="I12" s="108" t="s">
        <v>377</v>
      </c>
      <c r="J12" s="21"/>
    </row>
    <row r="13" spans="1:10" ht="17.399999999999999" x14ac:dyDescent="0.3">
      <c r="A13" s="102" t="s">
        <v>373</v>
      </c>
      <c r="B13" s="108">
        <v>0</v>
      </c>
      <c r="C13" s="108">
        <v>1</v>
      </c>
      <c r="D13" s="108">
        <v>0</v>
      </c>
      <c r="E13" s="103" t="s">
        <v>378</v>
      </c>
      <c r="F13" s="102" t="s">
        <v>379</v>
      </c>
      <c r="G13" s="109">
        <v>20</v>
      </c>
      <c r="H13" s="108">
        <v>0</v>
      </c>
      <c r="I13" s="102" t="s">
        <v>380</v>
      </c>
      <c r="J13" s="21"/>
    </row>
    <row r="14" spans="1:10" ht="27.6" x14ac:dyDescent="0.25">
      <c r="A14" s="108" t="s">
        <v>173</v>
      </c>
      <c r="B14" s="108">
        <v>1</v>
      </c>
      <c r="C14" s="108">
        <v>0</v>
      </c>
      <c r="D14" s="108">
        <v>0</v>
      </c>
      <c r="E14" s="110" t="s">
        <v>381</v>
      </c>
      <c r="F14" s="108"/>
      <c r="G14" s="109"/>
      <c r="H14" s="108"/>
      <c r="I14" s="108"/>
      <c r="J14" s="21"/>
    </row>
    <row r="15" spans="1:10" ht="15" x14ac:dyDescent="0.25">
      <c r="A15" t="s">
        <v>158</v>
      </c>
      <c r="B15" s="97">
        <v>15</v>
      </c>
      <c r="C15" s="97">
        <v>0</v>
      </c>
      <c r="D15" s="97">
        <v>0</v>
      </c>
      <c r="E15" s="97" t="s">
        <v>382</v>
      </c>
      <c r="F15" s="108"/>
      <c r="G15" s="109"/>
      <c r="H15" s="108"/>
      <c r="I15" s="108"/>
    </row>
    <row r="16" spans="1:10" x14ac:dyDescent="0.25">
      <c r="A16" s="108"/>
      <c r="B16" s="108"/>
      <c r="C16" s="108"/>
      <c r="D16" s="108"/>
      <c r="E16" s="108"/>
      <c r="F16" s="108"/>
      <c r="G16" s="109"/>
      <c r="H16" s="108"/>
      <c r="I16" s="108"/>
    </row>
    <row r="17" spans="1:9" ht="15" x14ac:dyDescent="0.25">
      <c r="A17" s="111"/>
      <c r="B17" s="111"/>
      <c r="C17" s="111"/>
      <c r="D17" s="111"/>
      <c r="E17" s="111"/>
      <c r="F17" s="108"/>
      <c r="G17" s="109"/>
      <c r="H17" s="108"/>
      <c r="I17" s="108"/>
    </row>
    <row r="18" spans="1:9" ht="15" x14ac:dyDescent="0.25">
      <c r="A18" s="111"/>
      <c r="B18" s="111"/>
      <c r="C18" s="111"/>
      <c r="D18" s="111"/>
      <c r="E18" s="111"/>
      <c r="F18" s="108"/>
      <c r="G18" s="109"/>
      <c r="H18" s="108"/>
      <c r="I18" s="108"/>
    </row>
    <row r="19" spans="1:9" ht="15" x14ac:dyDescent="0.25">
      <c r="A19" s="111"/>
      <c r="B19" s="111"/>
      <c r="C19" s="111"/>
      <c r="D19" s="111"/>
      <c r="E19" s="111"/>
      <c r="F19" s="111"/>
      <c r="G19" s="112"/>
      <c r="H19" s="111"/>
      <c r="I19" s="111"/>
    </row>
    <row r="20" spans="1:9" ht="15" x14ac:dyDescent="0.25">
      <c r="A20" s="111"/>
      <c r="B20" s="111"/>
      <c r="C20" s="111"/>
      <c r="D20" s="111"/>
      <c r="E20" s="111"/>
      <c r="F20" s="112"/>
      <c r="G20" s="112"/>
      <c r="H20" s="112"/>
      <c r="I20" s="112"/>
    </row>
    <row r="21" spans="1:9" ht="15" x14ac:dyDescent="0.25">
      <c r="A21" s="115"/>
      <c r="B21" s="102"/>
      <c r="C21" s="102"/>
      <c r="D21" s="102"/>
      <c r="E21" s="102"/>
      <c r="F21" s="113"/>
      <c r="G21" s="112"/>
      <c r="H21" s="112"/>
      <c r="I21" s="112"/>
    </row>
    <row r="22" spans="1:9" ht="15" x14ac:dyDescent="0.25">
      <c r="A22" s="115"/>
      <c r="B22" s="102"/>
      <c r="C22" s="102"/>
      <c r="D22" s="102"/>
      <c r="E22" s="102"/>
      <c r="F22" s="112"/>
      <c r="G22" s="112"/>
      <c r="H22" s="112"/>
      <c r="I22" s="112"/>
    </row>
    <row r="23" spans="1:9" ht="15" x14ac:dyDescent="0.25">
      <c r="A23" s="102"/>
      <c r="B23" s="102"/>
      <c r="C23" s="102"/>
      <c r="D23" s="102"/>
      <c r="E23" s="102"/>
      <c r="F23" s="112"/>
      <c r="G23" s="112"/>
      <c r="H23" s="112"/>
      <c r="I23" s="112"/>
    </row>
    <row r="24" spans="1:9" ht="15" x14ac:dyDescent="0.25">
      <c r="A24" s="102"/>
      <c r="B24" s="102"/>
      <c r="C24" s="102"/>
      <c r="D24" s="102"/>
      <c r="E24" s="102"/>
      <c r="F24" s="112"/>
      <c r="G24" s="112"/>
      <c r="H24" s="112"/>
      <c r="I24" s="116"/>
    </row>
    <row r="25" spans="1:9" x14ac:dyDescent="0.25">
      <c r="A25" s="52"/>
      <c r="B25" s="52"/>
      <c r="C25" s="52"/>
      <c r="D25" s="52"/>
      <c r="E25" s="52"/>
      <c r="F25" s="52"/>
      <c r="G25" s="91"/>
      <c r="H25" s="52"/>
      <c r="I25" s="52"/>
    </row>
    <row r="26" spans="1:9" x14ac:dyDescent="0.25">
      <c r="A26" s="52"/>
      <c r="B26" s="52"/>
      <c r="C26" s="52"/>
      <c r="D26" s="52"/>
      <c r="E26" s="52"/>
      <c r="F26" s="52"/>
      <c r="G26" s="91"/>
      <c r="H26" s="52"/>
      <c r="I26" s="52"/>
    </row>
    <row r="27" spans="1:9" x14ac:dyDescent="0.25">
      <c r="A27" s="1"/>
      <c r="B27" s="1"/>
      <c r="C27" s="1"/>
      <c r="D27" s="1"/>
      <c r="E27" s="1"/>
      <c r="F27" s="1"/>
      <c r="G27" s="117"/>
      <c r="H27" s="32"/>
      <c r="I27" s="52"/>
    </row>
    <row r="28" spans="1:9" x14ac:dyDescent="0.25">
      <c r="A28" s="41"/>
      <c r="B28" s="48"/>
      <c r="C28" s="48"/>
      <c r="D28" s="48"/>
      <c r="E28" s="36"/>
      <c r="F28" s="32"/>
      <c r="G28" s="32"/>
      <c r="H28" s="32"/>
      <c r="I28" s="32"/>
    </row>
    <row r="29" spans="1:9" x14ac:dyDescent="0.25">
      <c r="A29" s="41"/>
      <c r="B29" s="48"/>
      <c r="C29" s="48"/>
      <c r="D29" s="48"/>
      <c r="E29" s="36"/>
      <c r="F29" s="32"/>
      <c r="G29" s="32"/>
      <c r="H29" s="32"/>
      <c r="I29" s="32"/>
    </row>
    <row r="30" spans="1:9" x14ac:dyDescent="0.25">
      <c r="A30" s="41"/>
      <c r="B30" s="48"/>
      <c r="C30" s="48"/>
      <c r="D30" s="48"/>
      <c r="E30" s="36"/>
      <c r="F30" s="12"/>
      <c r="G30" s="29"/>
      <c r="H30" s="29"/>
      <c r="I30" s="31"/>
    </row>
    <row r="31" spans="1:9" x14ac:dyDescent="0.25">
      <c r="A31" s="41"/>
      <c r="B31" s="48"/>
      <c r="C31" s="48"/>
      <c r="D31" s="48"/>
      <c r="E31" s="36"/>
      <c r="F31" s="12"/>
      <c r="G31" s="30"/>
      <c r="H31" s="33"/>
      <c r="I31" s="31"/>
    </row>
    <row r="32" spans="1:9" x14ac:dyDescent="0.25">
      <c r="A32" s="40"/>
      <c r="B32" s="30"/>
      <c r="C32" s="30"/>
      <c r="D32" s="30"/>
      <c r="E32" s="29"/>
      <c r="F32" s="29"/>
      <c r="G32" s="30"/>
      <c r="H32" s="33"/>
      <c r="I32" s="31"/>
    </row>
    <row r="33" spans="1:10" ht="19.2" x14ac:dyDescent="0.25">
      <c r="A33" s="28">
        <f>COUNTA(A6:A32)</f>
        <v>10</v>
      </c>
      <c r="B33" s="28">
        <f>SUM(B6:B32)</f>
        <v>54</v>
      </c>
      <c r="C33" s="28">
        <f>SUM(C6:C32)</f>
        <v>3</v>
      </c>
      <c r="D33" s="28">
        <f>SUM(D6:D32)</f>
        <v>0</v>
      </c>
      <c r="E33" s="28"/>
      <c r="F33" s="28">
        <f>COUNTA(F6:F32)</f>
        <v>8</v>
      </c>
      <c r="G33" s="28">
        <f>SUM(G6:G32)</f>
        <v>193</v>
      </c>
      <c r="H33" s="28">
        <f>SUM(H6:H32)</f>
        <v>0</v>
      </c>
      <c r="I33" s="28"/>
      <c r="J33" s="11"/>
    </row>
    <row r="34" spans="1:10" x14ac:dyDescent="0.25">
      <c r="F34" s="8"/>
    </row>
    <row r="35" spans="1:10" x14ac:dyDescent="0.25">
      <c r="F35" s="8"/>
    </row>
    <row r="36" spans="1:10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10" ht="66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10" ht="15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  <c r="G38" s="21"/>
      <c r="H38" s="21"/>
      <c r="I38" s="21"/>
      <c r="J38" s="21"/>
    </row>
    <row r="39" spans="1:10" ht="15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  <c r="G39" s="21"/>
      <c r="H39" s="21"/>
      <c r="I39" s="21"/>
      <c r="J39" s="21"/>
    </row>
    <row r="40" spans="1:10" ht="15" x14ac:dyDescent="0.25">
      <c r="A40" s="52" t="s">
        <v>48</v>
      </c>
      <c r="B40" s="20">
        <v>46282</v>
      </c>
      <c r="C40" s="22">
        <v>1</v>
      </c>
      <c r="D40" s="22">
        <v>1</v>
      </c>
      <c r="E40" s="182" t="s">
        <v>47</v>
      </c>
      <c r="F40" s="183"/>
      <c r="G40" s="21"/>
      <c r="H40" s="21"/>
      <c r="I40" s="21"/>
      <c r="J40" s="21"/>
    </row>
    <row r="41" spans="1:10" ht="15" x14ac:dyDescent="0.25">
      <c r="A41" s="52"/>
      <c r="B41" s="20"/>
      <c r="C41" s="22"/>
      <c r="D41" s="22"/>
      <c r="E41" s="182"/>
      <c r="F41" s="183"/>
      <c r="G41" s="21"/>
      <c r="H41" s="21"/>
      <c r="I41" s="21"/>
      <c r="J41" s="21"/>
    </row>
    <row r="42" spans="1:10" ht="15" x14ac:dyDescent="0.25">
      <c r="A42" s="52"/>
      <c r="B42" s="20"/>
      <c r="C42" s="22"/>
      <c r="D42" s="22"/>
      <c r="E42" s="75"/>
      <c r="F42" s="76"/>
      <c r="G42" s="21"/>
      <c r="H42" s="21"/>
      <c r="I42" s="21"/>
      <c r="J42" s="21"/>
    </row>
    <row r="43" spans="1:10" ht="15" x14ac:dyDescent="0.25">
      <c r="A43" s="10"/>
      <c r="B43" s="20"/>
      <c r="C43" s="22"/>
      <c r="D43" s="22">
        <f>SUM(D38:D42)</f>
        <v>4</v>
      </c>
      <c r="E43" s="182"/>
      <c r="F43" s="183"/>
      <c r="G43" s="21"/>
      <c r="H43" s="21"/>
      <c r="I43" s="21"/>
      <c r="J43" s="21"/>
    </row>
    <row r="44" spans="1:10" x14ac:dyDescent="0.25">
      <c r="H44" s="21"/>
      <c r="I44" s="21"/>
      <c r="J44" s="21"/>
    </row>
    <row r="49" spans="1:6" x14ac:dyDescent="0.25">
      <c r="F49" s="8"/>
    </row>
    <row r="50" spans="1:6" x14ac:dyDescent="0.25">
      <c r="F50" s="8"/>
    </row>
    <row r="51" spans="1:6" x14ac:dyDescent="0.25">
      <c r="F51" s="8"/>
    </row>
    <row r="52" spans="1:6" x14ac:dyDescent="0.25">
      <c r="F52" s="8"/>
    </row>
    <row r="53" spans="1:6" x14ac:dyDescent="0.25">
      <c r="F53" s="8"/>
    </row>
    <row r="54" spans="1:6" x14ac:dyDescent="0.25">
      <c r="F54" s="8"/>
    </row>
    <row r="55" spans="1:6" x14ac:dyDescent="0.25">
      <c r="F55" s="8"/>
    </row>
    <row r="56" spans="1:6" x14ac:dyDescent="0.25">
      <c r="F56" s="8"/>
    </row>
    <row r="57" spans="1:6" x14ac:dyDescent="0.25">
      <c r="F57" s="8"/>
    </row>
    <row r="58" spans="1:6" x14ac:dyDescent="0.25">
      <c r="F58" s="8"/>
    </row>
    <row r="59" spans="1:6" x14ac:dyDescent="0.25">
      <c r="F59" s="8"/>
    </row>
    <row r="60" spans="1:6" x14ac:dyDescent="0.25">
      <c r="A60" s="39" t="s">
        <v>60</v>
      </c>
      <c r="B60" s="35">
        <v>1</v>
      </c>
      <c r="C60" s="34">
        <v>0</v>
      </c>
      <c r="D60" s="34" t="s">
        <v>61</v>
      </c>
      <c r="F60" s="8"/>
    </row>
    <row r="61" spans="1:6" ht="17.399999999999999" x14ac:dyDescent="0.3">
      <c r="A61" s="2" t="s">
        <v>62</v>
      </c>
      <c r="B61" s="35">
        <v>1</v>
      </c>
      <c r="C61" s="34">
        <v>0</v>
      </c>
      <c r="D61" s="2" t="s">
        <v>63</v>
      </c>
      <c r="E61" s="4"/>
      <c r="F61" s="8"/>
    </row>
    <row r="62" spans="1:6" ht="17.399999999999999" x14ac:dyDescent="0.3">
      <c r="E62" s="4"/>
      <c r="F62" s="8"/>
    </row>
    <row r="63" spans="1:6" ht="19.2" x14ac:dyDescent="0.45">
      <c r="A63" s="7" t="s">
        <v>64</v>
      </c>
      <c r="B63" s="7">
        <v>1</v>
      </c>
      <c r="C63" s="7">
        <v>0</v>
      </c>
      <c r="D63" s="7" t="s">
        <v>65</v>
      </c>
      <c r="E63" s="4"/>
      <c r="F63" s="8"/>
    </row>
    <row r="64" spans="1:6" ht="17.399999999999999" x14ac:dyDescent="0.3">
      <c r="A64" s="52"/>
      <c r="E64" s="4"/>
      <c r="F64" s="8"/>
    </row>
    <row r="65" spans="1:6" x14ac:dyDescent="0.25">
      <c r="A65" s="3"/>
      <c r="B65" s="52"/>
      <c r="C65" s="52"/>
      <c r="D65" s="52"/>
      <c r="F65" s="8"/>
    </row>
    <row r="66" spans="1:6" ht="17.399999999999999" x14ac:dyDescent="0.3">
      <c r="A66" s="4"/>
      <c r="F66" s="8"/>
    </row>
    <row r="67" spans="1:6" ht="216.6" x14ac:dyDescent="0.3">
      <c r="A67" s="85" t="s">
        <v>66</v>
      </c>
      <c r="B67" s="86" t="s">
        <v>67</v>
      </c>
      <c r="E67" s="4"/>
      <c r="F67" s="8"/>
    </row>
    <row r="68" spans="1:6" ht="17.399999999999999" x14ac:dyDescent="0.3">
      <c r="E68" s="4"/>
      <c r="F68" s="8"/>
    </row>
    <row r="69" spans="1:6" x14ac:dyDescent="0.25">
      <c r="F69" s="8"/>
    </row>
    <row r="70" spans="1:6" x14ac:dyDescent="0.25">
      <c r="F70" s="8"/>
    </row>
    <row r="71" spans="1:6" ht="17.399999999999999" x14ac:dyDescent="0.3">
      <c r="E71" s="4"/>
      <c r="F71" s="8"/>
    </row>
    <row r="72" spans="1:6" ht="17.399999999999999" x14ac:dyDescent="0.3">
      <c r="E72" s="4"/>
      <c r="F72" s="8"/>
    </row>
  </sheetData>
  <mergeCells count="10">
    <mergeCell ref="E39:F39"/>
    <mergeCell ref="E40:F40"/>
    <mergeCell ref="E41:F41"/>
    <mergeCell ref="E43:F43"/>
    <mergeCell ref="A1:I1"/>
    <mergeCell ref="A4:E4"/>
    <mergeCell ref="F4:I4"/>
    <mergeCell ref="A36:F36"/>
    <mergeCell ref="E37:F37"/>
    <mergeCell ref="E38:F38"/>
  </mergeCells>
  <hyperlinks>
    <hyperlink ref="B67" r:id="rId1" xr:uid="{D4CF6970-F590-4757-A1D0-7AC59B7FAA0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AA03-EDEA-4D01-86AF-91664B8C8B46}">
  <dimension ref="A1:J72"/>
  <sheetViews>
    <sheetView workbookViewId="0">
      <selection activeCell="B3" sqref="B3"/>
    </sheetView>
  </sheetViews>
  <sheetFormatPr defaultRowHeight="14.4" x14ac:dyDescent="0.25"/>
  <cols>
    <col min="1" max="1" width="36.77734375" customWidth="1"/>
    <col min="2" max="2" width="20.33203125" customWidth="1"/>
    <col min="5" max="5" width="33.6640625" customWidth="1"/>
    <col min="6" max="6" width="28.44140625" customWidth="1"/>
    <col min="7" max="7" width="6.6640625" customWidth="1"/>
    <col min="9" max="9" width="23.88671875" customWidth="1"/>
  </cols>
  <sheetData>
    <row r="1" spans="1:10" ht="17.399999999999999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17.399999999999999" x14ac:dyDescent="0.25">
      <c r="A2" s="13" t="s">
        <v>1</v>
      </c>
      <c r="B2" s="14">
        <v>46294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7.399999999999999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69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ht="15" x14ac:dyDescent="0.25">
      <c r="A6" s="96" t="s">
        <v>191</v>
      </c>
      <c r="B6" s="97">
        <v>4</v>
      </c>
      <c r="C6" s="97">
        <v>0</v>
      </c>
      <c r="D6" s="97">
        <v>0</v>
      </c>
      <c r="E6" s="97" t="s">
        <v>383</v>
      </c>
      <c r="F6" s="96" t="s">
        <v>384</v>
      </c>
      <c r="G6" s="98">
        <v>2</v>
      </c>
      <c r="H6" s="99">
        <v>0</v>
      </c>
      <c r="I6" s="96" t="s">
        <v>385</v>
      </c>
      <c r="J6" s="38"/>
    </row>
    <row r="7" spans="1:10" ht="15" x14ac:dyDescent="0.25">
      <c r="A7" s="96" t="s">
        <v>242</v>
      </c>
      <c r="B7" s="97">
        <v>5</v>
      </c>
      <c r="C7" s="97">
        <v>0</v>
      </c>
      <c r="D7" s="97">
        <v>0</v>
      </c>
      <c r="E7" s="97" t="s">
        <v>386</v>
      </c>
      <c r="F7" s="96" t="s">
        <v>387</v>
      </c>
      <c r="G7" s="98">
        <v>10</v>
      </c>
      <c r="H7" s="99">
        <v>0</v>
      </c>
      <c r="I7" s="96" t="s">
        <v>388</v>
      </c>
      <c r="J7" s="38"/>
    </row>
    <row r="8" spans="1:10" ht="15" x14ac:dyDescent="0.25">
      <c r="A8" s="96" t="s">
        <v>299</v>
      </c>
      <c r="B8" s="97">
        <v>1</v>
      </c>
      <c r="C8" s="97">
        <v>0</v>
      </c>
      <c r="D8" s="97">
        <v>0</v>
      </c>
      <c r="E8" s="97" t="s">
        <v>389</v>
      </c>
      <c r="F8" s="99" t="s">
        <v>390</v>
      </c>
      <c r="G8" s="98">
        <v>4</v>
      </c>
      <c r="H8" s="99">
        <v>0</v>
      </c>
      <c r="I8" s="96" t="s">
        <v>391</v>
      </c>
      <c r="J8" s="38"/>
    </row>
    <row r="9" spans="1:10" ht="15.75" customHeight="1" x14ac:dyDescent="0.25">
      <c r="A9" s="99" t="s">
        <v>390</v>
      </c>
      <c r="B9" s="97">
        <v>0</v>
      </c>
      <c r="C9" s="97">
        <v>10</v>
      </c>
      <c r="D9" s="97">
        <v>0</v>
      </c>
      <c r="E9" s="100" t="s">
        <v>392</v>
      </c>
      <c r="F9" s="99"/>
      <c r="G9" s="98"/>
      <c r="H9" s="99"/>
      <c r="I9" s="99"/>
      <c r="J9" s="21"/>
    </row>
    <row r="10" spans="1:10" ht="15" x14ac:dyDescent="0.25">
      <c r="A10" s="99" t="s">
        <v>390</v>
      </c>
      <c r="B10" s="97">
        <v>0</v>
      </c>
      <c r="C10" s="97">
        <v>4</v>
      </c>
      <c r="D10" s="97">
        <v>0</v>
      </c>
      <c r="E10" s="96" t="s">
        <v>391</v>
      </c>
      <c r="F10" s="99"/>
      <c r="G10" s="98"/>
      <c r="H10" s="99"/>
      <c r="I10" s="99"/>
      <c r="J10" s="21"/>
    </row>
    <row r="11" spans="1:10" ht="15" x14ac:dyDescent="0.25">
      <c r="A11" s="99"/>
      <c r="B11" s="99"/>
      <c r="C11" s="99"/>
      <c r="D11" s="99"/>
      <c r="E11" s="99"/>
      <c r="F11" s="99"/>
      <c r="G11" s="98"/>
      <c r="H11" s="99"/>
      <c r="I11" s="99"/>
      <c r="J11" s="21"/>
    </row>
    <row r="12" spans="1:10" x14ac:dyDescent="0.25">
      <c r="A12" s="83"/>
      <c r="B12" s="83"/>
      <c r="C12" s="83"/>
      <c r="D12" s="83"/>
      <c r="E12" s="83"/>
      <c r="F12" s="83"/>
      <c r="G12" s="90"/>
      <c r="H12" s="83"/>
      <c r="I12" s="83"/>
      <c r="J12" s="21"/>
    </row>
    <row r="13" spans="1:10" x14ac:dyDescent="0.25">
      <c r="A13" s="83"/>
      <c r="B13" s="83"/>
      <c r="C13" s="83"/>
      <c r="D13" s="83"/>
      <c r="E13" s="83"/>
      <c r="F13" s="83"/>
      <c r="G13" s="90"/>
      <c r="H13" s="83"/>
      <c r="I13" s="83"/>
      <c r="J13" s="21"/>
    </row>
    <row r="14" spans="1:10" x14ac:dyDescent="0.25">
      <c r="A14" s="83"/>
      <c r="B14" s="83"/>
      <c r="C14" s="83"/>
      <c r="D14" s="83"/>
      <c r="E14" s="83"/>
      <c r="F14" s="83"/>
      <c r="G14" s="90"/>
      <c r="H14" s="83"/>
      <c r="I14" s="83"/>
      <c r="J14" s="21"/>
    </row>
    <row r="15" spans="1:10" x14ac:dyDescent="0.25">
      <c r="A15" s="83"/>
      <c r="B15" s="83"/>
      <c r="C15" s="83"/>
      <c r="D15" s="83"/>
      <c r="E15" s="83"/>
      <c r="F15" s="83"/>
      <c r="G15" s="90"/>
      <c r="H15" s="83"/>
      <c r="I15" s="83"/>
    </row>
    <row r="16" spans="1:10" x14ac:dyDescent="0.25">
      <c r="A16" s="83"/>
      <c r="B16" s="83"/>
      <c r="C16" s="83"/>
      <c r="D16" s="83"/>
      <c r="E16" s="83"/>
      <c r="F16" s="83"/>
      <c r="G16" s="90"/>
      <c r="H16" s="83"/>
      <c r="I16" s="83"/>
    </row>
    <row r="17" spans="1:9" ht="15.6" x14ac:dyDescent="0.3">
      <c r="A17" s="82"/>
      <c r="B17" s="82"/>
      <c r="C17" s="82"/>
      <c r="D17" s="82"/>
      <c r="E17" s="82"/>
      <c r="F17" s="83"/>
      <c r="G17" s="90"/>
      <c r="H17" s="83"/>
      <c r="I17" s="83"/>
    </row>
    <row r="18" spans="1:9" ht="15.6" x14ac:dyDescent="0.3">
      <c r="A18" s="82"/>
      <c r="B18" s="82"/>
      <c r="C18" s="82"/>
      <c r="D18" s="82"/>
      <c r="E18" s="82"/>
      <c r="F18" s="83"/>
      <c r="G18" s="90"/>
      <c r="H18" s="83"/>
      <c r="I18" s="83"/>
    </row>
    <row r="19" spans="1:9" ht="15.6" x14ac:dyDescent="0.3">
      <c r="A19" s="94"/>
      <c r="B19" s="94"/>
      <c r="C19" s="94"/>
      <c r="D19" s="94"/>
      <c r="E19" s="94"/>
      <c r="F19" s="94"/>
      <c r="G19" s="95"/>
      <c r="H19" s="94"/>
      <c r="I19" s="94"/>
    </row>
    <row r="20" spans="1:9" ht="15.6" x14ac:dyDescent="0.3">
      <c r="A20" s="82"/>
      <c r="B20" s="82"/>
      <c r="C20" s="82"/>
      <c r="D20" s="82"/>
      <c r="E20" s="82"/>
      <c r="F20" s="87"/>
      <c r="G20" s="87"/>
      <c r="H20" s="87"/>
      <c r="I20" s="87"/>
    </row>
    <row r="21" spans="1:9" ht="15.6" x14ac:dyDescent="0.3">
      <c r="B21" s="51"/>
      <c r="C21" s="51"/>
      <c r="D21" s="51"/>
      <c r="E21" s="51"/>
      <c r="F21" s="88"/>
      <c r="G21" s="87"/>
      <c r="H21" s="87"/>
      <c r="I21" s="87"/>
    </row>
    <row r="22" spans="1:9" ht="15.6" x14ac:dyDescent="0.3">
      <c r="B22" s="52"/>
      <c r="C22" s="52"/>
      <c r="D22" s="52"/>
      <c r="E22" s="52"/>
      <c r="F22" s="87"/>
      <c r="G22" s="87"/>
      <c r="H22" s="87"/>
      <c r="I22" s="87"/>
    </row>
    <row r="23" spans="1:9" ht="15.6" x14ac:dyDescent="0.3">
      <c r="A23" s="52"/>
      <c r="B23" s="52"/>
      <c r="C23" s="52"/>
      <c r="D23" s="52"/>
      <c r="E23" s="52"/>
      <c r="F23" s="87"/>
      <c r="G23" s="87"/>
      <c r="H23" s="87"/>
      <c r="I23" s="87"/>
    </row>
    <row r="24" spans="1:9" ht="15.6" x14ac:dyDescent="0.3">
      <c r="A24" s="52"/>
      <c r="B24" s="52"/>
      <c r="C24" s="52"/>
      <c r="D24" s="52"/>
      <c r="E24" s="52"/>
      <c r="F24" s="87"/>
      <c r="G24" s="87"/>
      <c r="H24" s="87"/>
      <c r="I24" s="89"/>
    </row>
    <row r="25" spans="1:9" x14ac:dyDescent="0.25">
      <c r="A25" s="52"/>
      <c r="B25" s="52"/>
      <c r="C25" s="52"/>
      <c r="D25" s="52"/>
      <c r="E25" s="52"/>
      <c r="F25" s="2"/>
      <c r="G25" s="91"/>
      <c r="H25" s="52"/>
      <c r="I25" s="2"/>
    </row>
    <row r="26" spans="1:9" x14ac:dyDescent="0.25">
      <c r="A26" s="52"/>
      <c r="B26" s="52"/>
      <c r="C26" s="52"/>
      <c r="D26" s="52"/>
      <c r="E26" s="52"/>
      <c r="F26" s="2"/>
      <c r="G26" s="91"/>
      <c r="H26" s="52"/>
      <c r="I26" s="2"/>
    </row>
    <row r="27" spans="1:9" x14ac:dyDescent="0.25">
      <c r="A27" s="53"/>
      <c r="B27" s="53"/>
      <c r="C27" s="53"/>
      <c r="D27" s="53"/>
      <c r="E27" s="53"/>
      <c r="G27" s="92"/>
      <c r="H27" s="61"/>
      <c r="I27" s="2"/>
    </row>
    <row r="28" spans="1:9" x14ac:dyDescent="0.25">
      <c r="A28" s="41"/>
      <c r="B28" s="48"/>
      <c r="C28" s="48"/>
      <c r="D28" s="48"/>
      <c r="E28" s="36"/>
      <c r="F28" s="32"/>
      <c r="G28" s="32"/>
      <c r="H28" s="32"/>
      <c r="I28" s="32"/>
    </row>
    <row r="29" spans="1:9" x14ac:dyDescent="0.25">
      <c r="A29" s="41"/>
      <c r="B29" s="48"/>
      <c r="C29" s="48"/>
      <c r="D29" s="48"/>
      <c r="E29" s="36"/>
      <c r="F29" s="32"/>
      <c r="G29" s="32"/>
      <c r="H29" s="32"/>
      <c r="I29" s="32"/>
    </row>
    <row r="30" spans="1:9" x14ac:dyDescent="0.25">
      <c r="A30" s="41"/>
      <c r="B30" s="48"/>
      <c r="C30" s="48"/>
      <c r="D30" s="48"/>
      <c r="E30" s="36"/>
      <c r="F30" s="12"/>
      <c r="G30" s="29"/>
      <c r="H30" s="29"/>
      <c r="I30" s="31"/>
    </row>
    <row r="31" spans="1:9" x14ac:dyDescent="0.25">
      <c r="A31" s="41"/>
      <c r="B31" s="48"/>
      <c r="C31" s="48"/>
      <c r="D31" s="48"/>
      <c r="E31" s="36"/>
      <c r="F31" s="12"/>
      <c r="G31" s="30"/>
      <c r="H31" s="33"/>
      <c r="I31" s="31"/>
    </row>
    <row r="32" spans="1:9" x14ac:dyDescent="0.25">
      <c r="A32" s="40"/>
      <c r="B32" s="30"/>
      <c r="C32" s="30"/>
      <c r="D32" s="30"/>
      <c r="E32" s="29"/>
      <c r="F32" s="29"/>
      <c r="G32" s="30"/>
      <c r="H32" s="33"/>
      <c r="I32" s="31"/>
    </row>
    <row r="33" spans="1:10" ht="19.2" x14ac:dyDescent="0.25">
      <c r="A33" s="28">
        <f>COUNTA(A6:A32)</f>
        <v>5</v>
      </c>
      <c r="B33" s="28">
        <f>SUM(B6:B32)</f>
        <v>10</v>
      </c>
      <c r="C33" s="28">
        <f>SUM(C6:C32)</f>
        <v>14</v>
      </c>
      <c r="D33" s="28">
        <f>SUM(D6:D32)</f>
        <v>0</v>
      </c>
      <c r="E33" s="28"/>
      <c r="F33" s="28">
        <f>COUNTA(F6:F32)</f>
        <v>3</v>
      </c>
      <c r="G33" s="28">
        <f>SUM(G6:G32)</f>
        <v>16</v>
      </c>
      <c r="H33" s="28">
        <f>SUM(H6:H32)</f>
        <v>0</v>
      </c>
      <c r="I33" s="28"/>
      <c r="J33" s="11"/>
    </row>
    <row r="34" spans="1:10" x14ac:dyDescent="0.25">
      <c r="F34" s="8"/>
    </row>
    <row r="35" spans="1:10" x14ac:dyDescent="0.25">
      <c r="F35" s="8"/>
    </row>
    <row r="36" spans="1:10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10" ht="66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10" ht="15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  <c r="G38" s="21"/>
      <c r="H38" s="21"/>
      <c r="I38" s="21"/>
      <c r="J38" s="21"/>
    </row>
    <row r="39" spans="1:10" ht="15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  <c r="G39" s="21"/>
      <c r="H39" s="21"/>
      <c r="I39" s="21"/>
      <c r="J39" s="21"/>
    </row>
    <row r="40" spans="1:10" ht="15" x14ac:dyDescent="0.25">
      <c r="A40" s="52" t="s">
        <v>48</v>
      </c>
      <c r="B40" s="20">
        <v>46282</v>
      </c>
      <c r="C40" s="22">
        <v>1</v>
      </c>
      <c r="D40" s="22">
        <v>1</v>
      </c>
      <c r="E40" s="182" t="s">
        <v>47</v>
      </c>
      <c r="F40" s="183"/>
      <c r="G40" s="21"/>
      <c r="H40" s="21"/>
      <c r="I40" s="21"/>
      <c r="J40" s="21"/>
    </row>
    <row r="41" spans="1:10" ht="15" x14ac:dyDescent="0.25">
      <c r="A41" s="52"/>
      <c r="B41" s="20"/>
      <c r="C41" s="22"/>
      <c r="D41" s="22"/>
      <c r="E41" s="182"/>
      <c r="F41" s="183"/>
      <c r="G41" s="21"/>
      <c r="H41" s="21"/>
      <c r="I41" s="21"/>
      <c r="J41" s="21"/>
    </row>
    <row r="42" spans="1:10" ht="15" x14ac:dyDescent="0.25">
      <c r="A42" s="52"/>
      <c r="B42" s="20"/>
      <c r="C42" s="22"/>
      <c r="D42" s="22"/>
      <c r="E42" s="75"/>
      <c r="F42" s="76"/>
      <c r="G42" s="21"/>
      <c r="H42" s="21"/>
      <c r="I42" s="21"/>
      <c r="J42" s="21"/>
    </row>
    <row r="43" spans="1:10" ht="15" x14ac:dyDescent="0.25">
      <c r="A43" s="10"/>
      <c r="B43" s="20"/>
      <c r="C43" s="22"/>
      <c r="D43" s="22">
        <f>SUM(D38:D42)</f>
        <v>4</v>
      </c>
      <c r="E43" s="182"/>
      <c r="F43" s="183"/>
      <c r="G43" s="21"/>
      <c r="H43" s="21"/>
      <c r="I43" s="21"/>
      <c r="J43" s="21"/>
    </row>
    <row r="44" spans="1:10" x14ac:dyDescent="0.25">
      <c r="H44" s="21"/>
      <c r="I44" s="21"/>
      <c r="J44" s="21"/>
    </row>
    <row r="49" spans="1:6" x14ac:dyDescent="0.25">
      <c r="F49" s="8"/>
    </row>
    <row r="50" spans="1:6" x14ac:dyDescent="0.25">
      <c r="F50" s="8"/>
    </row>
    <row r="51" spans="1:6" x14ac:dyDescent="0.25">
      <c r="F51" s="8"/>
    </row>
    <row r="52" spans="1:6" x14ac:dyDescent="0.25">
      <c r="F52" s="8"/>
    </row>
    <row r="53" spans="1:6" x14ac:dyDescent="0.25">
      <c r="F53" s="8"/>
    </row>
    <row r="54" spans="1:6" x14ac:dyDescent="0.25">
      <c r="F54" s="8"/>
    </row>
    <row r="55" spans="1:6" x14ac:dyDescent="0.25">
      <c r="F55" s="8"/>
    </row>
    <row r="56" spans="1:6" x14ac:dyDescent="0.25">
      <c r="F56" s="8"/>
    </row>
    <row r="57" spans="1:6" x14ac:dyDescent="0.25">
      <c r="F57" s="8"/>
    </row>
    <row r="58" spans="1:6" x14ac:dyDescent="0.25">
      <c r="F58" s="8"/>
    </row>
    <row r="59" spans="1:6" x14ac:dyDescent="0.25">
      <c r="F59" s="8"/>
    </row>
    <row r="60" spans="1:6" x14ac:dyDescent="0.25">
      <c r="A60" s="39" t="s">
        <v>60</v>
      </c>
      <c r="B60" s="35">
        <v>1</v>
      </c>
      <c r="C60" s="34">
        <v>0</v>
      </c>
      <c r="D60" s="34" t="s">
        <v>61</v>
      </c>
      <c r="F60" s="8"/>
    </row>
    <row r="61" spans="1:6" ht="17.399999999999999" x14ac:dyDescent="0.3">
      <c r="A61" s="2" t="s">
        <v>62</v>
      </c>
      <c r="B61" s="35">
        <v>1</v>
      </c>
      <c r="C61" s="34">
        <v>0</v>
      </c>
      <c r="D61" s="2" t="s">
        <v>63</v>
      </c>
      <c r="E61" s="4"/>
      <c r="F61" s="8"/>
    </row>
    <row r="62" spans="1:6" ht="17.399999999999999" x14ac:dyDescent="0.3">
      <c r="E62" s="4"/>
      <c r="F62" s="8"/>
    </row>
    <row r="63" spans="1:6" ht="19.2" x14ac:dyDescent="0.45">
      <c r="A63" s="7" t="s">
        <v>64</v>
      </c>
      <c r="B63" s="7">
        <v>1</v>
      </c>
      <c r="C63" s="7">
        <v>0</v>
      </c>
      <c r="D63" s="7" t="s">
        <v>65</v>
      </c>
      <c r="E63" s="4"/>
      <c r="F63" s="8"/>
    </row>
    <row r="64" spans="1:6" ht="17.399999999999999" x14ac:dyDescent="0.3">
      <c r="A64" s="52"/>
      <c r="E64" s="4"/>
      <c r="F64" s="8"/>
    </row>
    <row r="65" spans="1:6" x14ac:dyDescent="0.25">
      <c r="A65" s="3"/>
      <c r="B65" s="52"/>
      <c r="C65" s="52"/>
      <c r="D65" s="52"/>
      <c r="F65" s="8"/>
    </row>
    <row r="66" spans="1:6" ht="17.399999999999999" x14ac:dyDescent="0.3">
      <c r="A66" s="4"/>
      <c r="F66" s="8"/>
    </row>
    <row r="67" spans="1:6" ht="115.8" x14ac:dyDescent="0.3">
      <c r="A67" s="85" t="s">
        <v>66</v>
      </c>
      <c r="B67" s="86" t="s">
        <v>67</v>
      </c>
      <c r="E67" s="4"/>
      <c r="F67" s="8"/>
    </row>
    <row r="68" spans="1:6" ht="17.399999999999999" x14ac:dyDescent="0.3">
      <c r="E68" s="4"/>
      <c r="F68" s="8"/>
    </row>
    <row r="69" spans="1:6" x14ac:dyDescent="0.25">
      <c r="F69" s="8"/>
    </row>
    <row r="70" spans="1:6" x14ac:dyDescent="0.25">
      <c r="F70" s="8"/>
    </row>
    <row r="71" spans="1:6" ht="17.399999999999999" x14ac:dyDescent="0.3">
      <c r="E71" s="4"/>
      <c r="F71" s="8"/>
    </row>
    <row r="72" spans="1:6" ht="17.399999999999999" x14ac:dyDescent="0.3">
      <c r="E72" s="4"/>
      <c r="F72" s="8"/>
    </row>
  </sheetData>
  <mergeCells count="10">
    <mergeCell ref="E39:F39"/>
    <mergeCell ref="E40:F40"/>
    <mergeCell ref="E41:F41"/>
    <mergeCell ref="E43:F43"/>
    <mergeCell ref="A1:I1"/>
    <mergeCell ref="A4:E4"/>
    <mergeCell ref="F4:I4"/>
    <mergeCell ref="A36:F36"/>
    <mergeCell ref="E37:F37"/>
    <mergeCell ref="E38:F38"/>
  </mergeCells>
  <hyperlinks>
    <hyperlink ref="B67" r:id="rId1" xr:uid="{832DCCC9-BC0E-47A2-9C41-91B0E8757528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A59F-5C18-4AEF-AC61-CB3690519786}">
  <dimension ref="A1:J72"/>
  <sheetViews>
    <sheetView workbookViewId="0">
      <selection activeCell="C8" sqref="C8"/>
    </sheetView>
  </sheetViews>
  <sheetFormatPr defaultRowHeight="14.4" x14ac:dyDescent="0.25"/>
  <cols>
    <col min="1" max="1" width="32.33203125" customWidth="1"/>
    <col min="2" max="2" width="12.6640625" customWidth="1"/>
    <col min="3" max="3" width="10.6640625" customWidth="1"/>
    <col min="4" max="4" width="12.77734375" customWidth="1"/>
    <col min="5" max="5" width="35.6640625" customWidth="1"/>
    <col min="6" max="6" width="35.109375" style="8" customWidth="1"/>
    <col min="7" max="7" width="12.6640625" customWidth="1"/>
    <col min="8" max="8" width="12.44140625" customWidth="1"/>
    <col min="9" max="9" width="35.6640625" customWidth="1"/>
  </cols>
  <sheetData>
    <row r="1" spans="1:10" ht="25.5" customHeight="1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41.25" customHeight="1" x14ac:dyDescent="0.25">
      <c r="A2" s="13" t="s">
        <v>1</v>
      </c>
      <c r="B2" s="14">
        <v>46289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0.5" customHeight="1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ht="21.75" customHeight="1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33" customHeight="1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s="37" customFormat="1" ht="37.5" customHeight="1" x14ac:dyDescent="0.25">
      <c r="A6" s="83" t="s">
        <v>303</v>
      </c>
      <c r="B6" s="93">
        <v>6</v>
      </c>
      <c r="C6" s="93">
        <v>0</v>
      </c>
      <c r="D6" s="93">
        <v>0</v>
      </c>
      <c r="E6" s="93" t="s">
        <v>393</v>
      </c>
      <c r="F6" s="83" t="s">
        <v>394</v>
      </c>
      <c r="G6" s="90">
        <v>2</v>
      </c>
      <c r="H6" s="83">
        <v>0</v>
      </c>
      <c r="I6" s="83" t="s">
        <v>395</v>
      </c>
      <c r="J6" s="38"/>
    </row>
    <row r="7" spans="1:10" s="37" customFormat="1" ht="27" customHeight="1" x14ac:dyDescent="0.25">
      <c r="A7" s="83"/>
      <c r="B7" s="83"/>
      <c r="C7" s="83"/>
      <c r="D7" s="83"/>
      <c r="E7" s="83"/>
      <c r="F7" s="83"/>
      <c r="G7" s="90"/>
      <c r="H7" s="83"/>
      <c r="I7" s="83"/>
      <c r="J7" s="38"/>
    </row>
    <row r="8" spans="1:10" s="37" customFormat="1" ht="38.25" customHeight="1" x14ac:dyDescent="0.25">
      <c r="A8" s="83"/>
      <c r="B8" s="83"/>
      <c r="C8" s="83"/>
      <c r="D8" s="83"/>
      <c r="E8" s="83"/>
      <c r="F8" s="83"/>
      <c r="G8" s="90"/>
      <c r="H8" s="83"/>
      <c r="I8" s="83"/>
      <c r="J8" s="38"/>
    </row>
    <row r="9" spans="1:10" s="21" customFormat="1" ht="27" customHeight="1" x14ac:dyDescent="0.25">
      <c r="A9" s="83"/>
      <c r="B9" s="83"/>
      <c r="C9" s="83"/>
      <c r="D9" s="83"/>
      <c r="E9" s="83"/>
      <c r="F9" s="83"/>
      <c r="G9" s="90"/>
      <c r="H9" s="83"/>
      <c r="I9" s="83"/>
    </row>
    <row r="10" spans="1:10" s="21" customFormat="1" ht="42.75" customHeight="1" x14ac:dyDescent="0.25">
      <c r="A10" s="83"/>
      <c r="B10" s="83"/>
      <c r="C10" s="83"/>
      <c r="D10" s="83"/>
      <c r="E10" s="83"/>
      <c r="F10" s="83"/>
      <c r="G10" s="90"/>
      <c r="H10" s="83"/>
      <c r="I10" s="83"/>
    </row>
    <row r="11" spans="1:10" s="21" customFormat="1" ht="27" customHeight="1" x14ac:dyDescent="0.25">
      <c r="A11" s="83"/>
      <c r="B11" s="83"/>
      <c r="C11" s="83"/>
      <c r="D11" s="83"/>
      <c r="E11" s="83"/>
      <c r="F11" s="83"/>
      <c r="G11" s="90"/>
      <c r="H11" s="83"/>
      <c r="I11" s="83"/>
    </row>
    <row r="12" spans="1:10" s="21" customFormat="1" ht="27" customHeight="1" x14ac:dyDescent="0.25">
      <c r="A12" s="83"/>
      <c r="B12" s="83"/>
      <c r="C12" s="83"/>
      <c r="D12" s="83"/>
      <c r="E12" s="83"/>
      <c r="F12" s="83"/>
      <c r="G12" s="90"/>
      <c r="H12" s="83"/>
      <c r="I12" s="83"/>
    </row>
    <row r="13" spans="1:10" s="21" customFormat="1" ht="30" customHeight="1" x14ac:dyDescent="0.25">
      <c r="A13" s="83"/>
      <c r="B13" s="83"/>
      <c r="C13" s="83"/>
      <c r="D13" s="83"/>
      <c r="E13" s="83"/>
      <c r="F13" s="83"/>
      <c r="G13" s="90"/>
      <c r="H13" s="83"/>
      <c r="I13" s="83"/>
    </row>
    <row r="14" spans="1:10" s="21" customFormat="1" ht="30" customHeight="1" x14ac:dyDescent="0.25">
      <c r="A14" s="83"/>
      <c r="B14" s="83"/>
      <c r="C14" s="83"/>
      <c r="D14" s="83"/>
      <c r="E14" s="83"/>
      <c r="F14" s="83"/>
      <c r="G14" s="90"/>
      <c r="H14" s="83"/>
      <c r="I14" s="83"/>
    </row>
    <row r="15" spans="1:10" ht="30" customHeight="1" x14ac:dyDescent="0.25">
      <c r="A15" s="83"/>
      <c r="B15" s="83"/>
      <c r="C15" s="83"/>
      <c r="D15" s="83"/>
      <c r="E15" s="83"/>
      <c r="F15" s="83"/>
      <c r="G15" s="90"/>
      <c r="H15" s="83"/>
      <c r="I15" s="83"/>
    </row>
    <row r="16" spans="1:10" ht="42.75" customHeight="1" x14ac:dyDescent="0.25">
      <c r="A16" s="83"/>
      <c r="B16" s="83"/>
      <c r="C16" s="83"/>
      <c r="D16" s="83"/>
      <c r="E16" s="83"/>
      <c r="F16" s="83"/>
      <c r="G16" s="90"/>
      <c r="H16" s="83"/>
      <c r="I16" s="83"/>
    </row>
    <row r="17" spans="1:9" ht="30" customHeight="1" x14ac:dyDescent="0.3">
      <c r="A17" s="82"/>
      <c r="B17" s="82"/>
      <c r="C17" s="82"/>
      <c r="D17" s="82"/>
      <c r="E17" s="82"/>
      <c r="F17" s="83"/>
      <c r="G17" s="90"/>
      <c r="H17" s="83"/>
      <c r="I17" s="83"/>
    </row>
    <row r="18" spans="1:9" ht="30" customHeight="1" x14ac:dyDescent="0.3">
      <c r="A18" s="82"/>
      <c r="B18" s="82"/>
      <c r="C18" s="82"/>
      <c r="D18" s="82"/>
      <c r="E18" s="82"/>
      <c r="F18" s="83"/>
      <c r="G18" s="90"/>
      <c r="H18" s="83"/>
      <c r="I18" s="83"/>
    </row>
    <row r="19" spans="1:9" ht="30" customHeight="1" x14ac:dyDescent="0.3">
      <c r="A19" s="82"/>
      <c r="B19" s="82"/>
      <c r="C19" s="82"/>
      <c r="D19" s="82"/>
      <c r="E19" s="82"/>
      <c r="F19" s="82"/>
      <c r="G19" s="87"/>
      <c r="H19" s="82"/>
      <c r="I19" s="82"/>
    </row>
    <row r="20" spans="1:9" ht="50.25" customHeight="1" x14ac:dyDescent="0.3">
      <c r="A20" s="82"/>
      <c r="B20" s="82"/>
      <c r="C20" s="82"/>
      <c r="D20" s="82"/>
      <c r="E20" s="82"/>
      <c r="F20" s="87"/>
      <c r="G20" s="87"/>
      <c r="H20" s="87"/>
      <c r="I20" s="87"/>
    </row>
    <row r="21" spans="1:9" ht="24.75" customHeight="1" x14ac:dyDescent="0.3">
      <c r="B21" s="51"/>
      <c r="C21" s="51"/>
      <c r="D21" s="51"/>
      <c r="E21" s="51"/>
      <c r="F21" s="88"/>
      <c r="G21" s="87"/>
      <c r="H21" s="87"/>
      <c r="I21" s="87"/>
    </row>
    <row r="22" spans="1:9" ht="24.75" customHeight="1" x14ac:dyDescent="0.3">
      <c r="B22" s="52"/>
      <c r="C22" s="52"/>
      <c r="D22" s="52"/>
      <c r="E22" s="52"/>
      <c r="F22" s="87"/>
      <c r="G22" s="87"/>
      <c r="H22" s="87"/>
      <c r="I22" s="87"/>
    </row>
    <row r="23" spans="1:9" ht="24.75" customHeight="1" x14ac:dyDescent="0.3">
      <c r="A23" s="52"/>
      <c r="B23" s="52"/>
      <c r="C23" s="52"/>
      <c r="D23" s="52"/>
      <c r="E23" s="52"/>
      <c r="F23" s="87"/>
      <c r="G23" s="87"/>
      <c r="H23" s="87"/>
      <c r="I23" s="87"/>
    </row>
    <row r="24" spans="1:9" ht="24.75" customHeight="1" x14ac:dyDescent="0.3">
      <c r="A24" s="52"/>
      <c r="B24" s="52"/>
      <c r="C24" s="52"/>
      <c r="D24" s="52"/>
      <c r="E24" s="52"/>
      <c r="F24" s="87"/>
      <c r="G24" s="87"/>
      <c r="H24" s="87"/>
      <c r="I24" s="89"/>
    </row>
    <row r="25" spans="1:9" ht="24.75" customHeight="1" x14ac:dyDescent="0.25">
      <c r="A25" s="52"/>
      <c r="B25" s="52"/>
      <c r="C25" s="52"/>
      <c r="D25" s="52"/>
      <c r="E25" s="52"/>
      <c r="F25" s="2"/>
      <c r="G25" s="91"/>
      <c r="H25" s="52"/>
      <c r="I25" s="2"/>
    </row>
    <row r="26" spans="1:9" ht="24.75" customHeight="1" x14ac:dyDescent="0.25">
      <c r="A26" s="52"/>
      <c r="B26" s="52"/>
      <c r="C26" s="52"/>
      <c r="D26" s="52"/>
      <c r="E26" s="52"/>
      <c r="F26" s="2"/>
      <c r="G26" s="91"/>
      <c r="H26" s="52"/>
      <c r="I26" s="2"/>
    </row>
    <row r="27" spans="1:9" ht="24.75" customHeight="1" x14ac:dyDescent="0.25">
      <c r="A27" s="53"/>
      <c r="B27" s="53"/>
      <c r="C27" s="53"/>
      <c r="D27" s="53"/>
      <c r="E27" s="53"/>
      <c r="F27"/>
      <c r="G27" s="92"/>
      <c r="H27" s="61"/>
      <c r="I27" s="2"/>
    </row>
    <row r="28" spans="1:9" ht="24.75" customHeight="1" x14ac:dyDescent="0.25">
      <c r="A28" s="41"/>
      <c r="B28" s="48"/>
      <c r="C28" s="48"/>
      <c r="D28" s="48"/>
      <c r="E28" s="36"/>
      <c r="F28" s="32"/>
      <c r="G28" s="32"/>
      <c r="H28" s="32"/>
      <c r="I28" s="32"/>
    </row>
    <row r="29" spans="1:9" ht="24.75" customHeight="1" x14ac:dyDescent="0.25">
      <c r="A29" s="41"/>
      <c r="B29" s="48"/>
      <c r="C29" s="48"/>
      <c r="D29" s="48"/>
      <c r="E29" s="36"/>
      <c r="F29" s="32"/>
      <c r="G29" s="32"/>
      <c r="H29" s="32"/>
      <c r="I29" s="32"/>
    </row>
    <row r="30" spans="1:9" ht="24.75" customHeight="1" x14ac:dyDescent="0.25">
      <c r="A30" s="41"/>
      <c r="B30" s="48"/>
      <c r="C30" s="48"/>
      <c r="D30" s="48"/>
      <c r="E30" s="36"/>
      <c r="F30" s="12"/>
      <c r="G30" s="29"/>
      <c r="H30" s="29"/>
      <c r="I30" s="31"/>
    </row>
    <row r="31" spans="1:9" ht="24.75" customHeight="1" x14ac:dyDescent="0.25">
      <c r="A31" s="41"/>
      <c r="B31" s="48"/>
      <c r="C31" s="48"/>
      <c r="D31" s="48"/>
      <c r="E31" s="36"/>
      <c r="F31" s="12"/>
      <c r="G31" s="30"/>
      <c r="H31" s="33"/>
      <c r="I31" s="31"/>
    </row>
    <row r="32" spans="1:9" ht="24.75" customHeight="1" x14ac:dyDescent="0.25">
      <c r="A32" s="40"/>
      <c r="B32" s="30"/>
      <c r="C32" s="30"/>
      <c r="D32" s="30"/>
      <c r="E32" s="29"/>
      <c r="F32" s="29"/>
      <c r="G32" s="30"/>
      <c r="H32" s="33"/>
      <c r="I32" s="31"/>
    </row>
    <row r="33" spans="1:9" s="11" customFormat="1" ht="30" customHeight="1" x14ac:dyDescent="0.25">
      <c r="A33" s="28">
        <f>COUNTA(A6:A32)</f>
        <v>1</v>
      </c>
      <c r="B33" s="28">
        <f>SUM(B6:B32)</f>
        <v>6</v>
      </c>
      <c r="C33" s="28">
        <f>SUM(C6:C32)</f>
        <v>0</v>
      </c>
      <c r="D33" s="28">
        <f>SUM(D6:D32)</f>
        <v>0</v>
      </c>
      <c r="E33" s="28"/>
      <c r="F33" s="28">
        <f>COUNTA(F6:F32)</f>
        <v>1</v>
      </c>
      <c r="G33" s="28">
        <f>SUM(G6:G32)</f>
        <v>2</v>
      </c>
      <c r="H33" s="28">
        <f>SUM(H6:H32)</f>
        <v>0</v>
      </c>
      <c r="I33" s="28"/>
    </row>
    <row r="34" spans="1:9" ht="13.5" customHeight="1" x14ac:dyDescent="0.25"/>
    <row r="36" spans="1:9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9" ht="38.25" customHeight="1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9" s="21" customFormat="1" ht="24.75" customHeight="1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</row>
    <row r="39" spans="1:9" s="21" customFormat="1" ht="24.75" customHeight="1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</row>
    <row r="40" spans="1:9" s="21" customFormat="1" ht="24.75" customHeight="1" x14ac:dyDescent="0.25">
      <c r="A40" s="52" t="s">
        <v>48</v>
      </c>
      <c r="B40" s="20">
        <v>46282</v>
      </c>
      <c r="C40" s="22">
        <v>1</v>
      </c>
      <c r="D40" s="22">
        <v>1</v>
      </c>
      <c r="E40" s="182" t="s">
        <v>47</v>
      </c>
      <c r="F40" s="183"/>
    </row>
    <row r="41" spans="1:9" s="21" customFormat="1" ht="24.75" customHeight="1" x14ac:dyDescent="0.25">
      <c r="A41" s="52"/>
      <c r="B41" s="20"/>
      <c r="C41" s="22"/>
      <c r="D41" s="22"/>
      <c r="E41" s="182"/>
      <c r="F41" s="183"/>
    </row>
    <row r="42" spans="1:9" s="21" customFormat="1" ht="24.75" customHeight="1" x14ac:dyDescent="0.25">
      <c r="A42" s="52"/>
      <c r="B42" s="20"/>
      <c r="C42" s="22"/>
      <c r="D42" s="22"/>
      <c r="E42" s="75"/>
      <c r="F42" s="76"/>
    </row>
    <row r="43" spans="1:9" s="21" customFormat="1" ht="24.75" customHeight="1" x14ac:dyDescent="0.25">
      <c r="A43" s="10"/>
      <c r="B43" s="20"/>
      <c r="C43" s="22"/>
      <c r="D43" s="22">
        <f>SUM(D38:D42)</f>
        <v>4</v>
      </c>
      <c r="E43" s="182"/>
      <c r="F43" s="183"/>
    </row>
    <row r="44" spans="1:9" s="21" customFormat="1" ht="24.75" customHeight="1" x14ac:dyDescent="0.25">
      <c r="A44"/>
      <c r="B44"/>
      <c r="C44"/>
      <c r="D44"/>
      <c r="E44"/>
      <c r="F44"/>
      <c r="G44"/>
    </row>
    <row r="45" spans="1:9" ht="21" customHeight="1" x14ac:dyDescent="0.25">
      <c r="F45"/>
    </row>
    <row r="46" spans="1:9" x14ac:dyDescent="0.25">
      <c r="F46"/>
    </row>
    <row r="47" spans="1:9" x14ac:dyDescent="0.25">
      <c r="F47"/>
    </row>
    <row r="48" spans="1:9" x14ac:dyDescent="0.25">
      <c r="F48"/>
    </row>
    <row r="60" spans="1:5" x14ac:dyDescent="0.25">
      <c r="A60" s="39" t="s">
        <v>60</v>
      </c>
      <c r="B60" s="35">
        <v>1</v>
      </c>
      <c r="C60" s="34">
        <v>0</v>
      </c>
      <c r="D60" s="34" t="s">
        <v>61</v>
      </c>
    </row>
    <row r="61" spans="1:5" ht="17.399999999999999" x14ac:dyDescent="0.3">
      <c r="A61" s="2" t="s">
        <v>62</v>
      </c>
      <c r="B61" s="35">
        <v>1</v>
      </c>
      <c r="C61" s="34">
        <v>0</v>
      </c>
      <c r="D61" s="2" t="s">
        <v>63</v>
      </c>
      <c r="E61" s="4"/>
    </row>
    <row r="62" spans="1:5" ht="17.399999999999999" x14ac:dyDescent="0.3">
      <c r="E62" s="4"/>
    </row>
    <row r="63" spans="1:5" ht="19.2" x14ac:dyDescent="0.45">
      <c r="A63" s="7" t="s">
        <v>64</v>
      </c>
      <c r="B63" s="7">
        <v>1</v>
      </c>
      <c r="C63" s="7">
        <v>0</v>
      </c>
      <c r="D63" s="7" t="s">
        <v>65</v>
      </c>
      <c r="E63" s="4"/>
    </row>
    <row r="64" spans="1:5" ht="17.399999999999999" x14ac:dyDescent="0.3">
      <c r="A64" s="52"/>
      <c r="E64" s="4"/>
    </row>
    <row r="65" spans="1:5" x14ac:dyDescent="0.25">
      <c r="A65" s="3"/>
      <c r="B65" s="52"/>
      <c r="C65" s="52"/>
      <c r="D65" s="52"/>
    </row>
    <row r="66" spans="1:5" ht="17.399999999999999" x14ac:dyDescent="0.3">
      <c r="A66" s="4"/>
    </row>
    <row r="67" spans="1:5" ht="216.6" x14ac:dyDescent="0.3">
      <c r="A67" s="85" t="s">
        <v>66</v>
      </c>
      <c r="B67" s="86" t="s">
        <v>67</v>
      </c>
      <c r="E67" s="4"/>
    </row>
    <row r="68" spans="1:5" ht="17.399999999999999" x14ac:dyDescent="0.3">
      <c r="E68" s="4"/>
    </row>
    <row r="71" spans="1:5" ht="17.399999999999999" x14ac:dyDescent="0.3">
      <c r="E71" s="4"/>
    </row>
    <row r="72" spans="1:5" ht="17.399999999999999" x14ac:dyDescent="0.3">
      <c r="E72" s="4"/>
    </row>
  </sheetData>
  <mergeCells count="10">
    <mergeCell ref="E39:F39"/>
    <mergeCell ref="E40:F40"/>
    <mergeCell ref="E41:F41"/>
    <mergeCell ref="E43:F43"/>
    <mergeCell ref="A1:I1"/>
    <mergeCell ref="A4:E4"/>
    <mergeCell ref="F4:I4"/>
    <mergeCell ref="A36:F36"/>
    <mergeCell ref="E37:F37"/>
    <mergeCell ref="E38:F38"/>
  </mergeCells>
  <hyperlinks>
    <hyperlink ref="B67" r:id="rId1" xr:uid="{F470675F-D2B0-45D8-B6A3-1BAEC069B051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9D99-3F70-44E7-BB3E-509F758E5177}">
  <dimension ref="A1:J72"/>
  <sheetViews>
    <sheetView topLeftCell="A4" workbookViewId="0">
      <selection activeCell="E8" sqref="E8"/>
    </sheetView>
  </sheetViews>
  <sheetFormatPr defaultRowHeight="14.4" x14ac:dyDescent="0.25"/>
  <cols>
    <col min="1" max="1" width="32.33203125" customWidth="1"/>
    <col min="2" max="2" width="12.6640625" customWidth="1"/>
    <col min="3" max="3" width="10.6640625" customWidth="1"/>
    <col min="4" max="4" width="12.77734375" customWidth="1"/>
    <col min="5" max="5" width="35.6640625" customWidth="1"/>
    <col min="6" max="6" width="35.109375" style="8" customWidth="1"/>
    <col min="7" max="7" width="12.6640625" customWidth="1"/>
    <col min="8" max="8" width="12.44140625" customWidth="1"/>
    <col min="9" max="9" width="35.6640625" customWidth="1"/>
  </cols>
  <sheetData>
    <row r="1" spans="1:10" ht="25.5" customHeight="1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41.25" customHeight="1" x14ac:dyDescent="0.25">
      <c r="A2" s="13" t="s">
        <v>1</v>
      </c>
      <c r="B2" s="14">
        <v>46289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0.5" customHeight="1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ht="21.75" customHeight="1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33" customHeight="1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s="37" customFormat="1" ht="37.5" customHeight="1" x14ac:dyDescent="0.25">
      <c r="A6" s="83" t="s">
        <v>396</v>
      </c>
      <c r="B6" s="83">
        <v>17</v>
      </c>
      <c r="C6" s="83">
        <v>0</v>
      </c>
      <c r="D6" s="83">
        <v>0</v>
      </c>
      <c r="E6" s="83" t="s">
        <v>397</v>
      </c>
      <c r="F6" s="83" t="s">
        <v>398</v>
      </c>
      <c r="G6" s="90">
        <v>4</v>
      </c>
      <c r="H6" s="83">
        <v>0</v>
      </c>
      <c r="I6" s="83" t="s">
        <v>399</v>
      </c>
      <c r="J6" s="38"/>
    </row>
    <row r="7" spans="1:10" s="37" customFormat="1" ht="27" customHeight="1" x14ac:dyDescent="0.25">
      <c r="A7" s="83" t="s">
        <v>327</v>
      </c>
      <c r="B7" s="83">
        <v>0</v>
      </c>
      <c r="C7" s="83">
        <v>1</v>
      </c>
      <c r="D7" s="83">
        <v>0</v>
      </c>
      <c r="E7" s="83" t="s">
        <v>400</v>
      </c>
      <c r="F7" s="83" t="s">
        <v>401</v>
      </c>
      <c r="G7" s="90">
        <v>1</v>
      </c>
      <c r="H7" s="83">
        <v>0</v>
      </c>
      <c r="I7" s="83" t="s">
        <v>402</v>
      </c>
      <c r="J7" s="38"/>
    </row>
    <row r="8" spans="1:10" s="37" customFormat="1" ht="38.25" customHeight="1" x14ac:dyDescent="0.25">
      <c r="A8" s="83" t="s">
        <v>403</v>
      </c>
      <c r="B8" s="83">
        <v>0</v>
      </c>
      <c r="C8" s="83">
        <v>1</v>
      </c>
      <c r="D8" s="83">
        <v>0</v>
      </c>
      <c r="E8" s="83" t="s">
        <v>404</v>
      </c>
      <c r="F8" s="83" t="s">
        <v>403</v>
      </c>
      <c r="G8" s="90">
        <v>1</v>
      </c>
      <c r="H8" s="83">
        <v>0</v>
      </c>
      <c r="I8" s="83" t="s">
        <v>405</v>
      </c>
      <c r="J8" s="38"/>
    </row>
    <row r="9" spans="1:10" s="21" customFormat="1" ht="27" customHeight="1" x14ac:dyDescent="0.25">
      <c r="A9" s="83" t="s">
        <v>279</v>
      </c>
      <c r="B9" s="83">
        <v>4</v>
      </c>
      <c r="C9" s="83">
        <v>0</v>
      </c>
      <c r="D9" s="83">
        <v>0</v>
      </c>
      <c r="E9" s="83" t="s">
        <v>406</v>
      </c>
      <c r="F9" s="83" t="s">
        <v>407</v>
      </c>
      <c r="G9" s="90">
        <v>10</v>
      </c>
      <c r="H9" s="83">
        <v>0</v>
      </c>
      <c r="I9" s="83" t="s">
        <v>408</v>
      </c>
    </row>
    <row r="10" spans="1:10" s="21" customFormat="1" ht="42.75" customHeight="1" x14ac:dyDescent="0.25">
      <c r="A10" s="83" t="s">
        <v>330</v>
      </c>
      <c r="B10" s="83">
        <v>0</v>
      </c>
      <c r="C10" s="83">
        <v>2</v>
      </c>
      <c r="D10" s="83">
        <v>0</v>
      </c>
      <c r="E10" s="83" t="s">
        <v>409</v>
      </c>
      <c r="F10" s="83" t="s">
        <v>410</v>
      </c>
      <c r="G10" s="90">
        <v>1</v>
      </c>
      <c r="H10" s="83">
        <v>0</v>
      </c>
      <c r="I10" s="83" t="s">
        <v>411</v>
      </c>
    </row>
    <row r="11" spans="1:10" s="21" customFormat="1" ht="27" customHeight="1" x14ac:dyDescent="0.25">
      <c r="A11" s="83" t="s">
        <v>412</v>
      </c>
      <c r="B11" s="83">
        <v>6</v>
      </c>
      <c r="C11" s="83">
        <v>0</v>
      </c>
      <c r="D11" s="83">
        <v>0</v>
      </c>
      <c r="E11" s="83" t="s">
        <v>413</v>
      </c>
      <c r="F11" s="83" t="s">
        <v>414</v>
      </c>
      <c r="G11" s="90">
        <v>1</v>
      </c>
      <c r="H11" s="83">
        <v>0</v>
      </c>
      <c r="I11" s="83" t="s">
        <v>415</v>
      </c>
    </row>
    <row r="12" spans="1:10" s="21" customFormat="1" ht="27" customHeight="1" x14ac:dyDescent="0.25">
      <c r="A12" s="83" t="s">
        <v>416</v>
      </c>
      <c r="B12" s="83">
        <v>8</v>
      </c>
      <c r="C12" s="83">
        <v>0</v>
      </c>
      <c r="D12" s="83">
        <v>0</v>
      </c>
      <c r="E12" s="83" t="s">
        <v>417</v>
      </c>
      <c r="F12" s="83" t="s">
        <v>412</v>
      </c>
      <c r="G12" s="90">
        <v>6</v>
      </c>
      <c r="H12" s="83">
        <v>0</v>
      </c>
      <c r="I12" s="83" t="s">
        <v>418</v>
      </c>
    </row>
    <row r="13" spans="1:10" s="21" customFormat="1" ht="30" customHeight="1" x14ac:dyDescent="0.25">
      <c r="A13" s="83" t="s">
        <v>419</v>
      </c>
      <c r="B13" s="83">
        <v>0</v>
      </c>
      <c r="C13" s="83">
        <v>3</v>
      </c>
      <c r="D13" s="83">
        <v>0</v>
      </c>
      <c r="E13" s="83" t="s">
        <v>420</v>
      </c>
      <c r="F13" s="83" t="s">
        <v>421</v>
      </c>
      <c r="G13" s="90">
        <v>16</v>
      </c>
      <c r="H13" s="83">
        <v>0</v>
      </c>
      <c r="I13" s="83" t="s">
        <v>422</v>
      </c>
    </row>
    <row r="14" spans="1:10" s="21" customFormat="1" ht="30" customHeight="1" x14ac:dyDescent="0.25">
      <c r="A14" s="83"/>
      <c r="B14" s="83"/>
      <c r="C14" s="83"/>
      <c r="D14" s="83"/>
      <c r="E14" s="83"/>
      <c r="F14" s="83" t="s">
        <v>423</v>
      </c>
      <c r="G14" s="90">
        <v>14</v>
      </c>
      <c r="H14" s="83">
        <v>0</v>
      </c>
      <c r="I14" s="83" t="s">
        <v>424</v>
      </c>
    </row>
    <row r="15" spans="1:10" ht="30" customHeight="1" x14ac:dyDescent="0.25">
      <c r="A15" s="83"/>
      <c r="B15" s="83"/>
      <c r="C15" s="83"/>
      <c r="D15" s="83"/>
      <c r="E15" s="83"/>
      <c r="F15" s="83" t="s">
        <v>425</v>
      </c>
      <c r="G15" s="90">
        <v>12</v>
      </c>
      <c r="H15" s="83">
        <v>0</v>
      </c>
      <c r="I15" s="83" t="s">
        <v>426</v>
      </c>
    </row>
    <row r="16" spans="1:10" ht="42.75" customHeight="1" x14ac:dyDescent="0.25">
      <c r="A16" s="83"/>
      <c r="B16" s="83"/>
      <c r="C16" s="83"/>
      <c r="D16" s="83"/>
      <c r="E16" s="83"/>
      <c r="F16" s="83" t="s">
        <v>427</v>
      </c>
      <c r="G16" s="90">
        <v>1</v>
      </c>
      <c r="H16" s="83">
        <v>0</v>
      </c>
      <c r="I16" s="83" t="s">
        <v>426</v>
      </c>
    </row>
    <row r="17" spans="1:9" ht="30" customHeight="1" x14ac:dyDescent="0.3">
      <c r="A17" s="82"/>
      <c r="B17" s="82"/>
      <c r="C17" s="82"/>
      <c r="D17" s="82"/>
      <c r="E17" s="82"/>
      <c r="F17" s="83" t="s">
        <v>396</v>
      </c>
      <c r="G17" s="90">
        <v>17</v>
      </c>
      <c r="H17" s="83">
        <v>0</v>
      </c>
      <c r="I17" s="83" t="s">
        <v>397</v>
      </c>
    </row>
    <row r="18" spans="1:9" ht="30" customHeight="1" x14ac:dyDescent="0.3">
      <c r="A18" s="82"/>
      <c r="B18" s="82"/>
      <c r="C18" s="82"/>
      <c r="D18" s="82"/>
      <c r="E18" s="82"/>
      <c r="F18" s="83" t="s">
        <v>419</v>
      </c>
      <c r="G18" s="90">
        <v>3</v>
      </c>
      <c r="H18" s="83">
        <v>0</v>
      </c>
      <c r="I18" s="83" t="s">
        <v>420</v>
      </c>
    </row>
    <row r="19" spans="1:9" ht="30" customHeight="1" x14ac:dyDescent="0.3">
      <c r="A19" s="82"/>
      <c r="B19" s="82"/>
      <c r="C19" s="82"/>
      <c r="D19" s="82"/>
      <c r="E19" s="82"/>
      <c r="F19" s="82" t="s">
        <v>428</v>
      </c>
      <c r="G19" s="87">
        <v>8</v>
      </c>
      <c r="H19" s="82">
        <v>0</v>
      </c>
      <c r="I19" s="82" t="s">
        <v>429</v>
      </c>
    </row>
    <row r="20" spans="1:9" ht="50.25" customHeight="1" x14ac:dyDescent="0.3">
      <c r="A20" s="82"/>
      <c r="B20" s="82"/>
      <c r="C20" s="82"/>
      <c r="D20" s="82"/>
      <c r="E20" s="82"/>
      <c r="F20" s="87" t="s">
        <v>430</v>
      </c>
      <c r="G20" s="87">
        <v>4</v>
      </c>
      <c r="H20" s="87">
        <v>0</v>
      </c>
      <c r="I20" s="87" t="s">
        <v>431</v>
      </c>
    </row>
    <row r="21" spans="1:9" ht="24.75" customHeight="1" x14ac:dyDescent="0.3">
      <c r="B21" s="51"/>
      <c r="C21" s="51"/>
      <c r="D21" s="51"/>
      <c r="E21" s="51"/>
      <c r="F21" s="88" t="s">
        <v>432</v>
      </c>
      <c r="G21" s="87">
        <v>5</v>
      </c>
      <c r="H21" s="87">
        <v>0</v>
      </c>
      <c r="I21" s="87" t="s">
        <v>433</v>
      </c>
    </row>
    <row r="22" spans="1:9" ht="24.75" customHeight="1" x14ac:dyDescent="0.3">
      <c r="B22" s="52"/>
      <c r="C22" s="52"/>
      <c r="D22" s="52"/>
      <c r="E22" s="52"/>
      <c r="F22" s="87" t="s">
        <v>434</v>
      </c>
      <c r="G22" s="87">
        <v>4</v>
      </c>
      <c r="H22" s="87">
        <v>0</v>
      </c>
      <c r="I22" s="87" t="s">
        <v>435</v>
      </c>
    </row>
    <row r="23" spans="1:9" ht="24.75" customHeight="1" x14ac:dyDescent="0.3">
      <c r="A23" s="52"/>
      <c r="B23" s="52"/>
      <c r="C23" s="52"/>
      <c r="D23" s="52"/>
      <c r="E23" s="52"/>
      <c r="F23" s="87" t="s">
        <v>436</v>
      </c>
      <c r="G23" s="87">
        <v>1</v>
      </c>
      <c r="H23" s="87">
        <v>0</v>
      </c>
      <c r="I23" s="87" t="s">
        <v>437</v>
      </c>
    </row>
    <row r="24" spans="1:9" ht="24.75" customHeight="1" x14ac:dyDescent="0.3">
      <c r="A24" s="52"/>
      <c r="B24" s="52"/>
      <c r="C24" s="52"/>
      <c r="D24" s="52"/>
      <c r="E24" s="52"/>
      <c r="F24" s="87" t="s">
        <v>438</v>
      </c>
      <c r="G24" s="87">
        <v>8</v>
      </c>
      <c r="H24" s="87">
        <v>0</v>
      </c>
      <c r="I24" s="89" t="s">
        <v>439</v>
      </c>
    </row>
    <row r="25" spans="1:9" ht="24.75" customHeight="1" x14ac:dyDescent="0.25">
      <c r="A25" s="52"/>
      <c r="B25" s="52"/>
      <c r="C25" s="52"/>
      <c r="D25" s="52"/>
      <c r="E25" s="52"/>
      <c r="F25" s="2" t="s">
        <v>440</v>
      </c>
      <c r="G25" s="91">
        <v>4</v>
      </c>
      <c r="H25" s="52">
        <v>0</v>
      </c>
      <c r="I25" s="2" t="s">
        <v>441</v>
      </c>
    </row>
    <row r="26" spans="1:9" ht="24.75" customHeight="1" x14ac:dyDescent="0.25">
      <c r="A26" s="52"/>
      <c r="B26" s="52"/>
      <c r="C26" s="52"/>
      <c r="D26" s="52"/>
      <c r="E26" s="52"/>
      <c r="F26" s="2" t="s">
        <v>442</v>
      </c>
      <c r="G26" s="91">
        <v>4</v>
      </c>
      <c r="H26" s="52">
        <v>0</v>
      </c>
      <c r="I26" s="2" t="s">
        <v>443</v>
      </c>
    </row>
    <row r="27" spans="1:9" ht="24.75" customHeight="1" x14ac:dyDescent="0.25">
      <c r="A27" s="53"/>
      <c r="B27" s="53"/>
      <c r="C27" s="53"/>
      <c r="D27" s="53"/>
      <c r="E27" s="53"/>
      <c r="F27" t="s">
        <v>444</v>
      </c>
      <c r="G27" s="92">
        <v>2</v>
      </c>
      <c r="H27" s="61">
        <v>0</v>
      </c>
      <c r="I27" s="2" t="s">
        <v>445</v>
      </c>
    </row>
    <row r="28" spans="1:9" ht="24.75" customHeight="1" x14ac:dyDescent="0.25">
      <c r="A28" s="41"/>
      <c r="B28" s="48"/>
      <c r="C28" s="48"/>
      <c r="D28" s="48"/>
      <c r="E28" s="36"/>
      <c r="F28" s="32"/>
      <c r="G28" s="32"/>
      <c r="H28" s="32"/>
      <c r="I28" s="32"/>
    </row>
    <row r="29" spans="1:9" ht="24.75" customHeight="1" x14ac:dyDescent="0.25">
      <c r="A29" s="41"/>
      <c r="B29" s="48"/>
      <c r="C29" s="48"/>
      <c r="D29" s="48"/>
      <c r="E29" s="36"/>
      <c r="F29" s="32"/>
      <c r="G29" s="32"/>
      <c r="H29" s="32"/>
      <c r="I29" s="32"/>
    </row>
    <row r="30" spans="1:9" ht="24.75" customHeight="1" x14ac:dyDescent="0.25">
      <c r="A30" s="41"/>
      <c r="B30" s="48"/>
      <c r="C30" s="48"/>
      <c r="D30" s="48"/>
      <c r="E30" s="36"/>
      <c r="F30" s="12"/>
      <c r="G30" s="29"/>
      <c r="H30" s="29"/>
      <c r="I30" s="31"/>
    </row>
    <row r="31" spans="1:9" ht="24.75" customHeight="1" x14ac:dyDescent="0.25">
      <c r="A31" s="41"/>
      <c r="B31" s="48"/>
      <c r="C31" s="48"/>
      <c r="D31" s="48"/>
      <c r="E31" s="36"/>
      <c r="F31" s="12"/>
      <c r="G31" s="30"/>
      <c r="H31" s="33"/>
      <c r="I31" s="31"/>
    </row>
    <row r="32" spans="1:9" ht="24.75" customHeight="1" x14ac:dyDescent="0.25">
      <c r="A32" s="40"/>
      <c r="B32" s="30"/>
      <c r="C32" s="30"/>
      <c r="D32" s="30"/>
      <c r="E32" s="29"/>
      <c r="F32" s="29"/>
      <c r="G32" s="30"/>
      <c r="H32" s="33"/>
      <c r="I32" s="31"/>
    </row>
    <row r="33" spans="1:9" s="11" customFormat="1" ht="30" customHeight="1" x14ac:dyDescent="0.25">
      <c r="A33" s="28">
        <f>COUNTA(A6:A32)</f>
        <v>8</v>
      </c>
      <c r="B33" s="28">
        <f>SUM(B6:B32)</f>
        <v>35</v>
      </c>
      <c r="C33" s="28">
        <f>SUM(C6:C32)</f>
        <v>7</v>
      </c>
      <c r="D33" s="28">
        <f>SUM(D6:D32)</f>
        <v>0</v>
      </c>
      <c r="E33" s="28"/>
      <c r="F33" s="28">
        <f>COUNTA(F6:F32)</f>
        <v>22</v>
      </c>
      <c r="G33" s="28">
        <f>SUM(G6:G32)</f>
        <v>127</v>
      </c>
      <c r="H33" s="28">
        <f>SUM(H6:H32)</f>
        <v>0</v>
      </c>
      <c r="I33" s="28"/>
    </row>
    <row r="34" spans="1:9" ht="13.5" customHeight="1" x14ac:dyDescent="0.25"/>
    <row r="36" spans="1:9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9" ht="38.25" customHeight="1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9" s="21" customFormat="1" ht="24.75" customHeight="1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</row>
    <row r="39" spans="1:9" s="21" customFormat="1" ht="24.75" customHeight="1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</row>
    <row r="40" spans="1:9" s="21" customFormat="1" ht="24.75" customHeight="1" x14ac:dyDescent="0.25">
      <c r="A40" s="52" t="s">
        <v>48</v>
      </c>
      <c r="B40" s="20">
        <v>46282</v>
      </c>
      <c r="C40" s="22">
        <v>1</v>
      </c>
      <c r="D40" s="22">
        <v>1</v>
      </c>
      <c r="E40" s="182" t="s">
        <v>47</v>
      </c>
      <c r="F40" s="183"/>
    </row>
    <row r="41" spans="1:9" s="21" customFormat="1" ht="24.75" customHeight="1" x14ac:dyDescent="0.25">
      <c r="A41" s="52"/>
      <c r="B41" s="20"/>
      <c r="C41" s="22"/>
      <c r="D41" s="22"/>
      <c r="E41" s="182"/>
      <c r="F41" s="183"/>
    </row>
    <row r="42" spans="1:9" s="21" customFormat="1" ht="24.75" customHeight="1" x14ac:dyDescent="0.25">
      <c r="A42" s="52"/>
      <c r="B42" s="20"/>
      <c r="C42" s="22"/>
      <c r="D42" s="22"/>
      <c r="E42" s="75"/>
      <c r="F42" s="76"/>
    </row>
    <row r="43" spans="1:9" s="21" customFormat="1" ht="24.75" customHeight="1" x14ac:dyDescent="0.25">
      <c r="A43" s="10"/>
      <c r="B43" s="20"/>
      <c r="C43" s="22"/>
      <c r="D43" s="22">
        <f>SUM(D38:D42)</f>
        <v>4</v>
      </c>
      <c r="E43" s="182"/>
      <c r="F43" s="183"/>
    </row>
    <row r="44" spans="1:9" s="21" customFormat="1" ht="24.75" customHeight="1" x14ac:dyDescent="0.25">
      <c r="A44"/>
      <c r="B44"/>
      <c r="C44"/>
      <c r="D44"/>
      <c r="E44"/>
      <c r="F44"/>
      <c r="G44"/>
    </row>
    <row r="45" spans="1:9" ht="21" customHeight="1" x14ac:dyDescent="0.25">
      <c r="F45"/>
    </row>
    <row r="46" spans="1:9" x14ac:dyDescent="0.25">
      <c r="F46"/>
    </row>
    <row r="47" spans="1:9" x14ac:dyDescent="0.25">
      <c r="F47"/>
    </row>
    <row r="48" spans="1:9" x14ac:dyDescent="0.25">
      <c r="F48"/>
    </row>
    <row r="60" spans="1:5" x14ac:dyDescent="0.25">
      <c r="A60" s="39" t="s">
        <v>60</v>
      </c>
      <c r="B60" s="35">
        <v>1</v>
      </c>
      <c r="C60" s="34">
        <v>0</v>
      </c>
      <c r="D60" s="34" t="s">
        <v>61</v>
      </c>
    </row>
    <row r="61" spans="1:5" ht="17.399999999999999" x14ac:dyDescent="0.3">
      <c r="A61" s="2" t="s">
        <v>62</v>
      </c>
      <c r="B61" s="35">
        <v>1</v>
      </c>
      <c r="C61" s="34">
        <v>0</v>
      </c>
      <c r="D61" s="2" t="s">
        <v>63</v>
      </c>
      <c r="E61" s="4"/>
    </row>
    <row r="62" spans="1:5" ht="17.399999999999999" x14ac:dyDescent="0.3">
      <c r="E62" s="4"/>
    </row>
    <row r="63" spans="1:5" ht="19.2" x14ac:dyDescent="0.45">
      <c r="A63" s="7" t="s">
        <v>64</v>
      </c>
      <c r="B63" s="7">
        <v>1</v>
      </c>
      <c r="C63" s="7">
        <v>0</v>
      </c>
      <c r="D63" s="7" t="s">
        <v>65</v>
      </c>
      <c r="E63" s="4"/>
    </row>
    <row r="64" spans="1:5" ht="17.399999999999999" x14ac:dyDescent="0.3">
      <c r="A64" s="52"/>
      <c r="E64" s="4"/>
    </row>
    <row r="65" spans="1:5" x14ac:dyDescent="0.25">
      <c r="A65" s="3"/>
      <c r="B65" s="52"/>
      <c r="C65" s="52"/>
      <c r="D65" s="52"/>
    </row>
    <row r="66" spans="1:5" ht="17.399999999999999" x14ac:dyDescent="0.3">
      <c r="A66" s="4"/>
    </row>
    <row r="67" spans="1:5" ht="216.6" x14ac:dyDescent="0.3">
      <c r="A67" s="85" t="s">
        <v>66</v>
      </c>
      <c r="B67" s="86" t="s">
        <v>67</v>
      </c>
      <c r="E67" s="4"/>
    </row>
    <row r="68" spans="1:5" ht="17.399999999999999" x14ac:dyDescent="0.3">
      <c r="E68" s="4"/>
    </row>
    <row r="71" spans="1:5" ht="17.399999999999999" x14ac:dyDescent="0.3">
      <c r="E71" s="4"/>
    </row>
    <row r="72" spans="1:5" ht="17.399999999999999" x14ac:dyDescent="0.3">
      <c r="E72" s="4"/>
    </row>
  </sheetData>
  <mergeCells count="10">
    <mergeCell ref="E39:F39"/>
    <mergeCell ref="E40:F40"/>
    <mergeCell ref="E41:F41"/>
    <mergeCell ref="E43:F43"/>
    <mergeCell ref="A1:I1"/>
    <mergeCell ref="A4:E4"/>
    <mergeCell ref="F4:I4"/>
    <mergeCell ref="A36:F36"/>
    <mergeCell ref="E37:F37"/>
    <mergeCell ref="E38:F38"/>
  </mergeCells>
  <hyperlinks>
    <hyperlink ref="B67" r:id="rId1" xr:uid="{21208B83-4303-4956-8DCA-39B005FA0F37}"/>
    <hyperlink ref="F21" r:id="rId2" xr:uid="{37A0898F-447D-4A20-83AD-0BE4E7CDCF83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2BE2-F487-4FDB-A93B-013586D9A620}">
  <dimension ref="A1:J72"/>
  <sheetViews>
    <sheetView topLeftCell="A2" workbookViewId="0">
      <selection activeCell="A26" sqref="A26"/>
    </sheetView>
  </sheetViews>
  <sheetFormatPr defaultRowHeight="14.4" x14ac:dyDescent="0.25"/>
  <cols>
    <col min="1" max="1" width="32.33203125" customWidth="1"/>
    <col min="2" max="2" width="12.6640625" customWidth="1"/>
    <col min="3" max="3" width="10.6640625" customWidth="1"/>
    <col min="4" max="4" width="12.77734375" customWidth="1"/>
    <col min="5" max="5" width="35.6640625" customWidth="1"/>
    <col min="6" max="6" width="35.109375" style="8" customWidth="1"/>
    <col min="7" max="7" width="12.6640625" customWidth="1"/>
    <col min="8" max="8" width="12.44140625" customWidth="1"/>
    <col min="9" max="9" width="35.6640625" customWidth="1"/>
  </cols>
  <sheetData>
    <row r="1" spans="1:10" ht="25.5" customHeight="1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41.25" customHeight="1" x14ac:dyDescent="0.25">
      <c r="A2" s="13" t="s">
        <v>1</v>
      </c>
      <c r="B2" s="14">
        <v>46288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0.5" customHeight="1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ht="21.75" customHeight="1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33" customHeight="1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s="37" customFormat="1" ht="37.5" customHeight="1" x14ac:dyDescent="0.3">
      <c r="A6" s="82" t="s">
        <v>442</v>
      </c>
      <c r="B6" s="82">
        <v>4</v>
      </c>
      <c r="C6" s="82">
        <v>0</v>
      </c>
      <c r="D6" s="82">
        <v>0</v>
      </c>
      <c r="E6" s="82" t="s">
        <v>446</v>
      </c>
      <c r="F6" s="82" t="s">
        <v>447</v>
      </c>
      <c r="G6" s="82">
        <v>4</v>
      </c>
      <c r="H6" s="82">
        <v>0</v>
      </c>
      <c r="I6" s="82" t="s">
        <v>448</v>
      </c>
      <c r="J6" s="38"/>
    </row>
    <row r="7" spans="1:10" s="37" customFormat="1" ht="27" customHeight="1" x14ac:dyDescent="0.3">
      <c r="A7" s="82" t="s">
        <v>449</v>
      </c>
      <c r="B7" s="82">
        <v>4</v>
      </c>
      <c r="C7" s="82">
        <v>0</v>
      </c>
      <c r="D7" s="82">
        <v>0</v>
      </c>
      <c r="E7" s="82" t="s">
        <v>450</v>
      </c>
      <c r="F7" s="82" t="s">
        <v>451</v>
      </c>
      <c r="G7" s="82">
        <v>10</v>
      </c>
      <c r="H7" s="82">
        <v>0</v>
      </c>
      <c r="I7" s="82" t="s">
        <v>452</v>
      </c>
      <c r="J7" s="38"/>
    </row>
    <row r="8" spans="1:10" s="37" customFormat="1" ht="38.25" customHeight="1" x14ac:dyDescent="0.3">
      <c r="A8" s="82" t="s">
        <v>453</v>
      </c>
      <c r="B8" s="82">
        <v>78</v>
      </c>
      <c r="C8" s="82">
        <v>0</v>
      </c>
      <c r="D8" s="82">
        <v>0</v>
      </c>
      <c r="E8" s="82" t="s">
        <v>454</v>
      </c>
      <c r="F8" s="82" t="s">
        <v>455</v>
      </c>
      <c r="G8" s="82">
        <v>39</v>
      </c>
      <c r="H8" s="82">
        <v>0</v>
      </c>
      <c r="I8" s="82" t="s">
        <v>456</v>
      </c>
      <c r="J8" s="38"/>
    </row>
    <row r="9" spans="1:10" s="21" customFormat="1" ht="27" customHeight="1" x14ac:dyDescent="0.3">
      <c r="A9" s="82" t="s">
        <v>457</v>
      </c>
      <c r="B9" s="82">
        <v>187</v>
      </c>
      <c r="C9" s="82">
        <v>0</v>
      </c>
      <c r="D9" s="82">
        <v>0</v>
      </c>
      <c r="E9" s="82" t="s">
        <v>458</v>
      </c>
      <c r="F9" s="82" t="s">
        <v>459</v>
      </c>
      <c r="G9" s="82">
        <v>6</v>
      </c>
      <c r="H9" s="82">
        <v>0</v>
      </c>
      <c r="I9" s="82" t="s">
        <v>460</v>
      </c>
    </row>
    <row r="10" spans="1:10" s="21" customFormat="1" ht="42.75" customHeight="1" x14ac:dyDescent="0.3">
      <c r="A10" s="82" t="s">
        <v>177</v>
      </c>
      <c r="B10" s="82">
        <v>0</v>
      </c>
      <c r="C10" s="82">
        <v>17</v>
      </c>
      <c r="D10" s="82">
        <v>0</v>
      </c>
      <c r="E10" s="82" t="s">
        <v>461</v>
      </c>
      <c r="F10" s="82" t="s">
        <v>462</v>
      </c>
      <c r="G10" s="82">
        <v>4</v>
      </c>
      <c r="H10" s="82">
        <v>0</v>
      </c>
      <c r="I10" s="82" t="s">
        <v>463</v>
      </c>
    </row>
    <row r="11" spans="1:10" s="21" customFormat="1" ht="27" customHeight="1" x14ac:dyDescent="0.3">
      <c r="A11" s="82" t="s">
        <v>341</v>
      </c>
      <c r="B11" s="82">
        <v>0</v>
      </c>
      <c r="C11" s="82">
        <v>3</v>
      </c>
      <c r="D11" s="82">
        <v>0</v>
      </c>
      <c r="E11" s="82" t="s">
        <v>464</v>
      </c>
      <c r="F11" s="82" t="s">
        <v>465</v>
      </c>
      <c r="G11" s="82">
        <v>1</v>
      </c>
      <c r="H11" s="82">
        <v>0</v>
      </c>
      <c r="I11" s="82" t="s">
        <v>466</v>
      </c>
    </row>
    <row r="12" spans="1:10" s="21" customFormat="1" ht="27" customHeight="1" x14ac:dyDescent="0.3">
      <c r="A12" s="82" t="s">
        <v>169</v>
      </c>
      <c r="B12" s="82">
        <v>2</v>
      </c>
      <c r="C12" s="82">
        <v>0</v>
      </c>
      <c r="D12" s="82">
        <v>0</v>
      </c>
      <c r="E12" s="82" t="s">
        <v>467</v>
      </c>
      <c r="F12" s="82" t="s">
        <v>468</v>
      </c>
      <c r="G12" s="82">
        <v>1</v>
      </c>
      <c r="H12" s="82">
        <v>0</v>
      </c>
      <c r="I12" s="82" t="s">
        <v>469</v>
      </c>
    </row>
    <row r="13" spans="1:10" s="21" customFormat="1" ht="30" customHeight="1" x14ac:dyDescent="0.3">
      <c r="A13" s="82" t="s">
        <v>166</v>
      </c>
      <c r="B13" s="82">
        <v>13</v>
      </c>
      <c r="C13" s="82">
        <v>0</v>
      </c>
      <c r="D13" s="82">
        <v>0</v>
      </c>
      <c r="E13" s="82" t="s">
        <v>470</v>
      </c>
      <c r="F13" s="82" t="s">
        <v>471</v>
      </c>
      <c r="G13" s="82">
        <v>1</v>
      </c>
      <c r="H13" s="82">
        <v>0</v>
      </c>
      <c r="I13" s="82" t="s">
        <v>472</v>
      </c>
    </row>
    <row r="14" spans="1:10" s="21" customFormat="1" ht="30" customHeight="1" x14ac:dyDescent="0.3">
      <c r="A14" s="82" t="s">
        <v>473</v>
      </c>
      <c r="B14" s="82">
        <v>18</v>
      </c>
      <c r="C14" s="82">
        <v>0</v>
      </c>
      <c r="D14" s="82">
        <v>0</v>
      </c>
      <c r="E14" s="82" t="s">
        <v>474</v>
      </c>
      <c r="F14" s="82" t="s">
        <v>442</v>
      </c>
      <c r="G14" s="82">
        <v>4</v>
      </c>
      <c r="H14" s="82">
        <v>0</v>
      </c>
      <c r="I14" s="82" t="s">
        <v>446</v>
      </c>
    </row>
    <row r="15" spans="1:10" ht="30" customHeight="1" x14ac:dyDescent="0.3">
      <c r="A15" s="82" t="s">
        <v>210</v>
      </c>
      <c r="B15" s="82">
        <v>2</v>
      </c>
      <c r="C15" s="82">
        <v>0</v>
      </c>
      <c r="D15" s="82">
        <v>0</v>
      </c>
      <c r="E15" s="82" t="s">
        <v>475</v>
      </c>
      <c r="F15" s="82" t="s">
        <v>169</v>
      </c>
      <c r="G15" s="82">
        <v>2</v>
      </c>
      <c r="H15" s="82">
        <v>0</v>
      </c>
      <c r="I15" s="82" t="s">
        <v>467</v>
      </c>
    </row>
    <row r="16" spans="1:10" ht="42.75" customHeight="1" x14ac:dyDescent="0.3">
      <c r="A16" s="82" t="s">
        <v>213</v>
      </c>
      <c r="B16" s="82">
        <v>3</v>
      </c>
      <c r="C16" s="82">
        <v>0</v>
      </c>
      <c r="D16" s="82">
        <v>0</v>
      </c>
      <c r="E16" s="82" t="s">
        <v>475</v>
      </c>
      <c r="F16" s="82" t="s">
        <v>166</v>
      </c>
      <c r="G16" s="82">
        <v>13</v>
      </c>
      <c r="H16" s="82">
        <v>0</v>
      </c>
      <c r="I16" s="82" t="s">
        <v>470</v>
      </c>
    </row>
    <row r="17" spans="1:9" ht="30" customHeight="1" x14ac:dyDescent="0.3">
      <c r="A17" s="84" t="s">
        <v>398</v>
      </c>
      <c r="B17" s="82">
        <v>4</v>
      </c>
      <c r="C17" s="82">
        <v>0</v>
      </c>
      <c r="D17" s="82">
        <v>0</v>
      </c>
      <c r="E17" s="82" t="s">
        <v>476</v>
      </c>
      <c r="F17" s="82" t="s">
        <v>477</v>
      </c>
      <c r="G17" s="82">
        <v>1</v>
      </c>
      <c r="H17" s="82">
        <v>0</v>
      </c>
      <c r="I17" s="82" t="s">
        <v>478</v>
      </c>
    </row>
    <row r="18" spans="1:9" ht="30" customHeight="1" x14ac:dyDescent="0.3">
      <c r="A18" s="82" t="s">
        <v>479</v>
      </c>
      <c r="B18" s="82">
        <v>0</v>
      </c>
      <c r="C18" s="82">
        <v>1</v>
      </c>
      <c r="D18" s="82">
        <v>0</v>
      </c>
      <c r="E18" s="82" t="s">
        <v>480</v>
      </c>
      <c r="F18" s="82"/>
      <c r="G18" s="82"/>
      <c r="H18" s="82"/>
      <c r="I18" s="82"/>
    </row>
    <row r="19" spans="1:9" ht="30" customHeight="1" x14ac:dyDescent="0.3">
      <c r="A19" s="82" t="s">
        <v>481</v>
      </c>
      <c r="B19" s="82">
        <v>0</v>
      </c>
      <c r="C19" s="82">
        <v>17</v>
      </c>
      <c r="D19" s="82">
        <v>0</v>
      </c>
      <c r="E19" s="82" t="s">
        <v>482</v>
      </c>
      <c r="F19" s="82"/>
      <c r="G19" s="82"/>
      <c r="H19" s="82"/>
      <c r="I19" s="82"/>
    </row>
    <row r="20" spans="1:9" ht="50.25" customHeight="1" x14ac:dyDescent="0.3">
      <c r="A20" s="82" t="s">
        <v>477</v>
      </c>
      <c r="B20" s="82">
        <v>0</v>
      </c>
      <c r="C20" s="82">
        <v>1</v>
      </c>
      <c r="D20" s="82">
        <v>0</v>
      </c>
      <c r="E20" s="82" t="s">
        <v>478</v>
      </c>
      <c r="F20" s="82"/>
      <c r="G20" s="82"/>
      <c r="H20" s="82"/>
      <c r="I20" s="82"/>
    </row>
    <row r="21" spans="1:9" ht="24.75" customHeight="1" x14ac:dyDescent="0.3">
      <c r="B21" s="51"/>
      <c r="C21" s="51"/>
      <c r="D21" s="51"/>
      <c r="E21" s="51"/>
      <c r="F21" s="82"/>
      <c r="G21" s="82"/>
      <c r="H21" s="82"/>
      <c r="I21" s="82"/>
    </row>
    <row r="22" spans="1:9" ht="24.75" customHeight="1" x14ac:dyDescent="0.45">
      <c r="B22" s="52"/>
      <c r="C22" s="52"/>
      <c r="D22" s="52"/>
      <c r="E22" s="52"/>
      <c r="F22" s="81"/>
      <c r="G22" s="52"/>
      <c r="H22" s="52"/>
      <c r="I22" s="52"/>
    </row>
    <row r="23" spans="1:9" ht="24.7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</row>
    <row r="24" spans="1:9" ht="24.75" customHeight="1" x14ac:dyDescent="0.25">
      <c r="A24" s="52"/>
      <c r="B24" s="52"/>
      <c r="C24" s="52"/>
      <c r="D24" s="52"/>
      <c r="E24" s="52"/>
      <c r="F24" s="52"/>
      <c r="G24" s="52"/>
      <c r="H24" s="52"/>
      <c r="I24" s="52"/>
    </row>
    <row r="25" spans="1:9" ht="24.75" customHeight="1" x14ac:dyDescent="0.25">
      <c r="A25" s="52"/>
      <c r="B25" s="52"/>
      <c r="C25" s="52"/>
      <c r="D25" s="52"/>
      <c r="E25" s="52"/>
      <c r="F25" s="52"/>
      <c r="G25" s="52"/>
      <c r="H25" s="52"/>
      <c r="I25" s="52"/>
    </row>
    <row r="26" spans="1:9" ht="24.75" customHeight="1" x14ac:dyDescent="0.25">
      <c r="A26" s="52"/>
      <c r="B26" s="52"/>
      <c r="C26" s="52"/>
      <c r="D26" s="52"/>
      <c r="E26" s="52"/>
      <c r="F26" s="52"/>
      <c r="G26" s="52"/>
      <c r="H26" s="52"/>
      <c r="I26" s="52"/>
    </row>
    <row r="27" spans="1:9" ht="24.75" customHeight="1" x14ac:dyDescent="0.25">
      <c r="A27" s="53"/>
      <c r="B27" s="53"/>
      <c r="C27" s="53"/>
      <c r="D27" s="53"/>
      <c r="E27" s="53"/>
      <c r="F27" s="61"/>
      <c r="G27" s="61"/>
      <c r="H27" s="61"/>
      <c r="I27" s="61"/>
    </row>
    <row r="28" spans="1:9" ht="24.75" customHeight="1" x14ac:dyDescent="0.25">
      <c r="A28" s="41"/>
      <c r="B28" s="48"/>
      <c r="C28" s="48"/>
      <c r="D28" s="48"/>
      <c r="E28" s="36"/>
      <c r="F28" s="32"/>
      <c r="G28" s="32"/>
      <c r="H28" s="32"/>
      <c r="I28" s="32"/>
    </row>
    <row r="29" spans="1:9" ht="24.75" customHeight="1" x14ac:dyDescent="0.25">
      <c r="A29" s="41"/>
      <c r="B29" s="48"/>
      <c r="C29" s="48"/>
      <c r="D29" s="48"/>
      <c r="E29" s="36"/>
      <c r="F29" s="32"/>
      <c r="G29" s="32"/>
      <c r="H29" s="32"/>
      <c r="I29" s="32"/>
    </row>
    <row r="30" spans="1:9" ht="24.75" customHeight="1" x14ac:dyDescent="0.25">
      <c r="A30" s="41"/>
      <c r="B30" s="48"/>
      <c r="C30" s="48"/>
      <c r="D30" s="48"/>
      <c r="E30" s="36"/>
      <c r="F30" s="12"/>
      <c r="G30" s="29"/>
      <c r="H30" s="29"/>
      <c r="I30" s="31"/>
    </row>
    <row r="31" spans="1:9" ht="24.75" customHeight="1" x14ac:dyDescent="0.25">
      <c r="A31" s="41"/>
      <c r="B31" s="48"/>
      <c r="C31" s="48"/>
      <c r="D31" s="48"/>
      <c r="E31" s="36"/>
      <c r="F31" s="12"/>
      <c r="G31" s="30"/>
      <c r="H31" s="33"/>
      <c r="I31" s="31"/>
    </row>
    <row r="32" spans="1:9" ht="24.75" customHeight="1" x14ac:dyDescent="0.25">
      <c r="A32" s="40"/>
      <c r="B32" s="30"/>
      <c r="C32" s="30"/>
      <c r="D32" s="30"/>
      <c r="E32" s="29"/>
      <c r="F32" s="29"/>
      <c r="G32" s="30"/>
      <c r="H32" s="33"/>
      <c r="I32" s="31"/>
    </row>
    <row r="33" spans="1:9" s="11" customFormat="1" ht="30" customHeight="1" x14ac:dyDescent="0.25">
      <c r="A33" s="28">
        <f>COUNTA(A6:A32)</f>
        <v>15</v>
      </c>
      <c r="B33" s="28">
        <f>SUM(B6:B32)</f>
        <v>315</v>
      </c>
      <c r="C33" s="28">
        <f>SUM(C6:C32)</f>
        <v>39</v>
      </c>
      <c r="D33" s="28">
        <f>SUM(D6:D32)</f>
        <v>0</v>
      </c>
      <c r="E33" s="28"/>
      <c r="F33" s="28">
        <f>COUNTA(F6:F32)</f>
        <v>12</v>
      </c>
      <c r="G33" s="28">
        <f>SUM(G6:G26)</f>
        <v>86</v>
      </c>
      <c r="H33" s="28">
        <f>SUM(H6:H32)</f>
        <v>0</v>
      </c>
      <c r="I33" s="28"/>
    </row>
    <row r="34" spans="1:9" ht="13.5" customHeight="1" x14ac:dyDescent="0.25"/>
    <row r="36" spans="1:9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9" ht="38.25" customHeight="1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9" s="21" customFormat="1" ht="24.75" customHeight="1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</row>
    <row r="39" spans="1:9" s="21" customFormat="1" ht="24.75" customHeight="1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</row>
    <row r="40" spans="1:9" s="21" customFormat="1" ht="24.75" customHeight="1" x14ac:dyDescent="0.25">
      <c r="A40" s="52" t="s">
        <v>48</v>
      </c>
      <c r="B40" s="20">
        <v>46282</v>
      </c>
      <c r="C40" s="22">
        <v>1</v>
      </c>
      <c r="D40" s="22">
        <v>1</v>
      </c>
      <c r="E40" s="182" t="s">
        <v>47</v>
      </c>
      <c r="F40" s="183"/>
    </row>
    <row r="41" spans="1:9" s="21" customFormat="1" ht="24.75" customHeight="1" x14ac:dyDescent="0.25">
      <c r="A41" s="52" t="s">
        <v>483</v>
      </c>
      <c r="B41" s="20">
        <v>46281</v>
      </c>
      <c r="C41" s="22">
        <v>28</v>
      </c>
      <c r="D41" s="22">
        <v>0</v>
      </c>
      <c r="E41" s="182" t="s">
        <v>45</v>
      </c>
      <c r="F41" s="183"/>
    </row>
    <row r="42" spans="1:9" s="21" customFormat="1" ht="24.75" customHeight="1" x14ac:dyDescent="0.25">
      <c r="A42" s="52" t="s">
        <v>484</v>
      </c>
      <c r="B42" s="20">
        <v>46276</v>
      </c>
      <c r="C42" s="22">
        <v>27</v>
      </c>
      <c r="D42" s="22">
        <v>0</v>
      </c>
      <c r="E42" s="75" t="s">
        <v>485</v>
      </c>
      <c r="F42" s="76"/>
    </row>
    <row r="43" spans="1:9" s="21" customFormat="1" ht="24.75" customHeight="1" x14ac:dyDescent="0.25">
      <c r="A43" s="10"/>
      <c r="B43" s="20"/>
      <c r="C43" s="22"/>
      <c r="D43" s="22">
        <f>SUM(D38:D42)</f>
        <v>4</v>
      </c>
      <c r="E43" s="182"/>
      <c r="F43" s="183"/>
    </row>
    <row r="44" spans="1:9" s="21" customFormat="1" ht="24.75" customHeight="1" x14ac:dyDescent="0.25">
      <c r="A44"/>
      <c r="B44"/>
      <c r="C44"/>
      <c r="D44"/>
      <c r="E44"/>
      <c r="F44"/>
      <c r="G44"/>
    </row>
    <row r="45" spans="1:9" ht="21" customHeight="1" x14ac:dyDescent="0.25">
      <c r="F45"/>
    </row>
    <row r="46" spans="1:9" x14ac:dyDescent="0.25">
      <c r="F46"/>
    </row>
    <row r="47" spans="1:9" x14ac:dyDescent="0.25">
      <c r="F47"/>
    </row>
    <row r="48" spans="1:9" x14ac:dyDescent="0.25">
      <c r="F48"/>
    </row>
    <row r="60" spans="1:5" x14ac:dyDescent="0.25">
      <c r="A60" s="39" t="s">
        <v>60</v>
      </c>
      <c r="B60" s="35">
        <v>1</v>
      </c>
      <c r="C60" s="34">
        <v>0</v>
      </c>
      <c r="D60" s="34" t="s">
        <v>61</v>
      </c>
    </row>
    <row r="61" spans="1:5" ht="17.399999999999999" x14ac:dyDescent="0.3">
      <c r="A61" s="2" t="s">
        <v>62</v>
      </c>
      <c r="B61" s="35">
        <v>1</v>
      </c>
      <c r="C61" s="34">
        <v>0</v>
      </c>
      <c r="D61" s="2" t="s">
        <v>63</v>
      </c>
      <c r="E61" s="4"/>
    </row>
    <row r="62" spans="1:5" ht="17.399999999999999" x14ac:dyDescent="0.3">
      <c r="E62" s="4"/>
    </row>
    <row r="63" spans="1:5" ht="19.2" x14ac:dyDescent="0.45">
      <c r="A63" s="7" t="s">
        <v>64</v>
      </c>
      <c r="B63" s="7">
        <v>1</v>
      </c>
      <c r="C63" s="7">
        <v>0</v>
      </c>
      <c r="D63" s="7" t="s">
        <v>65</v>
      </c>
      <c r="E63" s="4"/>
    </row>
    <row r="64" spans="1:5" ht="17.399999999999999" x14ac:dyDescent="0.3">
      <c r="A64" s="52"/>
      <c r="E64" s="4"/>
    </row>
    <row r="65" spans="1:5" x14ac:dyDescent="0.25">
      <c r="A65" s="3"/>
      <c r="B65" s="52"/>
      <c r="C65" s="52"/>
      <c r="D65" s="52"/>
    </row>
    <row r="66" spans="1:5" ht="17.399999999999999" x14ac:dyDescent="0.3">
      <c r="A66" s="4"/>
    </row>
    <row r="67" spans="1:5" ht="17.399999999999999" x14ac:dyDescent="0.3">
      <c r="E67" s="4"/>
    </row>
    <row r="68" spans="1:5" ht="17.399999999999999" x14ac:dyDescent="0.3">
      <c r="E68" s="4"/>
    </row>
    <row r="71" spans="1:5" ht="17.399999999999999" x14ac:dyDescent="0.3">
      <c r="E71" s="4"/>
    </row>
    <row r="72" spans="1:5" ht="17.399999999999999" x14ac:dyDescent="0.3">
      <c r="E72" s="4"/>
    </row>
  </sheetData>
  <mergeCells count="10">
    <mergeCell ref="E39:F39"/>
    <mergeCell ref="E40:F40"/>
    <mergeCell ref="E41:F41"/>
    <mergeCell ref="E43:F43"/>
    <mergeCell ref="A1:I1"/>
    <mergeCell ref="A4:E4"/>
    <mergeCell ref="F4:I4"/>
    <mergeCell ref="A36:F36"/>
    <mergeCell ref="E37:F37"/>
    <mergeCell ref="E38:F3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2557-1A0E-4FCA-B922-5AA4CCE00473}">
  <dimension ref="A1:J72"/>
  <sheetViews>
    <sheetView topLeftCell="A4" workbookViewId="0">
      <selection sqref="A1:I2"/>
    </sheetView>
  </sheetViews>
  <sheetFormatPr defaultRowHeight="14.4" x14ac:dyDescent="0.25"/>
  <cols>
    <col min="1" max="1" width="32.33203125" customWidth="1"/>
    <col min="2" max="2" width="12.6640625" customWidth="1"/>
    <col min="3" max="3" width="10.6640625" customWidth="1"/>
    <col min="4" max="4" width="12.77734375" customWidth="1"/>
    <col min="5" max="5" width="35.6640625" customWidth="1"/>
    <col min="6" max="6" width="35.109375" style="8" customWidth="1"/>
    <col min="7" max="7" width="12.6640625" customWidth="1"/>
    <col min="8" max="8" width="12.44140625" customWidth="1"/>
    <col min="9" max="9" width="35.6640625" customWidth="1"/>
  </cols>
  <sheetData>
    <row r="1" spans="1:10" ht="25.5" customHeight="1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21.75" customHeight="1" x14ac:dyDescent="0.25">
      <c r="A2" s="13" t="s">
        <v>1</v>
      </c>
      <c r="B2" s="14">
        <v>46287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0.5" customHeight="1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ht="21.75" customHeight="1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33" customHeight="1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s="37" customFormat="1" ht="37.5" customHeight="1" x14ac:dyDescent="0.45">
      <c r="A6" s="7" t="s">
        <v>137</v>
      </c>
      <c r="B6" s="7">
        <v>4</v>
      </c>
      <c r="C6" s="7">
        <v>0</v>
      </c>
      <c r="D6" s="7">
        <v>0</v>
      </c>
      <c r="E6" s="7" t="s">
        <v>486</v>
      </c>
      <c r="F6" s="7" t="s">
        <v>487</v>
      </c>
      <c r="G6" s="7">
        <v>3</v>
      </c>
      <c r="H6" s="7">
        <v>0</v>
      </c>
      <c r="I6" s="7" t="s">
        <v>488</v>
      </c>
      <c r="J6" s="38"/>
    </row>
    <row r="7" spans="1:10" s="37" customFormat="1" ht="27" customHeight="1" x14ac:dyDescent="0.45">
      <c r="A7" s="7" t="s">
        <v>489</v>
      </c>
      <c r="B7" s="7">
        <v>0</v>
      </c>
      <c r="C7" s="7">
        <v>12</v>
      </c>
      <c r="D7" s="7">
        <v>0</v>
      </c>
      <c r="E7" s="7" t="s">
        <v>490</v>
      </c>
      <c r="F7" s="7" t="s">
        <v>491</v>
      </c>
      <c r="G7" s="7">
        <v>1</v>
      </c>
      <c r="H7" s="7">
        <v>0</v>
      </c>
      <c r="I7" s="7" t="s">
        <v>492</v>
      </c>
      <c r="J7" s="38"/>
    </row>
    <row r="8" spans="1:10" s="37" customFormat="1" ht="38.25" customHeight="1" x14ac:dyDescent="0.45">
      <c r="A8" s="7" t="s">
        <v>364</v>
      </c>
      <c r="B8" s="7">
        <v>0</v>
      </c>
      <c r="C8" s="7">
        <v>1</v>
      </c>
      <c r="D8" s="7">
        <v>0</v>
      </c>
      <c r="E8" s="7" t="s">
        <v>493</v>
      </c>
      <c r="F8" s="7" t="s">
        <v>494</v>
      </c>
      <c r="G8" s="7">
        <v>3</v>
      </c>
      <c r="H8" s="7">
        <v>0</v>
      </c>
      <c r="I8" s="7" t="s">
        <v>495</v>
      </c>
      <c r="J8" s="38"/>
    </row>
    <row r="9" spans="1:10" s="21" customFormat="1" ht="27" customHeight="1" x14ac:dyDescent="0.45">
      <c r="A9" s="7" t="s">
        <v>496</v>
      </c>
      <c r="B9" s="7">
        <v>39</v>
      </c>
      <c r="C9" s="7">
        <v>0</v>
      </c>
      <c r="D9" s="7">
        <v>0</v>
      </c>
      <c r="E9" s="7" t="s">
        <v>497</v>
      </c>
      <c r="F9" s="7" t="s">
        <v>498</v>
      </c>
      <c r="G9" s="7">
        <v>9</v>
      </c>
      <c r="H9" s="7">
        <v>0</v>
      </c>
      <c r="I9" s="7" t="s">
        <v>499</v>
      </c>
    </row>
    <row r="10" spans="1:10" s="21" customFormat="1" ht="27" customHeight="1" x14ac:dyDescent="0.45">
      <c r="A10" s="7"/>
      <c r="B10" s="7"/>
      <c r="C10" s="7"/>
      <c r="D10" s="7"/>
      <c r="E10" s="7"/>
      <c r="F10" s="7" t="s">
        <v>500</v>
      </c>
      <c r="G10" s="7">
        <v>21</v>
      </c>
      <c r="H10" s="7">
        <v>0</v>
      </c>
      <c r="I10" s="7" t="s">
        <v>501</v>
      </c>
    </row>
    <row r="11" spans="1:10" s="21" customFormat="1" ht="27" customHeight="1" x14ac:dyDescent="0.45">
      <c r="A11" s="7"/>
      <c r="B11" s="7"/>
      <c r="C11" s="7"/>
      <c r="D11" s="7"/>
      <c r="E11" s="7"/>
      <c r="F11" s="7" t="s">
        <v>502</v>
      </c>
      <c r="G11" s="7">
        <v>1</v>
      </c>
      <c r="H11" s="7">
        <v>0</v>
      </c>
      <c r="I11" s="2" t="s">
        <v>503</v>
      </c>
    </row>
    <row r="12" spans="1:10" s="21" customFormat="1" ht="27" customHeight="1" x14ac:dyDescent="0.45">
      <c r="A12" s="7"/>
      <c r="B12" s="7"/>
      <c r="C12" s="7"/>
      <c r="D12" s="7"/>
      <c r="E12" s="7"/>
    </row>
    <row r="13" spans="1:10" s="21" customFormat="1" ht="30" customHeight="1" x14ac:dyDescent="0.45">
      <c r="A13" s="7"/>
      <c r="B13" s="7"/>
      <c r="C13" s="7"/>
      <c r="D13" s="7"/>
      <c r="E13" s="7"/>
      <c r="F13" s="7"/>
      <c r="G13" s="7"/>
      <c r="H13" s="7"/>
      <c r="I13" s="7"/>
    </row>
    <row r="14" spans="1:10" s="21" customFormat="1" ht="30" customHeight="1" x14ac:dyDescent="0.45">
      <c r="A14" s="7"/>
      <c r="B14" s="7"/>
      <c r="C14" s="7"/>
      <c r="D14" s="7"/>
      <c r="E14" s="7"/>
      <c r="F14" s="7"/>
      <c r="G14" s="7"/>
      <c r="H14" s="7"/>
      <c r="I14" s="7"/>
    </row>
    <row r="15" spans="1:10" ht="30" customHeight="1" x14ac:dyDescent="0.45">
      <c r="A15" s="7"/>
      <c r="B15" s="7"/>
      <c r="C15" s="7"/>
      <c r="D15" s="7"/>
      <c r="E15" s="7"/>
      <c r="F15" s="7"/>
      <c r="G15" s="7"/>
      <c r="H15" s="7"/>
      <c r="I15" s="7"/>
    </row>
    <row r="16" spans="1:10" ht="42.75" customHeight="1" x14ac:dyDescent="0.45">
      <c r="A16" s="50"/>
      <c r="B16" s="50"/>
      <c r="C16" s="50"/>
      <c r="D16" s="50"/>
      <c r="E16" s="50"/>
      <c r="F16" s="50"/>
      <c r="G16" s="50"/>
      <c r="H16" s="50"/>
      <c r="I16" s="80"/>
    </row>
    <row r="17" spans="1:9" ht="30" customHeight="1" x14ac:dyDescent="0.45">
      <c r="A17" s="7"/>
      <c r="B17" s="7"/>
      <c r="C17" s="7"/>
      <c r="D17" s="7"/>
      <c r="E17" s="7"/>
      <c r="F17" s="52"/>
      <c r="G17" s="7"/>
      <c r="H17" s="7"/>
      <c r="I17" s="2"/>
    </row>
    <row r="18" spans="1:9" ht="30" customHeight="1" x14ac:dyDescent="0.25">
      <c r="A18" s="52"/>
      <c r="B18" s="52"/>
      <c r="C18" s="52"/>
      <c r="D18" s="52"/>
      <c r="E18" s="52"/>
      <c r="F18" s="52"/>
      <c r="G18" s="52"/>
      <c r="H18" s="52"/>
      <c r="I18" s="52"/>
    </row>
    <row r="19" spans="1:9" ht="30" customHeight="1" x14ac:dyDescent="0.25">
      <c r="A19" s="52"/>
      <c r="B19" s="52"/>
      <c r="C19" s="52"/>
      <c r="D19" s="52"/>
      <c r="E19" s="52"/>
      <c r="F19" s="52"/>
      <c r="G19" s="52"/>
      <c r="H19" s="52"/>
      <c r="I19" s="52"/>
    </row>
    <row r="20" spans="1:9" ht="24.75" customHeight="1" x14ac:dyDescent="0.25">
      <c r="A20" s="51"/>
      <c r="B20" s="51"/>
      <c r="C20" s="51"/>
      <c r="D20" s="51"/>
      <c r="E20" s="51"/>
      <c r="F20" s="51"/>
      <c r="G20" s="51"/>
      <c r="H20" s="51"/>
      <c r="I20" s="51"/>
    </row>
    <row r="21" spans="1:9" ht="24.75" customHeight="1" x14ac:dyDescent="0.25">
      <c r="A21" s="52"/>
      <c r="B21" s="52"/>
      <c r="C21" s="52"/>
      <c r="D21" s="52"/>
      <c r="E21" s="52"/>
      <c r="F21" s="52"/>
      <c r="G21" s="52"/>
      <c r="H21" s="52"/>
      <c r="I21" s="52"/>
    </row>
    <row r="22" spans="1:9" ht="24.75" customHeight="1" x14ac:dyDescent="0.25">
      <c r="A22" s="52"/>
      <c r="B22" s="52"/>
      <c r="C22" s="52"/>
      <c r="D22" s="52"/>
      <c r="E22" s="52"/>
      <c r="F22" s="52"/>
      <c r="G22" s="52"/>
      <c r="H22" s="52"/>
      <c r="I22" s="52"/>
    </row>
    <row r="23" spans="1:9" ht="24.7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</row>
    <row r="24" spans="1:9" ht="24.75" customHeight="1" x14ac:dyDescent="0.25">
      <c r="A24" s="52"/>
      <c r="B24" s="52"/>
      <c r="C24" s="52"/>
      <c r="D24" s="52"/>
      <c r="E24" s="52"/>
      <c r="F24" s="52"/>
      <c r="G24" s="52"/>
      <c r="H24" s="52"/>
      <c r="I24" s="52"/>
    </row>
    <row r="25" spans="1:9" ht="24.75" customHeight="1" x14ac:dyDescent="0.25">
      <c r="A25" s="52"/>
      <c r="B25" s="52"/>
      <c r="C25" s="52"/>
      <c r="D25" s="52"/>
      <c r="E25" s="52"/>
      <c r="F25" s="52"/>
      <c r="G25" s="52"/>
      <c r="H25" s="52"/>
      <c r="I25" s="52"/>
    </row>
    <row r="26" spans="1:9" ht="24.75" customHeight="1" x14ac:dyDescent="0.25">
      <c r="A26" s="52"/>
      <c r="B26" s="52"/>
      <c r="C26" s="52"/>
      <c r="D26" s="52"/>
      <c r="E26" s="52"/>
      <c r="F26" s="52"/>
      <c r="G26" s="52"/>
      <c r="H26" s="52"/>
      <c r="I26" s="52"/>
    </row>
    <row r="27" spans="1:9" ht="24.75" customHeight="1" x14ac:dyDescent="0.25">
      <c r="A27" s="53"/>
      <c r="B27" s="53"/>
      <c r="C27" s="53"/>
      <c r="D27" s="53"/>
      <c r="E27" s="53"/>
      <c r="F27" s="61"/>
      <c r="G27" s="61"/>
      <c r="H27" s="61"/>
      <c r="I27" s="61"/>
    </row>
    <row r="28" spans="1:9" ht="24.75" customHeight="1" x14ac:dyDescent="0.25">
      <c r="A28" s="41"/>
      <c r="B28" s="48"/>
      <c r="C28" s="48"/>
      <c r="D28" s="48"/>
      <c r="E28" s="36"/>
      <c r="F28" s="32"/>
      <c r="G28" s="32"/>
      <c r="H28" s="32"/>
      <c r="I28" s="32"/>
    </row>
    <row r="29" spans="1:9" ht="24.75" customHeight="1" x14ac:dyDescent="0.25">
      <c r="A29" s="41"/>
      <c r="B29" s="48"/>
      <c r="C29" s="48"/>
      <c r="D29" s="48"/>
      <c r="E29" s="36"/>
      <c r="F29" s="32"/>
      <c r="G29" s="32"/>
      <c r="H29" s="32"/>
      <c r="I29" s="32"/>
    </row>
    <row r="30" spans="1:9" ht="24.75" customHeight="1" x14ac:dyDescent="0.25">
      <c r="A30" s="41"/>
      <c r="B30" s="48"/>
      <c r="C30" s="48"/>
      <c r="D30" s="48"/>
      <c r="E30" s="36"/>
      <c r="F30" s="12"/>
      <c r="G30" s="29"/>
      <c r="H30" s="29"/>
      <c r="I30" s="31"/>
    </row>
    <row r="31" spans="1:9" ht="24.75" customHeight="1" x14ac:dyDescent="0.25">
      <c r="A31" s="41"/>
      <c r="B31" s="48"/>
      <c r="C31" s="48"/>
      <c r="D31" s="48"/>
      <c r="E31" s="36"/>
      <c r="F31" s="12"/>
      <c r="G31" s="30"/>
      <c r="H31" s="33"/>
      <c r="I31" s="31"/>
    </row>
    <row r="32" spans="1:9" ht="24.75" customHeight="1" x14ac:dyDescent="0.25">
      <c r="A32" s="40"/>
      <c r="B32" s="30"/>
      <c r="C32" s="30"/>
      <c r="D32" s="30"/>
      <c r="E32" s="29"/>
      <c r="F32" s="29"/>
      <c r="G32" s="30"/>
      <c r="H32" s="33"/>
      <c r="I32" s="31"/>
    </row>
    <row r="33" spans="1:9" s="11" customFormat="1" ht="30" customHeight="1" x14ac:dyDescent="0.25">
      <c r="A33" s="28">
        <f>COUNTA(A6:A32)</f>
        <v>4</v>
      </c>
      <c r="B33" s="28">
        <f>SUM(B6:B32)</f>
        <v>43</v>
      </c>
      <c r="C33" s="28">
        <f>SUM(C6:C32)</f>
        <v>13</v>
      </c>
      <c r="D33" s="28">
        <f>SUM(D6:D32)</f>
        <v>0</v>
      </c>
      <c r="E33" s="28"/>
      <c r="F33" s="28">
        <f>COUNTA(F6:F32)</f>
        <v>6</v>
      </c>
      <c r="G33" s="28">
        <f>SUM(G6:G26)</f>
        <v>38</v>
      </c>
      <c r="H33" s="28">
        <f>SUM(H6:H32)</f>
        <v>0</v>
      </c>
      <c r="I33" s="28"/>
    </row>
    <row r="34" spans="1:9" ht="13.5" customHeight="1" x14ac:dyDescent="0.25"/>
    <row r="36" spans="1:9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9" ht="38.25" customHeight="1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9" s="21" customFormat="1" ht="24.75" customHeight="1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</row>
    <row r="39" spans="1:9" s="21" customFormat="1" ht="24.75" customHeight="1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</row>
    <row r="40" spans="1:9" s="21" customFormat="1" ht="24.75" customHeight="1" x14ac:dyDescent="0.25">
      <c r="A40" s="52" t="s">
        <v>48</v>
      </c>
      <c r="B40" s="20">
        <v>46282</v>
      </c>
      <c r="C40" s="22">
        <v>1</v>
      </c>
      <c r="D40" s="22">
        <v>1</v>
      </c>
      <c r="E40" s="182" t="s">
        <v>47</v>
      </c>
      <c r="F40" s="183"/>
    </row>
    <row r="41" spans="1:9" s="21" customFormat="1" ht="24.75" customHeight="1" x14ac:dyDescent="0.25">
      <c r="A41" s="52" t="s">
        <v>483</v>
      </c>
      <c r="B41" s="20">
        <v>46281</v>
      </c>
      <c r="C41" s="22">
        <v>28</v>
      </c>
      <c r="D41" s="22">
        <v>0</v>
      </c>
      <c r="E41" s="182" t="s">
        <v>45</v>
      </c>
      <c r="F41" s="183"/>
    </row>
    <row r="42" spans="1:9" s="21" customFormat="1" ht="24.75" customHeight="1" x14ac:dyDescent="0.25">
      <c r="A42" s="52" t="s">
        <v>484</v>
      </c>
      <c r="B42" s="20">
        <v>46276</v>
      </c>
      <c r="C42" s="22">
        <v>27</v>
      </c>
      <c r="D42" s="22">
        <v>0</v>
      </c>
      <c r="E42" s="75" t="s">
        <v>485</v>
      </c>
      <c r="F42" s="76"/>
    </row>
    <row r="43" spans="1:9" s="21" customFormat="1" ht="24.75" customHeight="1" x14ac:dyDescent="0.25">
      <c r="A43" s="10"/>
      <c r="B43" s="20"/>
      <c r="C43" s="22"/>
      <c r="D43" s="22">
        <f>SUM(D38:D42)</f>
        <v>4</v>
      </c>
      <c r="E43" s="182"/>
      <c r="F43" s="183"/>
    </row>
    <row r="44" spans="1:9" s="21" customFormat="1" ht="24.75" customHeight="1" x14ac:dyDescent="0.25">
      <c r="A44"/>
      <c r="B44"/>
      <c r="C44"/>
      <c r="D44"/>
      <c r="E44"/>
      <c r="F44"/>
      <c r="G44"/>
    </row>
    <row r="45" spans="1:9" ht="21" customHeight="1" x14ac:dyDescent="0.25">
      <c r="F45"/>
    </row>
    <row r="46" spans="1:9" x14ac:dyDescent="0.25">
      <c r="F46"/>
    </row>
    <row r="47" spans="1:9" x14ac:dyDescent="0.25">
      <c r="F47"/>
    </row>
    <row r="48" spans="1:9" x14ac:dyDescent="0.25">
      <c r="F48"/>
    </row>
    <row r="60" spans="1:5" x14ac:dyDescent="0.25">
      <c r="A60" s="39" t="s">
        <v>60</v>
      </c>
      <c r="B60" s="35">
        <v>1</v>
      </c>
      <c r="C60" s="34">
        <v>0</v>
      </c>
      <c r="D60" s="34" t="s">
        <v>61</v>
      </c>
    </row>
    <row r="61" spans="1:5" ht="17.399999999999999" x14ac:dyDescent="0.3">
      <c r="A61" s="2" t="s">
        <v>62</v>
      </c>
      <c r="B61" s="35">
        <v>1</v>
      </c>
      <c r="C61" s="34">
        <v>0</v>
      </c>
      <c r="D61" s="2" t="s">
        <v>63</v>
      </c>
      <c r="E61" s="4"/>
    </row>
    <row r="62" spans="1:5" ht="17.399999999999999" x14ac:dyDescent="0.3">
      <c r="E62" s="4"/>
    </row>
    <row r="63" spans="1:5" ht="19.2" x14ac:dyDescent="0.45">
      <c r="A63" s="7" t="s">
        <v>64</v>
      </c>
      <c r="B63" s="7">
        <v>1</v>
      </c>
      <c r="C63" s="7">
        <v>0</v>
      </c>
      <c r="D63" s="7" t="s">
        <v>65</v>
      </c>
      <c r="E63" s="4"/>
    </row>
    <row r="64" spans="1:5" ht="17.399999999999999" x14ac:dyDescent="0.3">
      <c r="A64" s="52"/>
      <c r="E64" s="4"/>
    </row>
    <row r="65" spans="1:5" x14ac:dyDescent="0.25">
      <c r="A65" s="3"/>
      <c r="B65" s="52"/>
      <c r="C65" s="52"/>
      <c r="D65" s="52"/>
    </row>
    <row r="66" spans="1:5" ht="17.399999999999999" x14ac:dyDescent="0.3">
      <c r="A66" s="4"/>
    </row>
    <row r="67" spans="1:5" ht="17.399999999999999" x14ac:dyDescent="0.3">
      <c r="E67" s="4"/>
    </row>
    <row r="68" spans="1:5" ht="17.399999999999999" x14ac:dyDescent="0.3">
      <c r="E68" s="4"/>
    </row>
    <row r="71" spans="1:5" ht="17.399999999999999" x14ac:dyDescent="0.3">
      <c r="E71" s="4"/>
    </row>
    <row r="72" spans="1:5" ht="17.399999999999999" x14ac:dyDescent="0.3">
      <c r="E72" s="4"/>
    </row>
  </sheetData>
  <mergeCells count="10">
    <mergeCell ref="E39:F39"/>
    <mergeCell ref="E40:F40"/>
    <mergeCell ref="E41:F41"/>
    <mergeCell ref="E43:F43"/>
    <mergeCell ref="A1:I1"/>
    <mergeCell ref="A4:E4"/>
    <mergeCell ref="F4:I4"/>
    <mergeCell ref="A36:F36"/>
    <mergeCell ref="E37:F37"/>
    <mergeCell ref="E38:F3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B47E-586E-48D5-BDA1-384AB047A0AD}">
  <dimension ref="A1:J72"/>
  <sheetViews>
    <sheetView workbookViewId="0">
      <selection activeCell="F12" sqref="F12"/>
    </sheetView>
  </sheetViews>
  <sheetFormatPr defaultRowHeight="14.4" x14ac:dyDescent="0.25"/>
  <cols>
    <col min="1" max="1" width="32.33203125" customWidth="1"/>
    <col min="2" max="2" width="12.6640625" customWidth="1"/>
    <col min="3" max="3" width="10.6640625" customWidth="1"/>
    <col min="4" max="4" width="12.77734375" customWidth="1"/>
    <col min="5" max="5" width="35.6640625" customWidth="1"/>
    <col min="6" max="6" width="35.109375" style="8" customWidth="1"/>
    <col min="7" max="7" width="12.6640625" customWidth="1"/>
    <col min="8" max="8" width="12.44140625" customWidth="1"/>
    <col min="9" max="9" width="35.6640625" customWidth="1"/>
  </cols>
  <sheetData>
    <row r="1" spans="1:10" ht="25.5" customHeight="1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21.75" customHeight="1" x14ac:dyDescent="0.25">
      <c r="A2" s="13" t="s">
        <v>1</v>
      </c>
      <c r="B2" s="14">
        <v>46286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0.5" customHeight="1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ht="21.75" customHeight="1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33" customHeight="1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s="37" customFormat="1" ht="37.5" customHeight="1" x14ac:dyDescent="0.45">
      <c r="A6" s="7" t="s">
        <v>384</v>
      </c>
      <c r="B6" s="7">
        <v>2</v>
      </c>
      <c r="C6" s="7">
        <v>0</v>
      </c>
      <c r="D6" s="7">
        <v>0</v>
      </c>
      <c r="E6" s="7" t="s">
        <v>504</v>
      </c>
      <c r="F6" s="7" t="s">
        <v>505</v>
      </c>
      <c r="G6" s="7">
        <v>5</v>
      </c>
      <c r="H6" s="7">
        <v>0</v>
      </c>
      <c r="I6" s="7" t="s">
        <v>506</v>
      </c>
      <c r="J6" s="38" t="s">
        <v>507</v>
      </c>
    </row>
    <row r="7" spans="1:10" s="37" customFormat="1" ht="27" customHeight="1" x14ac:dyDescent="0.45">
      <c r="A7" s="7" t="s">
        <v>282</v>
      </c>
      <c r="B7" s="7">
        <v>6</v>
      </c>
      <c r="C7" s="7">
        <v>0</v>
      </c>
      <c r="D7" s="7">
        <v>0</v>
      </c>
      <c r="E7" s="7" t="s">
        <v>508</v>
      </c>
      <c r="F7" s="7" t="s">
        <v>471</v>
      </c>
      <c r="G7" s="7">
        <v>36</v>
      </c>
      <c r="H7" s="7">
        <v>0</v>
      </c>
      <c r="I7" s="7" t="s">
        <v>509</v>
      </c>
      <c r="J7" s="38" t="s">
        <v>510</v>
      </c>
    </row>
    <row r="8" spans="1:10" s="37" customFormat="1" ht="38.25" customHeight="1" x14ac:dyDescent="0.45">
      <c r="A8" s="7" t="s">
        <v>282</v>
      </c>
      <c r="B8" s="7">
        <v>2</v>
      </c>
      <c r="C8" s="7">
        <v>0</v>
      </c>
      <c r="D8" s="7">
        <v>0</v>
      </c>
      <c r="E8" s="7" t="s">
        <v>511</v>
      </c>
      <c r="F8" s="7" t="s">
        <v>512</v>
      </c>
      <c r="G8" s="7">
        <v>15</v>
      </c>
      <c r="H8" s="7">
        <v>0</v>
      </c>
      <c r="I8" s="7" t="s">
        <v>513</v>
      </c>
      <c r="J8" s="38" t="s">
        <v>510</v>
      </c>
    </row>
    <row r="9" spans="1:10" s="21" customFormat="1" ht="27" customHeight="1" x14ac:dyDescent="0.45">
      <c r="A9" s="7" t="s">
        <v>266</v>
      </c>
      <c r="B9" s="7">
        <v>9</v>
      </c>
      <c r="C9" s="7">
        <v>0</v>
      </c>
      <c r="D9" s="7">
        <v>0</v>
      </c>
      <c r="E9" s="7" t="s">
        <v>514</v>
      </c>
      <c r="F9" s="7" t="s">
        <v>515</v>
      </c>
      <c r="G9" s="7">
        <v>8</v>
      </c>
      <c r="H9" s="7">
        <v>0</v>
      </c>
      <c r="I9" s="7" t="s">
        <v>516</v>
      </c>
      <c r="J9" s="21" t="s">
        <v>510</v>
      </c>
    </row>
    <row r="10" spans="1:10" s="21" customFormat="1" ht="27" customHeight="1" x14ac:dyDescent="0.45">
      <c r="A10" s="7" t="s">
        <v>515</v>
      </c>
      <c r="B10" s="7">
        <v>8</v>
      </c>
      <c r="C10" s="7">
        <v>0</v>
      </c>
      <c r="D10" s="7">
        <v>0</v>
      </c>
      <c r="E10" s="7" t="s">
        <v>517</v>
      </c>
      <c r="F10" s="7" t="s">
        <v>518</v>
      </c>
      <c r="G10" s="7">
        <v>12</v>
      </c>
      <c r="H10" s="7">
        <v>0</v>
      </c>
      <c r="I10" s="7" t="s">
        <v>519</v>
      </c>
      <c r="J10" s="21" t="s">
        <v>510</v>
      </c>
    </row>
    <row r="11" spans="1:10" s="21" customFormat="1" ht="27" customHeight="1" x14ac:dyDescent="0.45">
      <c r="A11" s="7" t="s">
        <v>459</v>
      </c>
      <c r="B11" s="7">
        <v>6</v>
      </c>
      <c r="C11" s="7">
        <v>0</v>
      </c>
      <c r="D11" s="7">
        <v>0</v>
      </c>
      <c r="E11" s="7" t="s">
        <v>520</v>
      </c>
      <c r="F11" s="7" t="s">
        <v>521</v>
      </c>
      <c r="G11" s="7">
        <v>2</v>
      </c>
      <c r="H11" s="7">
        <v>0</v>
      </c>
      <c r="I11" s="7" t="s">
        <v>522</v>
      </c>
      <c r="J11" s="21" t="s">
        <v>523</v>
      </c>
    </row>
    <row r="12" spans="1:10" s="21" customFormat="1" ht="27" customHeight="1" x14ac:dyDescent="0.45">
      <c r="A12" s="7"/>
      <c r="B12" s="7"/>
      <c r="C12" s="7"/>
      <c r="D12" s="7"/>
      <c r="E12" s="7"/>
      <c r="F12" s="7" t="s">
        <v>524</v>
      </c>
      <c r="G12" s="7">
        <v>1</v>
      </c>
      <c r="H12" s="7">
        <v>0</v>
      </c>
      <c r="I12" s="7" t="s">
        <v>525</v>
      </c>
      <c r="J12" s="21" t="s">
        <v>523</v>
      </c>
    </row>
    <row r="13" spans="1:10" s="21" customFormat="1" ht="30" customHeight="1" x14ac:dyDescent="0.45">
      <c r="A13" s="7"/>
      <c r="B13" s="7"/>
      <c r="C13" s="7"/>
      <c r="D13" s="7"/>
      <c r="E13" s="7"/>
      <c r="F13" s="7" t="s">
        <v>526</v>
      </c>
      <c r="G13" s="7">
        <v>3</v>
      </c>
      <c r="H13" s="7">
        <v>0</v>
      </c>
      <c r="I13" s="7" t="s">
        <v>527</v>
      </c>
      <c r="J13" s="21" t="s">
        <v>523</v>
      </c>
    </row>
    <row r="14" spans="1:10" s="21" customFormat="1" ht="30" customHeight="1" x14ac:dyDescent="0.45">
      <c r="A14" s="7"/>
      <c r="B14" s="7"/>
      <c r="C14" s="7"/>
      <c r="D14" s="7"/>
      <c r="E14" s="7"/>
      <c r="F14" s="7" t="s">
        <v>528</v>
      </c>
      <c r="G14" s="7">
        <v>9</v>
      </c>
      <c r="H14" s="7">
        <v>0</v>
      </c>
      <c r="I14" s="7" t="s">
        <v>529</v>
      </c>
      <c r="J14" s="21" t="s">
        <v>523</v>
      </c>
    </row>
    <row r="15" spans="1:10" ht="30" customHeight="1" x14ac:dyDescent="0.45">
      <c r="A15" s="7"/>
      <c r="B15" s="7"/>
      <c r="C15" s="7"/>
      <c r="D15" s="7"/>
      <c r="E15" s="7"/>
      <c r="F15" s="7" t="s">
        <v>530</v>
      </c>
      <c r="G15" s="7">
        <v>2</v>
      </c>
      <c r="H15" s="7">
        <v>0</v>
      </c>
      <c r="I15" s="7" t="s">
        <v>531</v>
      </c>
      <c r="J15" t="s">
        <v>523</v>
      </c>
    </row>
    <row r="16" spans="1:10" ht="42.75" customHeight="1" x14ac:dyDescent="0.45">
      <c r="A16" s="7"/>
      <c r="B16" s="7"/>
      <c r="C16" s="7"/>
      <c r="D16" s="7"/>
      <c r="E16" s="7"/>
      <c r="F16" s="7" t="s">
        <v>282</v>
      </c>
      <c r="G16" s="7">
        <v>6</v>
      </c>
      <c r="H16" s="7">
        <v>0</v>
      </c>
      <c r="I16" s="57" t="s">
        <v>508</v>
      </c>
      <c r="J16" t="s">
        <v>523</v>
      </c>
    </row>
    <row r="17" spans="1:10" ht="30" customHeight="1" x14ac:dyDescent="0.45">
      <c r="A17" s="7"/>
      <c r="B17" s="7"/>
      <c r="C17" s="7"/>
      <c r="D17" s="7"/>
      <c r="E17" s="7"/>
      <c r="F17" s="52" t="s">
        <v>484</v>
      </c>
      <c r="G17" s="7">
        <v>27</v>
      </c>
      <c r="H17" s="7">
        <v>0</v>
      </c>
      <c r="I17" s="2" t="s">
        <v>532</v>
      </c>
      <c r="J17" t="s">
        <v>523</v>
      </c>
    </row>
    <row r="18" spans="1:10" ht="30" customHeight="1" x14ac:dyDescent="0.25">
      <c r="A18" s="52"/>
      <c r="B18" s="52"/>
      <c r="C18" s="52"/>
      <c r="D18" s="52"/>
      <c r="E18" s="52"/>
      <c r="F18" s="52"/>
      <c r="G18" s="52"/>
      <c r="H18" s="52"/>
      <c r="I18" s="52"/>
    </row>
    <row r="19" spans="1:10" ht="30" customHeight="1" x14ac:dyDescent="0.25">
      <c r="A19" s="52"/>
      <c r="B19" s="52"/>
      <c r="C19" s="52"/>
      <c r="D19" s="52"/>
      <c r="E19" s="52"/>
      <c r="F19" s="52"/>
      <c r="G19" s="52"/>
      <c r="H19" s="52"/>
      <c r="I19" s="52"/>
    </row>
    <row r="20" spans="1:10" ht="24.75" customHeight="1" x14ac:dyDescent="0.25">
      <c r="A20" s="51"/>
      <c r="B20" s="51"/>
      <c r="C20" s="51"/>
      <c r="D20" s="51"/>
      <c r="E20" s="51"/>
      <c r="F20" s="51"/>
      <c r="G20" s="51"/>
      <c r="H20" s="51"/>
      <c r="I20" s="51"/>
    </row>
    <row r="21" spans="1:10" ht="24.75" customHeight="1" x14ac:dyDescent="0.25">
      <c r="A21" s="52"/>
      <c r="B21" s="52"/>
      <c r="C21" s="52"/>
      <c r="D21" s="52"/>
      <c r="E21" s="52"/>
      <c r="F21" s="52"/>
      <c r="G21" s="52"/>
      <c r="H21" s="52"/>
      <c r="I21" s="52"/>
    </row>
    <row r="22" spans="1:10" ht="24.75" customHeight="1" x14ac:dyDescent="0.25">
      <c r="A22" s="52"/>
      <c r="B22" s="52"/>
      <c r="C22" s="52"/>
      <c r="D22" s="52"/>
      <c r="E22" s="52"/>
      <c r="F22" s="52"/>
      <c r="G22" s="52"/>
      <c r="H22" s="52"/>
      <c r="I22" s="52"/>
    </row>
    <row r="23" spans="1:10" ht="24.7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</row>
    <row r="24" spans="1:10" ht="24.75" customHeight="1" x14ac:dyDescent="0.25">
      <c r="A24" s="52"/>
      <c r="B24" s="52"/>
      <c r="C24" s="52"/>
      <c r="D24" s="52"/>
      <c r="E24" s="52"/>
      <c r="F24" s="52"/>
      <c r="G24" s="52"/>
      <c r="H24" s="52"/>
      <c r="I24" s="52"/>
    </row>
    <row r="25" spans="1:10" ht="24.75" customHeight="1" x14ac:dyDescent="0.25">
      <c r="A25" s="52"/>
      <c r="B25" s="52"/>
      <c r="C25" s="52"/>
      <c r="D25" s="52"/>
      <c r="E25" s="52"/>
      <c r="F25" s="52"/>
      <c r="G25" s="52"/>
      <c r="H25" s="52"/>
      <c r="I25" s="52"/>
    </row>
    <row r="26" spans="1:10" ht="24.75" customHeight="1" x14ac:dyDescent="0.25">
      <c r="A26" s="52"/>
      <c r="B26" s="52"/>
      <c r="C26" s="52"/>
      <c r="D26" s="52"/>
      <c r="E26" s="52"/>
      <c r="F26" s="52"/>
      <c r="G26" s="52"/>
      <c r="H26" s="52"/>
      <c r="I26" s="52"/>
    </row>
    <row r="27" spans="1:10" ht="24.75" customHeight="1" x14ac:dyDescent="0.25">
      <c r="A27" s="53"/>
      <c r="B27" s="53"/>
      <c r="C27" s="53"/>
      <c r="D27" s="53"/>
      <c r="E27" s="53"/>
      <c r="F27" s="61"/>
      <c r="G27" s="61"/>
      <c r="H27" s="61"/>
      <c r="I27" s="61"/>
    </row>
    <row r="28" spans="1:10" ht="24.75" customHeight="1" x14ac:dyDescent="0.25">
      <c r="A28" s="41"/>
      <c r="B28" s="48"/>
      <c r="C28" s="48"/>
      <c r="D28" s="48"/>
      <c r="E28" s="36"/>
      <c r="F28" s="32"/>
      <c r="G28" s="32"/>
      <c r="H28" s="32"/>
      <c r="I28" s="32"/>
    </row>
    <row r="29" spans="1:10" ht="24.75" customHeight="1" x14ac:dyDescent="0.25">
      <c r="A29" s="41"/>
      <c r="B29" s="48"/>
      <c r="C29" s="48"/>
      <c r="D29" s="48"/>
      <c r="E29" s="36"/>
      <c r="F29" s="32"/>
      <c r="G29" s="32"/>
      <c r="H29" s="32"/>
      <c r="I29" s="32"/>
    </row>
    <row r="30" spans="1:10" ht="24.75" customHeight="1" x14ac:dyDescent="0.25">
      <c r="A30" s="41"/>
      <c r="B30" s="48"/>
      <c r="C30" s="48"/>
      <c r="D30" s="48"/>
      <c r="E30" s="36"/>
      <c r="F30" s="12"/>
      <c r="G30" s="29"/>
      <c r="H30" s="29"/>
      <c r="I30" s="31"/>
    </row>
    <row r="31" spans="1:10" ht="24.75" customHeight="1" x14ac:dyDescent="0.25">
      <c r="A31" s="41"/>
      <c r="B31" s="48"/>
      <c r="C31" s="48"/>
      <c r="D31" s="48"/>
      <c r="E31" s="36"/>
      <c r="F31" s="12"/>
      <c r="G31" s="30"/>
      <c r="H31" s="33"/>
      <c r="I31" s="31"/>
    </row>
    <row r="32" spans="1:10" ht="24.75" customHeight="1" x14ac:dyDescent="0.25">
      <c r="A32" s="40"/>
      <c r="B32" s="30"/>
      <c r="C32" s="30"/>
      <c r="D32" s="30"/>
      <c r="E32" s="29"/>
      <c r="F32" s="29"/>
      <c r="G32" s="30"/>
      <c r="H32" s="33"/>
      <c r="I32" s="31"/>
    </row>
    <row r="33" spans="1:9" s="11" customFormat="1" ht="30" customHeight="1" x14ac:dyDescent="0.25">
      <c r="A33" s="28">
        <f>COUNTA(A6:A32)</f>
        <v>6</v>
      </c>
      <c r="B33" s="28">
        <f>SUM(B6:B32)</f>
        <v>33</v>
      </c>
      <c r="C33" s="28">
        <f>SUM(C6:C32)</f>
        <v>0</v>
      </c>
      <c r="D33" s="28">
        <f>SUM(D6:D32)</f>
        <v>0</v>
      </c>
      <c r="E33" s="28"/>
      <c r="F33" s="28">
        <f>COUNTA(F6:F32)</f>
        <v>12</v>
      </c>
      <c r="G33" s="28">
        <f>SUM(G6:G26)</f>
        <v>126</v>
      </c>
      <c r="H33" s="28">
        <f>SUM(H6:H32)</f>
        <v>0</v>
      </c>
      <c r="I33" s="28"/>
    </row>
    <row r="34" spans="1:9" ht="13.5" customHeight="1" x14ac:dyDescent="0.25"/>
    <row r="36" spans="1:9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9" ht="38.25" customHeight="1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9" s="21" customFormat="1" ht="24.75" customHeight="1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</row>
    <row r="39" spans="1:9" s="21" customFormat="1" ht="24.75" customHeight="1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</row>
    <row r="40" spans="1:9" s="21" customFormat="1" ht="24.75" customHeight="1" x14ac:dyDescent="0.25">
      <c r="A40" s="52" t="s">
        <v>48</v>
      </c>
      <c r="B40" s="20">
        <v>46282</v>
      </c>
      <c r="C40" s="22">
        <v>1</v>
      </c>
      <c r="D40" s="22">
        <v>1</v>
      </c>
      <c r="E40" s="182" t="s">
        <v>47</v>
      </c>
      <c r="F40" s="183"/>
    </row>
    <row r="41" spans="1:9" s="21" customFormat="1" ht="24.75" customHeight="1" x14ac:dyDescent="0.25">
      <c r="A41" s="52" t="s">
        <v>483</v>
      </c>
      <c r="B41" s="20">
        <v>46281</v>
      </c>
      <c r="C41" s="22">
        <v>28</v>
      </c>
      <c r="D41" s="22">
        <v>0</v>
      </c>
      <c r="E41" s="182" t="s">
        <v>45</v>
      </c>
      <c r="F41" s="183"/>
    </row>
    <row r="42" spans="1:9" s="21" customFormat="1" ht="24.75" customHeight="1" x14ac:dyDescent="0.25">
      <c r="A42" s="52" t="s">
        <v>484</v>
      </c>
      <c r="B42" s="20">
        <v>46276</v>
      </c>
      <c r="C42" s="22">
        <v>27</v>
      </c>
      <c r="D42" s="22">
        <v>0</v>
      </c>
      <c r="E42" s="75" t="s">
        <v>485</v>
      </c>
      <c r="F42" s="76"/>
    </row>
    <row r="43" spans="1:9" s="21" customFormat="1" ht="24.75" customHeight="1" x14ac:dyDescent="0.25">
      <c r="A43" s="10"/>
      <c r="B43" s="20"/>
      <c r="C43" s="22"/>
      <c r="D43" s="22">
        <f>SUM(D38:D42)</f>
        <v>4</v>
      </c>
      <c r="E43" s="182"/>
      <c r="F43" s="183"/>
    </row>
    <row r="44" spans="1:9" s="21" customFormat="1" ht="24.75" customHeight="1" x14ac:dyDescent="0.25">
      <c r="A44"/>
      <c r="B44"/>
      <c r="C44"/>
      <c r="D44"/>
      <c r="E44"/>
      <c r="F44"/>
      <c r="G44"/>
    </row>
    <row r="45" spans="1:9" ht="21" customHeight="1" x14ac:dyDescent="0.25">
      <c r="F45"/>
    </row>
    <row r="46" spans="1:9" x14ac:dyDescent="0.25">
      <c r="F46"/>
    </row>
    <row r="47" spans="1:9" x14ac:dyDescent="0.25">
      <c r="F47"/>
    </row>
    <row r="48" spans="1:9" x14ac:dyDescent="0.25">
      <c r="F48"/>
    </row>
    <row r="60" spans="1:5" x14ac:dyDescent="0.25">
      <c r="A60" s="39" t="s">
        <v>60</v>
      </c>
      <c r="B60" s="35">
        <v>1</v>
      </c>
      <c r="C60" s="34">
        <v>0</v>
      </c>
      <c r="D60" s="34" t="s">
        <v>61</v>
      </c>
    </row>
    <row r="61" spans="1:5" ht="17.399999999999999" x14ac:dyDescent="0.3">
      <c r="A61" s="2" t="s">
        <v>62</v>
      </c>
      <c r="B61" s="35">
        <v>1</v>
      </c>
      <c r="C61" s="34">
        <v>0</v>
      </c>
      <c r="D61" s="2" t="s">
        <v>63</v>
      </c>
      <c r="E61" s="4"/>
    </row>
    <row r="62" spans="1:5" ht="17.399999999999999" x14ac:dyDescent="0.3">
      <c r="E62" s="4"/>
    </row>
    <row r="63" spans="1:5" ht="19.2" x14ac:dyDescent="0.45">
      <c r="A63" s="7" t="s">
        <v>64</v>
      </c>
      <c r="B63" s="7">
        <v>1</v>
      </c>
      <c r="C63" s="7">
        <v>0</v>
      </c>
      <c r="D63" s="7" t="s">
        <v>65</v>
      </c>
      <c r="E63" s="4"/>
    </row>
    <row r="64" spans="1:5" ht="17.399999999999999" x14ac:dyDescent="0.3">
      <c r="A64" s="52" t="s">
        <v>533</v>
      </c>
      <c r="E64" s="4"/>
    </row>
    <row r="65" spans="1:5" x14ac:dyDescent="0.25">
      <c r="A65" s="3" t="s">
        <v>534</v>
      </c>
      <c r="B65" s="52">
        <v>21</v>
      </c>
      <c r="C65" s="52">
        <v>0</v>
      </c>
      <c r="D65" s="52"/>
    </row>
    <row r="66" spans="1:5" ht="17.399999999999999" x14ac:dyDescent="0.3">
      <c r="A66" s="4" t="s">
        <v>524</v>
      </c>
      <c r="B66" t="s">
        <v>535</v>
      </c>
    </row>
    <row r="67" spans="1:5" ht="17.399999999999999" x14ac:dyDescent="0.3">
      <c r="E67" s="4"/>
    </row>
    <row r="68" spans="1:5" ht="17.399999999999999" x14ac:dyDescent="0.3">
      <c r="E68" s="4"/>
    </row>
    <row r="71" spans="1:5" ht="17.399999999999999" x14ac:dyDescent="0.3">
      <c r="E71" s="4"/>
    </row>
    <row r="72" spans="1:5" ht="17.399999999999999" x14ac:dyDescent="0.3">
      <c r="E72" s="4"/>
    </row>
  </sheetData>
  <mergeCells count="10">
    <mergeCell ref="E39:F39"/>
    <mergeCell ref="E40:F40"/>
    <mergeCell ref="E41:F41"/>
    <mergeCell ref="E43:F43"/>
    <mergeCell ref="A1:I1"/>
    <mergeCell ref="A4:E4"/>
    <mergeCell ref="F4:I4"/>
    <mergeCell ref="A36:F36"/>
    <mergeCell ref="E37:F37"/>
    <mergeCell ref="E38:F3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163-1F60-4F2A-974F-A26B48011F29}">
  <sheetPr>
    <tabColor rgb="FFFFFF00"/>
  </sheetPr>
  <dimension ref="A1:J72"/>
  <sheetViews>
    <sheetView topLeftCell="A12" workbookViewId="0">
      <selection activeCell="F15" sqref="F15"/>
    </sheetView>
  </sheetViews>
  <sheetFormatPr defaultRowHeight="14.4" x14ac:dyDescent="0.25"/>
  <cols>
    <col min="1" max="1" width="32.33203125" customWidth="1"/>
    <col min="2" max="2" width="12.6640625" customWidth="1"/>
    <col min="3" max="3" width="10.6640625" customWidth="1"/>
    <col min="4" max="4" width="12.77734375" customWidth="1"/>
    <col min="5" max="5" width="35.6640625" customWidth="1"/>
    <col min="6" max="6" width="35.109375" style="8" customWidth="1"/>
    <col min="7" max="7" width="12.6640625" customWidth="1"/>
    <col min="8" max="8" width="12.44140625" customWidth="1"/>
    <col min="9" max="9" width="35.6640625" customWidth="1"/>
  </cols>
  <sheetData>
    <row r="1" spans="1:10" ht="25.5" customHeight="1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21.75" customHeight="1" x14ac:dyDescent="0.25">
      <c r="A2" s="13" t="s">
        <v>1</v>
      </c>
      <c r="B2" s="14">
        <v>46283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0.5" customHeight="1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ht="21.75" customHeight="1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33" customHeight="1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s="37" customFormat="1" ht="37.5" customHeight="1" x14ac:dyDescent="0.25">
      <c r="A6" s="52" t="s">
        <v>536</v>
      </c>
      <c r="B6" s="52">
        <v>4</v>
      </c>
      <c r="C6" s="52">
        <v>0</v>
      </c>
      <c r="D6" s="52">
        <v>0</v>
      </c>
      <c r="E6" s="52" t="s">
        <v>537</v>
      </c>
      <c r="F6" s="52" t="s">
        <v>538</v>
      </c>
      <c r="G6" s="52">
        <v>6</v>
      </c>
      <c r="H6" s="52">
        <v>0</v>
      </c>
      <c r="I6" s="52" t="s">
        <v>539</v>
      </c>
      <c r="J6" s="38" t="s">
        <v>510</v>
      </c>
    </row>
    <row r="7" spans="1:10" s="37" customFormat="1" ht="27" customHeight="1" x14ac:dyDescent="0.25">
      <c r="A7" s="52" t="s">
        <v>540</v>
      </c>
      <c r="B7" s="52">
        <v>4</v>
      </c>
      <c r="C7" s="52">
        <v>0</v>
      </c>
      <c r="D7" s="52">
        <v>0</v>
      </c>
      <c r="E7" s="52" t="s">
        <v>541</v>
      </c>
      <c r="F7" s="52" t="s">
        <v>542</v>
      </c>
      <c r="G7" s="52">
        <v>25</v>
      </c>
      <c r="H7" s="52">
        <v>0</v>
      </c>
      <c r="I7" s="52" t="s">
        <v>543</v>
      </c>
      <c r="J7" s="38" t="s">
        <v>510</v>
      </c>
    </row>
    <row r="8" spans="1:10" s="37" customFormat="1" ht="38.25" customHeight="1" x14ac:dyDescent="0.25">
      <c r="A8" s="52" t="s">
        <v>349</v>
      </c>
      <c r="B8" s="52">
        <v>21</v>
      </c>
      <c r="C8" s="52">
        <v>0</v>
      </c>
      <c r="D8" s="52">
        <v>0</v>
      </c>
      <c r="E8" s="52" t="s">
        <v>544</v>
      </c>
      <c r="F8" s="52" t="s">
        <v>545</v>
      </c>
      <c r="G8" s="52">
        <v>2</v>
      </c>
      <c r="H8" s="52">
        <v>0</v>
      </c>
      <c r="I8" s="52" t="s">
        <v>546</v>
      </c>
      <c r="J8" s="38" t="s">
        <v>547</v>
      </c>
    </row>
    <row r="9" spans="1:10" s="21" customFormat="1" ht="27" customHeight="1" x14ac:dyDescent="0.25">
      <c r="A9" s="52" t="s">
        <v>264</v>
      </c>
      <c r="B9" s="52">
        <v>4</v>
      </c>
      <c r="C9" s="52">
        <v>0</v>
      </c>
      <c r="D9" s="52">
        <v>0</v>
      </c>
      <c r="E9" s="52" t="s">
        <v>548</v>
      </c>
      <c r="F9" s="52" t="s">
        <v>549</v>
      </c>
      <c r="G9" s="52">
        <v>1</v>
      </c>
      <c r="H9" s="52">
        <v>0</v>
      </c>
      <c r="I9" s="52" t="s">
        <v>550</v>
      </c>
      <c r="J9" s="21" t="s">
        <v>510</v>
      </c>
    </row>
    <row r="10" spans="1:10" s="21" customFormat="1" ht="27" customHeight="1" x14ac:dyDescent="0.25">
      <c r="A10" s="52" t="s">
        <v>293</v>
      </c>
      <c r="B10" s="52">
        <v>6</v>
      </c>
      <c r="C10" s="52">
        <v>0</v>
      </c>
      <c r="D10" s="52">
        <v>0</v>
      </c>
      <c r="E10" s="52" t="s">
        <v>551</v>
      </c>
      <c r="F10" s="52" t="s">
        <v>540</v>
      </c>
      <c r="G10" s="52">
        <v>4</v>
      </c>
      <c r="H10" s="52">
        <v>0</v>
      </c>
      <c r="I10" s="52" t="s">
        <v>552</v>
      </c>
      <c r="J10" s="21" t="s">
        <v>510</v>
      </c>
    </row>
    <row r="11" spans="1:10" s="21" customFormat="1" ht="27" customHeight="1" x14ac:dyDescent="0.25">
      <c r="A11" s="52" t="s">
        <v>290</v>
      </c>
      <c r="B11" s="52">
        <v>8</v>
      </c>
      <c r="C11" s="52">
        <v>0</v>
      </c>
      <c r="D11" s="52">
        <v>0</v>
      </c>
      <c r="E11" s="52" t="s">
        <v>553</v>
      </c>
      <c r="F11" s="52" t="s">
        <v>554</v>
      </c>
      <c r="G11" s="52">
        <v>5</v>
      </c>
      <c r="H11" s="52">
        <v>0</v>
      </c>
      <c r="I11" s="52" t="s">
        <v>555</v>
      </c>
      <c r="J11" s="21" t="s">
        <v>556</v>
      </c>
    </row>
    <row r="12" spans="1:10" s="21" customFormat="1" ht="27" customHeight="1" x14ac:dyDescent="0.25">
      <c r="A12" s="52" t="s">
        <v>530</v>
      </c>
      <c r="B12" s="52">
        <v>2</v>
      </c>
      <c r="C12" s="52">
        <v>0</v>
      </c>
      <c r="D12" s="52">
        <v>0</v>
      </c>
      <c r="E12" s="52" t="s">
        <v>531</v>
      </c>
      <c r="F12" s="52" t="s">
        <v>557</v>
      </c>
      <c r="G12" s="52">
        <v>1</v>
      </c>
      <c r="H12" s="52">
        <v>0</v>
      </c>
      <c r="I12" s="52" t="s">
        <v>558</v>
      </c>
      <c r="J12" s="21" t="s">
        <v>556</v>
      </c>
    </row>
    <row r="13" spans="1:10" s="21" customFormat="1" ht="30" customHeight="1" x14ac:dyDescent="0.25">
      <c r="A13" s="52" t="s">
        <v>559</v>
      </c>
      <c r="B13" s="52">
        <v>4</v>
      </c>
      <c r="C13" s="52">
        <v>0</v>
      </c>
      <c r="D13" s="52">
        <v>0</v>
      </c>
      <c r="E13" s="52" t="s">
        <v>560</v>
      </c>
      <c r="F13" s="52" t="s">
        <v>561</v>
      </c>
      <c r="G13" s="52">
        <v>1</v>
      </c>
      <c r="H13" s="52">
        <v>0</v>
      </c>
      <c r="I13" s="52" t="s">
        <v>562</v>
      </c>
      <c r="J13" s="21" t="s">
        <v>556</v>
      </c>
    </row>
    <row r="14" spans="1:10" s="21" customFormat="1" ht="30" customHeight="1" x14ac:dyDescent="0.25">
      <c r="A14" s="52" t="s">
        <v>528</v>
      </c>
      <c r="B14" s="52">
        <v>9</v>
      </c>
      <c r="C14" s="52">
        <v>0</v>
      </c>
      <c r="D14" s="52">
        <v>0</v>
      </c>
      <c r="E14" s="52" t="s">
        <v>529</v>
      </c>
      <c r="F14" s="52" t="s">
        <v>563</v>
      </c>
      <c r="G14" s="52">
        <v>5</v>
      </c>
      <c r="H14" s="52">
        <v>0</v>
      </c>
      <c r="I14" s="52" t="s">
        <v>564</v>
      </c>
      <c r="J14" s="21" t="s">
        <v>507</v>
      </c>
    </row>
    <row r="15" spans="1:10" ht="30" customHeight="1" x14ac:dyDescent="0.25">
      <c r="A15" s="52" t="s">
        <v>286</v>
      </c>
      <c r="B15" s="52">
        <v>2</v>
      </c>
      <c r="C15" s="52">
        <v>0</v>
      </c>
      <c r="D15" s="52">
        <v>0</v>
      </c>
      <c r="E15" s="52" t="s">
        <v>565</v>
      </c>
      <c r="F15" s="52" t="s">
        <v>566</v>
      </c>
      <c r="G15" s="52">
        <v>5</v>
      </c>
      <c r="H15" s="52">
        <v>0</v>
      </c>
      <c r="I15" s="52" t="s">
        <v>564</v>
      </c>
      <c r="J15" t="s">
        <v>507</v>
      </c>
    </row>
    <row r="16" spans="1:10" ht="30" customHeight="1" x14ac:dyDescent="0.25">
      <c r="A16" s="52" t="s">
        <v>357</v>
      </c>
      <c r="B16" s="52">
        <v>2</v>
      </c>
      <c r="C16" s="52">
        <v>0</v>
      </c>
      <c r="D16" s="52">
        <v>0</v>
      </c>
      <c r="E16" s="52" t="s">
        <v>544</v>
      </c>
      <c r="F16" s="52" t="s">
        <v>567</v>
      </c>
      <c r="G16" s="52">
        <v>5</v>
      </c>
      <c r="H16" s="52">
        <v>0</v>
      </c>
      <c r="I16" s="52" t="s">
        <v>564</v>
      </c>
      <c r="J16" t="s">
        <v>507</v>
      </c>
    </row>
    <row r="17" spans="1:10" ht="30" customHeight="1" x14ac:dyDescent="0.25">
      <c r="A17" s="52" t="s">
        <v>505</v>
      </c>
      <c r="B17" s="52">
        <v>5</v>
      </c>
      <c r="C17" s="52">
        <v>0</v>
      </c>
      <c r="D17" s="52">
        <v>0</v>
      </c>
      <c r="E17" s="52" t="s">
        <v>568</v>
      </c>
      <c r="F17" s="52" t="s">
        <v>536</v>
      </c>
      <c r="G17" s="52">
        <v>4</v>
      </c>
      <c r="H17" s="52">
        <v>0</v>
      </c>
      <c r="I17" s="52" t="s">
        <v>537</v>
      </c>
      <c r="J17" t="s">
        <v>510</v>
      </c>
    </row>
    <row r="18" spans="1:10" ht="30" customHeight="1" x14ac:dyDescent="0.25">
      <c r="A18" s="52" t="s">
        <v>440</v>
      </c>
      <c r="B18" s="52">
        <v>4</v>
      </c>
      <c r="C18" s="52">
        <v>0</v>
      </c>
      <c r="D18" s="52">
        <v>0</v>
      </c>
      <c r="E18" s="52" t="s">
        <v>569</v>
      </c>
      <c r="F18" s="52"/>
      <c r="G18" s="52"/>
      <c r="H18" s="52"/>
      <c r="I18" s="52"/>
    </row>
    <row r="19" spans="1:10" ht="30" customHeight="1" x14ac:dyDescent="0.25">
      <c r="A19" s="52" t="s">
        <v>387</v>
      </c>
      <c r="B19" s="52">
        <v>10</v>
      </c>
      <c r="C19" s="52">
        <v>0</v>
      </c>
      <c r="D19" s="52">
        <v>0</v>
      </c>
      <c r="E19" s="52" t="s">
        <v>570</v>
      </c>
      <c r="F19" s="52"/>
      <c r="G19" s="52"/>
      <c r="H19" s="52"/>
      <c r="I19" s="52"/>
    </row>
    <row r="20" spans="1:10" ht="24.75" customHeight="1" x14ac:dyDescent="0.25">
      <c r="A20" s="51"/>
      <c r="B20" s="51"/>
      <c r="C20" s="51"/>
      <c r="D20" s="51"/>
      <c r="E20" s="51"/>
      <c r="F20" s="51"/>
      <c r="G20" s="51"/>
      <c r="H20" s="51"/>
      <c r="I20" s="51"/>
    </row>
    <row r="21" spans="1:10" ht="24.75" customHeight="1" x14ac:dyDescent="0.25">
      <c r="A21" s="52"/>
      <c r="B21" s="52"/>
      <c r="C21" s="52"/>
      <c r="D21" s="52"/>
      <c r="E21" s="52"/>
      <c r="F21" s="52"/>
      <c r="G21" s="52"/>
      <c r="H21" s="52"/>
      <c r="I21" s="52"/>
    </row>
    <row r="22" spans="1:10" ht="24.75" customHeight="1" x14ac:dyDescent="0.25">
      <c r="A22" s="52"/>
      <c r="B22" s="52"/>
      <c r="C22" s="52"/>
      <c r="D22" s="52"/>
      <c r="E22" s="52"/>
      <c r="F22" s="52"/>
      <c r="G22" s="52"/>
      <c r="H22" s="52"/>
      <c r="I22" s="52"/>
    </row>
    <row r="23" spans="1:10" ht="24.7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</row>
    <row r="24" spans="1:10" ht="24.75" customHeight="1" x14ac:dyDescent="0.25">
      <c r="A24" s="52"/>
      <c r="B24" s="52"/>
      <c r="C24" s="52"/>
      <c r="D24" s="52"/>
      <c r="E24" s="52"/>
      <c r="F24" s="52"/>
      <c r="G24" s="52"/>
      <c r="H24" s="52"/>
      <c r="I24" s="52"/>
    </row>
    <row r="25" spans="1:10" ht="24.75" customHeight="1" x14ac:dyDescent="0.25">
      <c r="A25" s="52"/>
      <c r="B25" s="52"/>
      <c r="C25" s="52"/>
      <c r="D25" s="52"/>
      <c r="E25" s="52"/>
      <c r="F25" s="52"/>
      <c r="G25" s="52"/>
      <c r="H25" s="52"/>
      <c r="I25" s="52"/>
    </row>
    <row r="26" spans="1:10" ht="24.75" customHeight="1" x14ac:dyDescent="0.25">
      <c r="A26" s="52"/>
      <c r="B26" s="52"/>
      <c r="C26" s="52"/>
      <c r="D26" s="52"/>
      <c r="E26" s="52"/>
      <c r="F26" s="52"/>
      <c r="G26" s="52"/>
      <c r="H26" s="52"/>
      <c r="I26" s="52"/>
    </row>
    <row r="27" spans="1:10" ht="24.75" customHeight="1" x14ac:dyDescent="0.25">
      <c r="A27" s="53"/>
      <c r="B27" s="53"/>
      <c r="C27" s="53"/>
      <c r="D27" s="53"/>
      <c r="E27" s="53"/>
      <c r="F27" s="61"/>
      <c r="G27" s="61"/>
      <c r="H27" s="61"/>
      <c r="I27" s="61"/>
    </row>
    <row r="28" spans="1:10" ht="24.75" customHeight="1" x14ac:dyDescent="0.25">
      <c r="A28" s="41"/>
      <c r="B28" s="48"/>
      <c r="C28" s="48"/>
      <c r="D28" s="48"/>
      <c r="E28" s="36"/>
      <c r="F28" s="32"/>
      <c r="G28" s="32"/>
      <c r="H28" s="32"/>
      <c r="I28" s="32"/>
    </row>
    <row r="29" spans="1:10" ht="24.75" customHeight="1" x14ac:dyDescent="0.25">
      <c r="A29" s="41"/>
      <c r="B29" s="48"/>
      <c r="C29" s="48"/>
      <c r="D29" s="48"/>
      <c r="E29" s="36"/>
      <c r="F29" s="32"/>
      <c r="G29" s="32"/>
      <c r="H29" s="32"/>
      <c r="I29" s="32"/>
    </row>
    <row r="30" spans="1:10" ht="24.75" customHeight="1" x14ac:dyDescent="0.25">
      <c r="A30" s="41"/>
      <c r="B30" s="48"/>
      <c r="C30" s="48"/>
      <c r="D30" s="48"/>
      <c r="E30" s="36"/>
      <c r="F30" s="12"/>
      <c r="G30" s="29"/>
      <c r="H30" s="29"/>
      <c r="I30" s="31"/>
    </row>
    <row r="31" spans="1:10" ht="24.75" customHeight="1" x14ac:dyDescent="0.25">
      <c r="A31" s="41"/>
      <c r="B31" s="48"/>
      <c r="C31" s="48"/>
      <c r="D31" s="48"/>
      <c r="E31" s="36"/>
      <c r="F31" s="12"/>
      <c r="G31" s="30"/>
      <c r="H31" s="33"/>
      <c r="I31" s="31"/>
    </row>
    <row r="32" spans="1:10" ht="24.75" customHeight="1" x14ac:dyDescent="0.25">
      <c r="A32" s="40"/>
      <c r="B32" s="30"/>
      <c r="C32" s="30"/>
      <c r="D32" s="30"/>
      <c r="E32" s="29"/>
      <c r="F32" s="29"/>
      <c r="G32" s="30"/>
      <c r="H32" s="33"/>
      <c r="I32" s="31"/>
    </row>
    <row r="33" spans="1:9" s="11" customFormat="1" ht="30" customHeight="1" x14ac:dyDescent="0.25">
      <c r="A33" s="28">
        <f>COUNTA(A6:A32)</f>
        <v>14</v>
      </c>
      <c r="B33" s="28">
        <f>SUM(B6:B32)</f>
        <v>85</v>
      </c>
      <c r="C33" s="28">
        <f>SUM(C6:C32)</f>
        <v>0</v>
      </c>
      <c r="D33" s="28">
        <f>SUM(D6:D32)</f>
        <v>0</v>
      </c>
      <c r="E33" s="28"/>
      <c r="F33" s="28">
        <f>COUNTA(F6:F32)</f>
        <v>12</v>
      </c>
      <c r="G33" s="28">
        <f>SUM(G6:G26)</f>
        <v>64</v>
      </c>
      <c r="H33" s="28">
        <f>SUM(H6:H32)</f>
        <v>0</v>
      </c>
      <c r="I33" s="28"/>
    </row>
    <row r="34" spans="1:9" ht="13.5" customHeight="1" x14ac:dyDescent="0.25"/>
    <row r="36" spans="1:9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9" ht="38.25" customHeight="1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9" s="21" customFormat="1" ht="24.75" customHeight="1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</row>
    <row r="39" spans="1:9" s="21" customFormat="1" ht="24.75" customHeight="1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</row>
    <row r="40" spans="1:9" s="21" customFormat="1" ht="24.75" customHeight="1" x14ac:dyDescent="0.25">
      <c r="A40" s="52" t="s">
        <v>48</v>
      </c>
      <c r="B40" s="20">
        <v>46282</v>
      </c>
      <c r="C40" s="22">
        <v>1</v>
      </c>
      <c r="D40" s="22">
        <v>1</v>
      </c>
      <c r="E40" s="182" t="s">
        <v>47</v>
      </c>
      <c r="F40" s="183"/>
    </row>
    <row r="41" spans="1:9" s="21" customFormat="1" ht="24.75" customHeight="1" x14ac:dyDescent="0.25">
      <c r="A41" s="77" t="s">
        <v>483</v>
      </c>
      <c r="B41" s="78">
        <v>46281</v>
      </c>
      <c r="C41" s="79">
        <v>28</v>
      </c>
      <c r="D41" s="79">
        <v>28</v>
      </c>
      <c r="E41" s="196" t="s">
        <v>45</v>
      </c>
      <c r="F41" s="197"/>
    </row>
    <row r="42" spans="1:9" s="21" customFormat="1" ht="24.75" customHeight="1" x14ac:dyDescent="0.25">
      <c r="A42" s="52" t="s">
        <v>484</v>
      </c>
      <c r="B42" s="20">
        <v>46276</v>
      </c>
      <c r="C42" s="22">
        <v>27</v>
      </c>
      <c r="D42" s="22">
        <v>27</v>
      </c>
      <c r="E42" s="75" t="s">
        <v>485</v>
      </c>
      <c r="F42" s="76"/>
    </row>
    <row r="43" spans="1:9" s="21" customFormat="1" ht="24.75" customHeight="1" x14ac:dyDescent="0.25">
      <c r="A43" s="10"/>
      <c r="B43" s="20"/>
      <c r="C43" s="22"/>
      <c r="D43" s="22">
        <f>SUM(D38:D42)</f>
        <v>59</v>
      </c>
      <c r="E43" s="182"/>
      <c r="F43" s="183"/>
    </row>
    <row r="44" spans="1:9" s="21" customFormat="1" ht="24.75" customHeight="1" x14ac:dyDescent="0.25">
      <c r="A44"/>
      <c r="B44"/>
      <c r="C44"/>
      <c r="D44"/>
      <c r="E44"/>
      <c r="F44"/>
      <c r="G44"/>
    </row>
    <row r="45" spans="1:9" ht="21" customHeight="1" x14ac:dyDescent="0.25">
      <c r="F45"/>
    </row>
    <row r="46" spans="1:9" x14ac:dyDescent="0.25">
      <c r="F46"/>
    </row>
    <row r="47" spans="1:9" x14ac:dyDescent="0.25">
      <c r="F47"/>
    </row>
    <row r="48" spans="1:9" x14ac:dyDescent="0.25">
      <c r="F48"/>
    </row>
    <row r="60" spans="1:5" x14ac:dyDescent="0.25">
      <c r="A60" s="39" t="s">
        <v>60</v>
      </c>
      <c r="B60" s="35">
        <v>1</v>
      </c>
      <c r="C60" s="34">
        <v>0</v>
      </c>
      <c r="D60" s="34" t="s">
        <v>61</v>
      </c>
    </row>
    <row r="61" spans="1:5" ht="17.399999999999999" x14ac:dyDescent="0.3">
      <c r="A61" s="2" t="s">
        <v>62</v>
      </c>
      <c r="B61" s="35">
        <v>1</v>
      </c>
      <c r="C61" s="34">
        <v>0</v>
      </c>
      <c r="D61" s="2" t="s">
        <v>63</v>
      </c>
      <c r="E61" s="4"/>
    </row>
    <row r="62" spans="1:5" ht="17.399999999999999" x14ac:dyDescent="0.3">
      <c r="E62" s="4"/>
    </row>
    <row r="63" spans="1:5" ht="19.2" x14ac:dyDescent="0.45">
      <c r="A63" s="7" t="s">
        <v>64</v>
      </c>
      <c r="B63" s="7">
        <v>1</v>
      </c>
      <c r="C63" s="7">
        <v>0</v>
      </c>
      <c r="D63" s="7" t="s">
        <v>65</v>
      </c>
      <c r="E63" s="4"/>
    </row>
    <row r="64" spans="1:5" ht="17.399999999999999" x14ac:dyDescent="0.3">
      <c r="A64" s="3"/>
      <c r="E64" s="4"/>
    </row>
    <row r="65" spans="1:5" ht="19.2" x14ac:dyDescent="0.45">
      <c r="A65" s="9"/>
    </row>
    <row r="67" spans="1:5" ht="17.399999999999999" x14ac:dyDescent="0.3">
      <c r="E67" s="4"/>
    </row>
    <row r="68" spans="1:5" ht="17.399999999999999" x14ac:dyDescent="0.3">
      <c r="E68" s="4"/>
    </row>
    <row r="71" spans="1:5" ht="17.399999999999999" x14ac:dyDescent="0.3">
      <c r="E71" s="4"/>
    </row>
    <row r="72" spans="1:5" ht="17.399999999999999" x14ac:dyDescent="0.3">
      <c r="E72" s="4"/>
    </row>
  </sheetData>
  <mergeCells count="10">
    <mergeCell ref="E39:F39"/>
    <mergeCell ref="E40:F40"/>
    <mergeCell ref="E43:F43"/>
    <mergeCell ref="A1:I1"/>
    <mergeCell ref="A4:E4"/>
    <mergeCell ref="F4:I4"/>
    <mergeCell ref="A36:F36"/>
    <mergeCell ref="E37:F37"/>
    <mergeCell ref="E38:F38"/>
    <mergeCell ref="E41:F4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4C81F-9E18-4610-9233-B17E77FDA050}">
  <dimension ref="A1:J70"/>
  <sheetViews>
    <sheetView workbookViewId="0">
      <selection activeCell="A6" sqref="A6"/>
    </sheetView>
  </sheetViews>
  <sheetFormatPr defaultRowHeight="14.4" x14ac:dyDescent="0.25"/>
  <cols>
    <col min="1" max="1" width="32.33203125" customWidth="1"/>
    <col min="2" max="2" width="12.6640625" customWidth="1"/>
    <col min="3" max="3" width="10.6640625" customWidth="1"/>
    <col min="4" max="4" width="12.77734375" customWidth="1"/>
    <col min="5" max="5" width="35.6640625" customWidth="1"/>
    <col min="6" max="6" width="35.109375" style="8" customWidth="1"/>
    <col min="7" max="7" width="12.6640625" customWidth="1"/>
    <col min="8" max="8" width="12.44140625" customWidth="1"/>
    <col min="9" max="9" width="35.6640625" customWidth="1"/>
  </cols>
  <sheetData>
    <row r="1" spans="1:10" ht="25.5" customHeight="1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21.75" customHeight="1" x14ac:dyDescent="0.25">
      <c r="A2" s="13" t="s">
        <v>1</v>
      </c>
      <c r="B2" s="14">
        <v>46282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0.5" customHeight="1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ht="21.75" customHeight="1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33" customHeight="1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s="37" customFormat="1" ht="37.5" customHeight="1" x14ac:dyDescent="0.25">
      <c r="A6" s="52" t="s">
        <v>571</v>
      </c>
      <c r="B6" s="52">
        <v>0</v>
      </c>
      <c r="C6" s="52">
        <v>1</v>
      </c>
      <c r="D6" s="52">
        <v>0</v>
      </c>
      <c r="E6" s="1" t="s">
        <v>572</v>
      </c>
      <c r="F6" s="1" t="s">
        <v>573</v>
      </c>
      <c r="G6" s="52">
        <v>1</v>
      </c>
      <c r="H6" s="52">
        <v>0</v>
      </c>
      <c r="I6" s="54" t="s">
        <v>574</v>
      </c>
      <c r="J6" s="38"/>
    </row>
    <row r="7" spans="1:10" s="37" customFormat="1" ht="27" customHeight="1" x14ac:dyDescent="0.25">
      <c r="A7" s="1" t="s">
        <v>575</v>
      </c>
      <c r="B7" s="52">
        <v>0</v>
      </c>
      <c r="C7" s="52">
        <v>1</v>
      </c>
      <c r="D7" s="52">
        <v>0</v>
      </c>
      <c r="E7" s="52" t="s">
        <v>576</v>
      </c>
      <c r="F7" s="52" t="s">
        <v>577</v>
      </c>
      <c r="G7" s="52">
        <v>1</v>
      </c>
      <c r="H7" s="52">
        <v>0</v>
      </c>
      <c r="I7" s="54" t="s">
        <v>578</v>
      </c>
      <c r="J7" s="38"/>
    </row>
    <row r="8" spans="1:10" s="37" customFormat="1" ht="38.25" customHeight="1" x14ac:dyDescent="0.25">
      <c r="A8" s="1" t="s">
        <v>549</v>
      </c>
      <c r="B8" s="52">
        <v>1</v>
      </c>
      <c r="C8" s="52">
        <v>0</v>
      </c>
      <c r="D8" s="52">
        <v>0</v>
      </c>
      <c r="E8" s="52" t="s">
        <v>579</v>
      </c>
      <c r="F8" s="56" t="s">
        <v>580</v>
      </c>
      <c r="G8" s="52">
        <v>6</v>
      </c>
      <c r="H8" s="52">
        <v>0</v>
      </c>
      <c r="I8" s="52" t="s">
        <v>581</v>
      </c>
      <c r="J8" s="38" t="s">
        <v>510</v>
      </c>
    </row>
    <row r="9" spans="1:10" s="21" customFormat="1" ht="27" customHeight="1" x14ac:dyDescent="0.45">
      <c r="A9" s="7" t="s">
        <v>582</v>
      </c>
      <c r="B9" s="52">
        <v>0</v>
      </c>
      <c r="C9" s="52">
        <v>1</v>
      </c>
      <c r="D9" s="52">
        <v>0</v>
      </c>
      <c r="E9" s="52" t="s">
        <v>583</v>
      </c>
      <c r="F9" s="7" t="s">
        <v>584</v>
      </c>
      <c r="G9" s="52">
        <v>4</v>
      </c>
      <c r="H9" s="52">
        <v>0</v>
      </c>
      <c r="I9" s="52" t="s">
        <v>585</v>
      </c>
    </row>
    <row r="10" spans="1:10" s="21" customFormat="1" ht="27" customHeight="1" x14ac:dyDescent="0.45">
      <c r="A10" s="52" t="s">
        <v>468</v>
      </c>
      <c r="B10" s="52">
        <v>0</v>
      </c>
      <c r="C10" s="52">
        <v>1</v>
      </c>
      <c r="D10" s="52">
        <v>0</v>
      </c>
      <c r="E10" s="55" t="s">
        <v>586</v>
      </c>
      <c r="F10" s="7" t="s">
        <v>587</v>
      </c>
      <c r="G10" s="52">
        <v>2</v>
      </c>
      <c r="H10" s="52">
        <v>0</v>
      </c>
      <c r="I10" s="52" t="s">
        <v>588</v>
      </c>
    </row>
    <row r="11" spans="1:10" s="21" customFormat="1" ht="27" customHeight="1" x14ac:dyDescent="0.45">
      <c r="A11" s="7" t="s">
        <v>451</v>
      </c>
      <c r="B11" s="52">
        <v>10</v>
      </c>
      <c r="C11" s="52">
        <v>0</v>
      </c>
      <c r="D11" s="52">
        <v>0</v>
      </c>
      <c r="E11" s="52" t="s">
        <v>589</v>
      </c>
      <c r="F11" s="52" t="s">
        <v>590</v>
      </c>
      <c r="G11" s="52">
        <v>1</v>
      </c>
      <c r="H11" s="52">
        <v>0</v>
      </c>
      <c r="I11" s="52" t="s">
        <v>591</v>
      </c>
    </row>
    <row r="12" spans="1:10" s="21" customFormat="1" ht="27" customHeight="1" x14ac:dyDescent="0.45">
      <c r="A12" s="7" t="s">
        <v>563</v>
      </c>
      <c r="B12" s="52">
        <v>5</v>
      </c>
      <c r="C12" s="52">
        <v>0</v>
      </c>
      <c r="D12" s="52">
        <v>0</v>
      </c>
      <c r="E12" s="52" t="s">
        <v>592</v>
      </c>
      <c r="F12" s="1" t="s">
        <v>593</v>
      </c>
      <c r="G12" s="52">
        <v>2</v>
      </c>
      <c r="H12" s="52">
        <v>0</v>
      </c>
      <c r="I12" s="52" t="s">
        <v>594</v>
      </c>
    </row>
    <row r="13" spans="1:10" s="21" customFormat="1" ht="30" customHeight="1" x14ac:dyDescent="0.45">
      <c r="A13" s="7" t="s">
        <v>566</v>
      </c>
      <c r="B13" s="1">
        <v>5</v>
      </c>
      <c r="C13" s="52">
        <v>0</v>
      </c>
      <c r="D13" s="52">
        <v>0</v>
      </c>
      <c r="E13" s="1" t="s">
        <v>595</v>
      </c>
      <c r="F13" s="56" t="s">
        <v>596</v>
      </c>
      <c r="G13" s="52">
        <v>5</v>
      </c>
      <c r="H13" s="52">
        <v>0</v>
      </c>
      <c r="I13" s="52" t="s">
        <v>597</v>
      </c>
    </row>
    <row r="14" spans="1:10" s="21" customFormat="1" ht="30" customHeight="1" x14ac:dyDescent="0.45">
      <c r="A14" s="7" t="s">
        <v>567</v>
      </c>
      <c r="B14" s="1">
        <v>5</v>
      </c>
      <c r="C14" s="52">
        <v>0</v>
      </c>
      <c r="D14" s="52">
        <v>0</v>
      </c>
      <c r="E14" s="1" t="s">
        <v>598</v>
      </c>
      <c r="F14" s="56" t="s">
        <v>599</v>
      </c>
      <c r="G14" s="52">
        <v>5</v>
      </c>
      <c r="H14" s="52">
        <v>0</v>
      </c>
      <c r="I14" s="52" t="s">
        <v>600</v>
      </c>
    </row>
    <row r="15" spans="1:10" ht="30" customHeight="1" x14ac:dyDescent="0.3">
      <c r="A15" s="55" t="s">
        <v>601</v>
      </c>
      <c r="B15" s="52">
        <v>0</v>
      </c>
      <c r="C15" s="52">
        <v>1</v>
      </c>
      <c r="D15" s="52">
        <v>0</v>
      </c>
      <c r="E15" s="52" t="s">
        <v>602</v>
      </c>
      <c r="F15" s="52" t="s">
        <v>603</v>
      </c>
      <c r="G15" s="52">
        <v>2</v>
      </c>
      <c r="H15" s="52">
        <v>0</v>
      </c>
      <c r="I15" s="52" t="s">
        <v>604</v>
      </c>
    </row>
    <row r="16" spans="1:10" ht="30" customHeight="1" x14ac:dyDescent="0.45">
      <c r="A16" s="55" t="s">
        <v>605</v>
      </c>
      <c r="B16" s="52">
        <v>0</v>
      </c>
      <c r="C16" s="52">
        <v>1</v>
      </c>
      <c r="D16" s="52">
        <v>0</v>
      </c>
      <c r="E16" s="7" t="s">
        <v>606</v>
      </c>
      <c r="F16" s="56" t="s">
        <v>607</v>
      </c>
      <c r="G16" s="60">
        <v>8</v>
      </c>
      <c r="H16" s="60">
        <v>0</v>
      </c>
      <c r="I16" s="60" t="s">
        <v>608</v>
      </c>
    </row>
    <row r="17" spans="1:9" ht="30" customHeight="1" x14ac:dyDescent="0.45">
      <c r="A17" s="55" t="s">
        <v>609</v>
      </c>
      <c r="B17" s="52">
        <v>0</v>
      </c>
      <c r="C17" s="52">
        <v>1</v>
      </c>
      <c r="D17" s="52">
        <v>0</v>
      </c>
      <c r="E17" s="52" t="s">
        <v>602</v>
      </c>
      <c r="F17" s="52" t="s">
        <v>610</v>
      </c>
      <c r="G17" s="7">
        <v>2</v>
      </c>
      <c r="H17" s="7">
        <v>0</v>
      </c>
      <c r="I17" s="52" t="s">
        <v>611</v>
      </c>
    </row>
    <row r="18" spans="1:9" ht="30" customHeight="1" x14ac:dyDescent="0.45">
      <c r="A18" s="7" t="s">
        <v>612</v>
      </c>
      <c r="B18" s="52">
        <v>3</v>
      </c>
      <c r="C18" s="52">
        <v>0</v>
      </c>
      <c r="D18" s="52">
        <v>0</v>
      </c>
      <c r="E18" s="52" t="s">
        <v>613</v>
      </c>
      <c r="F18" s="52" t="s">
        <v>614</v>
      </c>
      <c r="G18" s="52">
        <v>1</v>
      </c>
      <c r="H18" s="52">
        <v>0</v>
      </c>
      <c r="I18" s="52" t="s">
        <v>615</v>
      </c>
    </row>
    <row r="19" spans="1:9" ht="30" customHeight="1" x14ac:dyDescent="0.45">
      <c r="A19" s="52" t="s">
        <v>48</v>
      </c>
      <c r="B19" s="52">
        <v>0</v>
      </c>
      <c r="C19" s="52">
        <v>1</v>
      </c>
      <c r="D19" s="52">
        <v>1</v>
      </c>
      <c r="E19" s="52" t="s">
        <v>616</v>
      </c>
      <c r="F19" s="52" t="s">
        <v>617</v>
      </c>
      <c r="G19" s="7">
        <v>2</v>
      </c>
      <c r="H19" s="7">
        <v>0</v>
      </c>
      <c r="I19" s="52" t="s">
        <v>618</v>
      </c>
    </row>
    <row r="20" spans="1:9" ht="24.75" customHeight="1" x14ac:dyDescent="0.3">
      <c r="A20" s="52" t="s">
        <v>619</v>
      </c>
      <c r="B20" s="52">
        <v>0</v>
      </c>
      <c r="C20" s="52">
        <v>1</v>
      </c>
      <c r="D20" s="52">
        <v>0</v>
      </c>
      <c r="E20" s="52" t="s">
        <v>620</v>
      </c>
      <c r="F20" s="55" t="s">
        <v>601</v>
      </c>
      <c r="G20" s="52">
        <v>1</v>
      </c>
      <c r="H20" s="52">
        <v>0</v>
      </c>
      <c r="I20" s="52" t="s">
        <v>602</v>
      </c>
    </row>
    <row r="21" spans="1:9" ht="24.75" customHeight="1" x14ac:dyDescent="0.3">
      <c r="A21" s="1"/>
      <c r="B21" s="1"/>
      <c r="C21" s="1"/>
      <c r="D21" s="1"/>
      <c r="E21" s="1"/>
      <c r="F21" s="55" t="s">
        <v>609</v>
      </c>
      <c r="G21" s="52">
        <v>1</v>
      </c>
      <c r="H21" s="52">
        <v>0</v>
      </c>
      <c r="I21" s="52" t="s">
        <v>602</v>
      </c>
    </row>
    <row r="22" spans="1:9" ht="24.75" customHeight="1" x14ac:dyDescent="0.25">
      <c r="A22" s="53"/>
      <c r="B22" s="53"/>
      <c r="C22" s="53"/>
      <c r="D22" s="53"/>
      <c r="E22" s="53"/>
      <c r="F22" s="74"/>
      <c r="G22" s="51"/>
      <c r="H22" s="51"/>
      <c r="I22" s="51"/>
    </row>
    <row r="23" spans="1:9" ht="24.75" customHeight="1" x14ac:dyDescent="0.45">
      <c r="A23" s="52"/>
      <c r="B23" s="52"/>
      <c r="C23" s="52"/>
      <c r="D23" s="52"/>
      <c r="E23" s="52"/>
      <c r="F23" s="58"/>
      <c r="G23" s="7"/>
      <c r="H23" s="7"/>
      <c r="I23" s="7"/>
    </row>
    <row r="24" spans="1:9" ht="24.75" customHeight="1" x14ac:dyDescent="0.45">
      <c r="A24" s="52"/>
      <c r="B24" s="52"/>
      <c r="C24" s="52"/>
      <c r="D24" s="52"/>
      <c r="E24" s="52"/>
      <c r="F24" s="58"/>
      <c r="G24" s="7"/>
      <c r="H24" s="7"/>
      <c r="I24" s="7"/>
    </row>
    <row r="25" spans="1:9" ht="24.75" customHeight="1" x14ac:dyDescent="0.25">
      <c r="A25" s="52"/>
      <c r="B25" s="52"/>
      <c r="C25" s="52"/>
      <c r="D25" s="52"/>
      <c r="E25" s="52"/>
      <c r="F25" s="62"/>
      <c r="G25" s="32"/>
      <c r="H25" s="32"/>
      <c r="I25" s="32"/>
    </row>
    <row r="26" spans="1:9" ht="24.75" customHeight="1" x14ac:dyDescent="0.25">
      <c r="A26" s="1"/>
      <c r="B26" s="1"/>
      <c r="C26" s="1"/>
      <c r="D26" s="1"/>
      <c r="E26" s="1"/>
      <c r="F26" s="72"/>
      <c r="G26" s="32"/>
      <c r="H26" s="32"/>
      <c r="I26" s="32"/>
    </row>
    <row r="27" spans="1:9" ht="24.75" customHeight="1" x14ac:dyDescent="0.25">
      <c r="A27" s="1"/>
      <c r="B27" s="1"/>
      <c r="C27" s="1"/>
      <c r="D27" s="1"/>
      <c r="E27" s="1"/>
      <c r="F27" s="73"/>
      <c r="G27" s="61"/>
      <c r="H27" s="61"/>
      <c r="I27" s="61"/>
    </row>
    <row r="28" spans="1:9" ht="24.75" customHeight="1" x14ac:dyDescent="0.25">
      <c r="A28" s="41"/>
      <c r="B28" s="48"/>
      <c r="C28" s="48"/>
      <c r="D28" s="48"/>
      <c r="E28" s="36"/>
      <c r="F28" s="72"/>
      <c r="G28" s="32"/>
      <c r="H28" s="32"/>
      <c r="I28" s="32"/>
    </row>
    <row r="29" spans="1:9" ht="24.75" customHeight="1" x14ac:dyDescent="0.25">
      <c r="A29" s="41"/>
      <c r="B29" s="48"/>
      <c r="C29" s="48"/>
      <c r="D29" s="48"/>
      <c r="E29" s="36"/>
      <c r="F29" s="72"/>
      <c r="G29" s="32"/>
      <c r="H29" s="32"/>
      <c r="I29" s="32"/>
    </row>
    <row r="30" spans="1:9" ht="24.75" customHeight="1" x14ac:dyDescent="0.25">
      <c r="A30" s="41"/>
      <c r="B30" s="48"/>
      <c r="C30" s="48"/>
      <c r="D30" s="48"/>
      <c r="E30" s="36"/>
      <c r="F30" s="62"/>
      <c r="G30" s="29"/>
      <c r="H30" s="29"/>
      <c r="I30" s="31"/>
    </row>
    <row r="31" spans="1:9" ht="24.75" customHeight="1" x14ac:dyDescent="0.25">
      <c r="A31" s="64"/>
      <c r="B31" s="65"/>
      <c r="C31" s="65"/>
      <c r="D31" s="65"/>
      <c r="E31" s="66"/>
      <c r="F31" s="12"/>
      <c r="G31" s="30"/>
      <c r="H31" s="33"/>
      <c r="I31" s="31"/>
    </row>
    <row r="32" spans="1:9" ht="24.75" customHeight="1" x14ac:dyDescent="0.25">
      <c r="A32" s="40"/>
      <c r="B32" s="30"/>
      <c r="C32" s="30"/>
      <c r="D32" s="30"/>
      <c r="E32" s="29"/>
      <c r="F32" s="29"/>
      <c r="G32" s="30"/>
      <c r="H32" s="33"/>
      <c r="I32" s="31"/>
    </row>
    <row r="33" spans="1:9" s="11" customFormat="1" ht="30" customHeight="1" x14ac:dyDescent="0.25">
      <c r="A33" s="28">
        <f>COUNTA(A6:A32)</f>
        <v>15</v>
      </c>
      <c r="B33" s="28">
        <f>SUM(B6:B32)</f>
        <v>29</v>
      </c>
      <c r="C33" s="28">
        <f>SUM(C6:C32)</f>
        <v>9</v>
      </c>
      <c r="D33" s="28">
        <f>SUM(D6:D32)</f>
        <v>1</v>
      </c>
      <c r="E33" s="28"/>
      <c r="F33" s="28">
        <f>COUNTA(F6:F32)</f>
        <v>16</v>
      </c>
      <c r="G33" s="28">
        <f>SUM(G6:G26)</f>
        <v>44</v>
      </c>
      <c r="H33" s="28">
        <f>SUM(H6:H32)</f>
        <v>0</v>
      </c>
      <c r="I33" s="28"/>
    </row>
    <row r="34" spans="1:9" ht="13.5" customHeight="1" x14ac:dyDescent="0.25"/>
    <row r="36" spans="1:9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9" ht="38.25" customHeight="1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9" s="21" customFormat="1" ht="24.75" customHeight="1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</row>
    <row r="39" spans="1:9" s="21" customFormat="1" ht="24.75" customHeight="1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</row>
    <row r="40" spans="1:9" s="21" customFormat="1" ht="24.75" customHeight="1" x14ac:dyDescent="0.25">
      <c r="A40" s="10" t="s">
        <v>46</v>
      </c>
      <c r="B40" s="20">
        <v>46237</v>
      </c>
      <c r="C40" s="22">
        <v>1</v>
      </c>
      <c r="D40" s="22">
        <v>1</v>
      </c>
      <c r="E40" s="182" t="s">
        <v>47</v>
      </c>
      <c r="F40" s="183"/>
    </row>
    <row r="41" spans="1:9" s="21" customFormat="1" ht="24.75" customHeight="1" x14ac:dyDescent="0.25">
      <c r="A41" s="10"/>
      <c r="B41" s="20"/>
      <c r="C41" s="22"/>
      <c r="D41" s="22">
        <f>SUM(D38:D40)</f>
        <v>4</v>
      </c>
      <c r="E41" s="182"/>
      <c r="F41" s="183"/>
    </row>
    <row r="42" spans="1:9" s="21" customFormat="1" ht="24.75" customHeight="1" x14ac:dyDescent="0.25">
      <c r="A42"/>
      <c r="B42"/>
      <c r="C42"/>
      <c r="D42"/>
      <c r="E42"/>
      <c r="F42"/>
      <c r="G42"/>
    </row>
    <row r="43" spans="1:9" ht="21" customHeight="1" x14ac:dyDescent="0.25">
      <c r="F43"/>
    </row>
    <row r="44" spans="1:9" x14ac:dyDescent="0.25">
      <c r="F44"/>
    </row>
    <row r="45" spans="1:9" x14ac:dyDescent="0.25">
      <c r="F45"/>
    </row>
    <row r="46" spans="1:9" x14ac:dyDescent="0.25">
      <c r="F46"/>
    </row>
    <row r="58" spans="1:5" x14ac:dyDescent="0.25">
      <c r="A58" s="39" t="s">
        <v>60</v>
      </c>
      <c r="B58" s="35">
        <v>1</v>
      </c>
      <c r="C58" s="34">
        <v>0</v>
      </c>
      <c r="D58" s="34" t="s">
        <v>61</v>
      </c>
    </row>
    <row r="59" spans="1:5" ht="17.399999999999999" x14ac:dyDescent="0.3">
      <c r="A59" s="2" t="s">
        <v>62</v>
      </c>
      <c r="B59" s="35">
        <v>1</v>
      </c>
      <c r="C59" s="34">
        <v>0</v>
      </c>
      <c r="D59" s="2" t="s">
        <v>63</v>
      </c>
      <c r="E59" s="4"/>
    </row>
    <row r="60" spans="1:5" ht="17.399999999999999" x14ac:dyDescent="0.3">
      <c r="E60" s="4"/>
    </row>
    <row r="61" spans="1:5" ht="19.2" x14ac:dyDescent="0.45">
      <c r="A61" s="7" t="s">
        <v>64</v>
      </c>
      <c r="B61" s="7">
        <v>1</v>
      </c>
      <c r="C61" s="7">
        <v>0</v>
      </c>
      <c r="D61" s="7" t="s">
        <v>65</v>
      </c>
      <c r="E61" s="4"/>
    </row>
    <row r="62" spans="1:5" ht="17.399999999999999" x14ac:dyDescent="0.3">
      <c r="A62" s="3"/>
      <c r="E62" s="4"/>
    </row>
    <row r="63" spans="1:5" ht="19.2" x14ac:dyDescent="0.45">
      <c r="A63" s="9"/>
    </row>
    <row r="65" spans="5:5" ht="17.399999999999999" x14ac:dyDescent="0.3">
      <c r="E65" s="4"/>
    </row>
    <row r="66" spans="5:5" ht="17.399999999999999" x14ac:dyDescent="0.3">
      <c r="E66" s="4"/>
    </row>
    <row r="69" spans="5:5" ht="17.399999999999999" x14ac:dyDescent="0.3">
      <c r="E69" s="4"/>
    </row>
    <row r="70" spans="5:5" ht="17.399999999999999" x14ac:dyDescent="0.3">
      <c r="E70" s="4"/>
    </row>
  </sheetData>
  <mergeCells count="9">
    <mergeCell ref="E39:F39"/>
    <mergeCell ref="E40:F40"/>
    <mergeCell ref="E41:F41"/>
    <mergeCell ref="A1:I1"/>
    <mergeCell ref="A4:E4"/>
    <mergeCell ref="F4:I4"/>
    <mergeCell ref="A36:F36"/>
    <mergeCell ref="E37:F37"/>
    <mergeCell ref="E38:F3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6C9FF-CC7D-4161-8F79-610E8A7AE6DD}">
  <dimension ref="A1:J70"/>
  <sheetViews>
    <sheetView topLeftCell="A10" workbookViewId="0">
      <selection activeCell="A22" sqref="A22"/>
    </sheetView>
  </sheetViews>
  <sheetFormatPr defaultRowHeight="14.4" x14ac:dyDescent="0.25"/>
  <cols>
    <col min="1" max="1" width="32.33203125" customWidth="1"/>
    <col min="2" max="2" width="12.6640625" customWidth="1"/>
    <col min="3" max="3" width="10.6640625" customWidth="1"/>
    <col min="4" max="4" width="12.77734375" customWidth="1"/>
    <col min="5" max="5" width="35.6640625" customWidth="1"/>
    <col min="6" max="6" width="35.109375" style="8" customWidth="1"/>
    <col min="7" max="7" width="12.6640625" customWidth="1"/>
    <col min="8" max="8" width="12.44140625" customWidth="1"/>
    <col min="9" max="9" width="35.6640625" customWidth="1"/>
  </cols>
  <sheetData>
    <row r="1" spans="1:10" ht="25.5" customHeight="1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21.75" customHeight="1" x14ac:dyDescent="0.25">
      <c r="A2" s="13" t="s">
        <v>1</v>
      </c>
      <c r="B2" s="14">
        <v>46281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0.5" customHeight="1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ht="21.75" customHeight="1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33" customHeight="1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s="37" customFormat="1" ht="37.5" customHeight="1" x14ac:dyDescent="0.25">
      <c r="A6" s="52" t="s">
        <v>621</v>
      </c>
      <c r="B6" s="52">
        <v>2</v>
      </c>
      <c r="C6" s="52">
        <v>0</v>
      </c>
      <c r="D6" s="52">
        <v>0</v>
      </c>
      <c r="E6" s="52" t="s">
        <v>622</v>
      </c>
      <c r="F6" s="52" t="s">
        <v>623</v>
      </c>
      <c r="G6" s="52">
        <v>5</v>
      </c>
      <c r="H6" s="52">
        <v>0</v>
      </c>
      <c r="I6" s="2" t="s">
        <v>624</v>
      </c>
      <c r="J6" s="38"/>
    </row>
    <row r="7" spans="1:10" s="37" customFormat="1" ht="27" customHeight="1" x14ac:dyDescent="0.25">
      <c r="A7" s="52" t="s">
        <v>625</v>
      </c>
      <c r="B7" s="52">
        <v>4</v>
      </c>
      <c r="C7" s="52">
        <v>0</v>
      </c>
      <c r="D7" s="52">
        <v>0</v>
      </c>
      <c r="E7" s="52" t="s">
        <v>626</v>
      </c>
      <c r="F7" s="70" t="s">
        <v>627</v>
      </c>
      <c r="G7" s="52">
        <v>1</v>
      </c>
      <c r="H7" s="52">
        <v>0</v>
      </c>
      <c r="I7" s="52" t="s">
        <v>628</v>
      </c>
      <c r="J7" s="38"/>
    </row>
    <row r="8" spans="1:10" s="37" customFormat="1" ht="38.25" customHeight="1" x14ac:dyDescent="0.25">
      <c r="A8" s="52" t="s">
        <v>221</v>
      </c>
      <c r="B8" s="52">
        <v>5</v>
      </c>
      <c r="C8" s="52">
        <v>0</v>
      </c>
      <c r="D8" s="52">
        <v>0</v>
      </c>
      <c r="E8" s="52" t="s">
        <v>629</v>
      </c>
      <c r="F8" s="70" t="s">
        <v>619</v>
      </c>
      <c r="G8" s="52">
        <v>1</v>
      </c>
      <c r="H8" s="52">
        <v>0</v>
      </c>
      <c r="I8" s="52" t="s">
        <v>630</v>
      </c>
      <c r="J8" s="38"/>
    </row>
    <row r="9" spans="1:10" s="21" customFormat="1" ht="27" customHeight="1" x14ac:dyDescent="0.25">
      <c r="A9" s="52" t="s">
        <v>229</v>
      </c>
      <c r="B9" s="52">
        <v>5</v>
      </c>
      <c r="C9" s="52">
        <v>0</v>
      </c>
      <c r="D9" s="52">
        <v>0</v>
      </c>
      <c r="E9" s="52" t="s">
        <v>631</v>
      </c>
      <c r="F9" s="70" t="s">
        <v>145</v>
      </c>
      <c r="G9" s="52">
        <v>1</v>
      </c>
      <c r="H9" s="52">
        <v>0</v>
      </c>
      <c r="I9" s="52" t="s">
        <v>632</v>
      </c>
    </row>
    <row r="10" spans="1:10" s="21" customFormat="1" ht="27" customHeight="1" x14ac:dyDescent="0.25">
      <c r="A10" s="52" t="s">
        <v>633</v>
      </c>
      <c r="B10" s="52">
        <v>0</v>
      </c>
      <c r="C10" s="52">
        <v>1</v>
      </c>
      <c r="D10" s="52">
        <v>0</v>
      </c>
      <c r="E10" s="52" t="s">
        <v>634</v>
      </c>
      <c r="F10" s="70" t="s">
        <v>635</v>
      </c>
      <c r="G10" s="52">
        <v>3</v>
      </c>
      <c r="H10" s="52">
        <v>0</v>
      </c>
      <c r="I10" s="52" t="s">
        <v>636</v>
      </c>
    </row>
    <row r="11" spans="1:10" s="21" customFormat="1" ht="27" customHeight="1" x14ac:dyDescent="0.3">
      <c r="A11" s="52" t="s">
        <v>627</v>
      </c>
      <c r="B11" s="52">
        <v>0</v>
      </c>
      <c r="C11" s="52">
        <v>1</v>
      </c>
      <c r="D11" s="52">
        <v>0</v>
      </c>
      <c r="E11" s="52" t="s">
        <v>628</v>
      </c>
      <c r="F11" s="71" t="s">
        <v>625</v>
      </c>
      <c r="G11" s="52">
        <v>4</v>
      </c>
      <c r="H11" s="52">
        <v>0</v>
      </c>
      <c r="I11" s="52" t="s">
        <v>637</v>
      </c>
    </row>
    <row r="12" spans="1:10" s="21" customFormat="1" ht="27" customHeight="1" x14ac:dyDescent="0.25">
      <c r="A12" s="52" t="s">
        <v>638</v>
      </c>
      <c r="B12" s="52">
        <v>0</v>
      </c>
      <c r="C12" s="52">
        <v>1</v>
      </c>
      <c r="D12" s="52">
        <v>0</v>
      </c>
      <c r="E12" s="52" t="s">
        <v>639</v>
      </c>
      <c r="F12" s="70" t="s">
        <v>128</v>
      </c>
      <c r="G12" s="52">
        <v>1</v>
      </c>
      <c r="H12" s="52">
        <v>0</v>
      </c>
      <c r="I12" s="52" t="s">
        <v>640</v>
      </c>
    </row>
    <row r="13" spans="1:10" s="21" customFormat="1" ht="30" customHeight="1" x14ac:dyDescent="0.25">
      <c r="A13" s="52" t="s">
        <v>641</v>
      </c>
      <c r="B13" s="52">
        <v>0</v>
      </c>
      <c r="C13" s="52">
        <v>1</v>
      </c>
      <c r="D13" s="52">
        <v>0</v>
      </c>
      <c r="E13" s="52" t="s">
        <v>642</v>
      </c>
      <c r="F13" s="70" t="s">
        <v>643</v>
      </c>
      <c r="G13" s="52">
        <v>26</v>
      </c>
      <c r="H13" s="52">
        <v>0</v>
      </c>
      <c r="I13" s="52" t="s">
        <v>644</v>
      </c>
    </row>
    <row r="14" spans="1:10" s="21" customFormat="1" ht="30" customHeight="1" x14ac:dyDescent="0.25">
      <c r="A14" s="52" t="s">
        <v>128</v>
      </c>
      <c r="B14" s="52">
        <v>0</v>
      </c>
      <c r="C14" s="52">
        <v>1</v>
      </c>
      <c r="D14" s="52">
        <v>0</v>
      </c>
      <c r="E14" s="52" t="s">
        <v>640</v>
      </c>
      <c r="F14" s="70" t="s">
        <v>645</v>
      </c>
      <c r="G14" s="52">
        <v>9</v>
      </c>
      <c r="H14" s="52">
        <v>0</v>
      </c>
      <c r="I14" s="52" t="s">
        <v>646</v>
      </c>
    </row>
    <row r="15" spans="1:10" ht="30" customHeight="1" x14ac:dyDescent="0.25">
      <c r="A15" s="52" t="s">
        <v>619</v>
      </c>
      <c r="B15" s="52">
        <v>0</v>
      </c>
      <c r="C15" s="52">
        <v>1</v>
      </c>
      <c r="D15" s="52">
        <v>0</v>
      </c>
      <c r="E15" s="52" t="s">
        <v>630</v>
      </c>
      <c r="F15" s="70" t="s">
        <v>647</v>
      </c>
      <c r="G15" s="60">
        <v>119</v>
      </c>
      <c r="H15" s="60">
        <v>0</v>
      </c>
      <c r="I15" s="52" t="s">
        <v>648</v>
      </c>
    </row>
    <row r="16" spans="1:10" ht="30" customHeight="1" x14ac:dyDescent="0.25">
      <c r="A16" s="52" t="s">
        <v>649</v>
      </c>
      <c r="B16" s="52">
        <v>0</v>
      </c>
      <c r="C16" s="52">
        <v>4</v>
      </c>
      <c r="D16" s="52">
        <v>0</v>
      </c>
      <c r="E16" s="52" t="s">
        <v>650</v>
      </c>
      <c r="F16" s="70"/>
      <c r="G16" s="60"/>
      <c r="H16" s="60"/>
      <c r="I16" s="52"/>
    </row>
    <row r="17" spans="1:9" ht="30" customHeight="1" x14ac:dyDescent="0.45">
      <c r="A17" s="52" t="s">
        <v>483</v>
      </c>
      <c r="B17" s="52">
        <v>28</v>
      </c>
      <c r="C17" s="52">
        <v>0</v>
      </c>
      <c r="D17" s="52">
        <v>28</v>
      </c>
      <c r="E17" s="52" t="s">
        <v>651</v>
      </c>
      <c r="F17" s="56"/>
      <c r="G17" s="7"/>
      <c r="H17" s="7"/>
      <c r="I17" s="52"/>
    </row>
    <row r="18" spans="1:9" ht="30" customHeight="1" x14ac:dyDescent="0.25">
      <c r="A18" s="52" t="s">
        <v>149</v>
      </c>
      <c r="B18" s="52">
        <v>1</v>
      </c>
      <c r="C18" s="52">
        <v>0</v>
      </c>
      <c r="D18" s="52">
        <v>0</v>
      </c>
      <c r="E18" s="52" t="s">
        <v>652</v>
      </c>
      <c r="F18" s="56"/>
      <c r="G18" s="52"/>
      <c r="H18" s="52"/>
      <c r="I18" s="52"/>
    </row>
    <row r="19" spans="1:9" ht="30" customHeight="1" x14ac:dyDescent="0.45">
      <c r="A19" s="52" t="s">
        <v>653</v>
      </c>
      <c r="B19" s="52">
        <v>0</v>
      </c>
      <c r="C19" s="52">
        <v>1</v>
      </c>
      <c r="D19" s="52">
        <v>0</v>
      </c>
      <c r="E19" s="52" t="s">
        <v>654</v>
      </c>
      <c r="F19" s="1"/>
      <c r="G19" s="7"/>
      <c r="H19" s="7"/>
      <c r="I19" s="52"/>
    </row>
    <row r="20" spans="1:9" ht="24.75" customHeight="1" x14ac:dyDescent="0.45">
      <c r="A20" s="52" t="s">
        <v>580</v>
      </c>
      <c r="B20" s="52">
        <v>6</v>
      </c>
      <c r="C20" s="52">
        <v>0</v>
      </c>
      <c r="D20" s="52">
        <v>0</v>
      </c>
      <c r="E20" s="52" t="s">
        <v>655</v>
      </c>
      <c r="F20" s="56"/>
      <c r="G20" s="7"/>
      <c r="H20" s="7"/>
      <c r="I20" s="52"/>
    </row>
    <row r="21" spans="1:9" ht="24.75" customHeight="1" x14ac:dyDescent="0.25">
      <c r="A21" s="52" t="s">
        <v>333</v>
      </c>
      <c r="B21" s="52">
        <v>4</v>
      </c>
      <c r="C21" s="52">
        <v>0</v>
      </c>
      <c r="D21" s="52">
        <v>0</v>
      </c>
      <c r="E21" s="52" t="s">
        <v>656</v>
      </c>
      <c r="F21" s="52"/>
      <c r="G21" s="52"/>
      <c r="H21" s="52"/>
      <c r="I21" s="52"/>
    </row>
    <row r="22" spans="1:9" ht="24.75" customHeight="1" x14ac:dyDescent="0.25">
      <c r="A22" s="52" t="s">
        <v>635</v>
      </c>
      <c r="B22" s="52">
        <v>0</v>
      </c>
      <c r="C22" s="52">
        <v>3</v>
      </c>
      <c r="D22" s="52">
        <v>0</v>
      </c>
      <c r="E22" s="52" t="s">
        <v>636</v>
      </c>
      <c r="F22" s="52"/>
      <c r="G22" s="52"/>
      <c r="H22" s="52"/>
      <c r="I22" s="52"/>
    </row>
    <row r="23" spans="1:9" ht="24.75" customHeight="1" x14ac:dyDescent="0.45">
      <c r="A23" s="52" t="s">
        <v>428</v>
      </c>
      <c r="B23" s="52">
        <v>8</v>
      </c>
      <c r="C23" s="52">
        <v>0</v>
      </c>
      <c r="D23" s="52">
        <v>0</v>
      </c>
      <c r="E23" s="52" t="s">
        <v>657</v>
      </c>
      <c r="F23" s="7"/>
      <c r="G23" s="7"/>
      <c r="H23" s="7"/>
      <c r="I23" s="7"/>
    </row>
    <row r="24" spans="1:9" ht="24.75" customHeight="1" x14ac:dyDescent="0.45">
      <c r="F24" s="7"/>
      <c r="G24" s="7"/>
      <c r="H24" s="7"/>
      <c r="I24" s="7"/>
    </row>
    <row r="25" spans="1:9" ht="24.75" customHeight="1" x14ac:dyDescent="0.25">
      <c r="A25" s="1"/>
      <c r="B25" s="1"/>
      <c r="C25" s="1"/>
      <c r="D25" s="1"/>
      <c r="E25" s="1"/>
      <c r="F25" s="12"/>
      <c r="G25" s="32"/>
      <c r="H25" s="32"/>
      <c r="I25" s="32"/>
    </row>
    <row r="26" spans="1:9" ht="24.75" customHeight="1" x14ac:dyDescent="0.25">
      <c r="A26" s="1"/>
      <c r="B26" s="1"/>
      <c r="C26" s="1"/>
      <c r="D26" s="1"/>
      <c r="E26" s="1"/>
      <c r="F26" s="32"/>
      <c r="G26" s="32"/>
      <c r="H26" s="32"/>
      <c r="I26" s="32"/>
    </row>
    <row r="27" spans="1:9" ht="24.75" customHeight="1" x14ac:dyDescent="0.25">
      <c r="A27" s="1"/>
      <c r="B27" s="1"/>
      <c r="C27" s="1"/>
      <c r="D27" s="1"/>
      <c r="E27" s="1"/>
      <c r="F27" s="32"/>
      <c r="G27" s="32"/>
      <c r="H27" s="32"/>
      <c r="I27" s="32"/>
    </row>
    <row r="28" spans="1:9" ht="24.75" customHeight="1" x14ac:dyDescent="0.25">
      <c r="A28" s="41"/>
      <c r="B28" s="48"/>
      <c r="C28" s="48"/>
      <c r="D28" s="48"/>
      <c r="E28" s="36"/>
      <c r="F28" s="32"/>
      <c r="G28" s="32"/>
      <c r="H28" s="32"/>
      <c r="I28" s="32"/>
    </row>
    <row r="29" spans="1:9" ht="24.75" customHeight="1" x14ac:dyDescent="0.25">
      <c r="A29" s="41"/>
      <c r="B29" s="48"/>
      <c r="C29" s="48"/>
      <c r="D29" s="48"/>
      <c r="E29" s="36"/>
      <c r="F29" s="32"/>
      <c r="G29" s="32"/>
      <c r="H29" s="32"/>
      <c r="I29" s="32"/>
    </row>
    <row r="30" spans="1:9" ht="24.75" customHeight="1" x14ac:dyDescent="0.25">
      <c r="A30" s="64"/>
      <c r="B30" s="65"/>
      <c r="C30" s="65"/>
      <c r="D30" s="65"/>
      <c r="E30" s="66"/>
      <c r="F30" s="67"/>
      <c r="G30" s="68"/>
      <c r="H30" s="68"/>
      <c r="I30" s="69"/>
    </row>
    <row r="31" spans="1:9" ht="24.75" customHeight="1" x14ac:dyDescent="0.25">
      <c r="A31" s="41"/>
      <c r="B31" s="48"/>
      <c r="C31" s="48"/>
      <c r="D31" s="48"/>
      <c r="E31" s="36"/>
      <c r="F31" s="12"/>
      <c r="G31" s="30"/>
      <c r="H31" s="33"/>
      <c r="I31" s="31"/>
    </row>
    <row r="32" spans="1:9" ht="24.75" customHeight="1" x14ac:dyDescent="0.25">
      <c r="A32" s="40"/>
      <c r="B32" s="30"/>
      <c r="C32" s="30"/>
      <c r="D32" s="30"/>
      <c r="E32" s="29"/>
      <c r="F32" s="29"/>
      <c r="G32" s="30"/>
      <c r="H32" s="33"/>
      <c r="I32" s="31"/>
    </row>
    <row r="33" spans="1:9" s="11" customFormat="1" ht="30" customHeight="1" x14ac:dyDescent="0.25">
      <c r="A33" s="28">
        <f>COUNTA(A6:A32)</f>
        <v>18</v>
      </c>
      <c r="B33" s="28">
        <f>SUM(B6:B32)</f>
        <v>63</v>
      </c>
      <c r="C33" s="28">
        <f>SUM(C6:C32)</f>
        <v>14</v>
      </c>
      <c r="D33" s="28">
        <f>SUM(D6:D32)</f>
        <v>28</v>
      </c>
      <c r="E33" s="28"/>
      <c r="F33" s="28">
        <f>COUNTA(F6:F32)</f>
        <v>10</v>
      </c>
      <c r="G33" s="28">
        <f>SUM(G6:G26)</f>
        <v>170</v>
      </c>
      <c r="H33" s="28">
        <f>SUM(H6:H32)</f>
        <v>0</v>
      </c>
      <c r="I33" s="28"/>
    </row>
    <row r="34" spans="1:9" ht="13.5" customHeight="1" x14ac:dyDescent="0.25"/>
    <row r="36" spans="1:9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9" ht="38.25" customHeight="1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9" s="21" customFormat="1" ht="24.75" customHeight="1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</row>
    <row r="39" spans="1:9" s="21" customFormat="1" ht="24.75" customHeight="1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</row>
    <row r="40" spans="1:9" s="21" customFormat="1" ht="24.75" customHeight="1" x14ac:dyDescent="0.25">
      <c r="A40" s="10"/>
      <c r="B40" s="20"/>
      <c r="C40" s="22"/>
      <c r="D40" s="22"/>
      <c r="E40" s="182"/>
      <c r="F40" s="183"/>
    </row>
    <row r="41" spans="1:9" s="21" customFormat="1" ht="24.75" customHeight="1" x14ac:dyDescent="0.25">
      <c r="A41" s="10"/>
      <c r="B41" s="20"/>
      <c r="C41" s="22"/>
      <c r="D41" s="22">
        <f>SUM(D38:D40)</f>
        <v>3</v>
      </c>
      <c r="E41" s="182"/>
      <c r="F41" s="183"/>
    </row>
    <row r="42" spans="1:9" s="21" customFormat="1" ht="24.75" customHeight="1" x14ac:dyDescent="0.25">
      <c r="A42"/>
      <c r="B42"/>
      <c r="C42"/>
      <c r="D42"/>
      <c r="E42"/>
      <c r="F42"/>
      <c r="G42"/>
    </row>
    <row r="43" spans="1:9" ht="21" customHeight="1" x14ac:dyDescent="0.25">
      <c r="F43"/>
    </row>
    <row r="44" spans="1:9" x14ac:dyDescent="0.25">
      <c r="F44"/>
    </row>
    <row r="45" spans="1:9" x14ac:dyDescent="0.25">
      <c r="F45"/>
    </row>
    <row r="46" spans="1:9" x14ac:dyDescent="0.25">
      <c r="F46"/>
    </row>
    <row r="58" spans="1:5" x14ac:dyDescent="0.25">
      <c r="A58" s="39" t="s">
        <v>60</v>
      </c>
      <c r="B58" s="35">
        <v>1</v>
      </c>
      <c r="C58" s="34">
        <v>0</v>
      </c>
      <c r="D58" s="34" t="s">
        <v>61</v>
      </c>
    </row>
    <row r="59" spans="1:5" ht="17.399999999999999" x14ac:dyDescent="0.3">
      <c r="A59" s="2" t="s">
        <v>62</v>
      </c>
      <c r="B59" s="35">
        <v>1</v>
      </c>
      <c r="C59" s="34">
        <v>0</v>
      </c>
      <c r="D59" s="2" t="s">
        <v>63</v>
      </c>
      <c r="E59" s="4"/>
    </row>
    <row r="60" spans="1:5" ht="17.399999999999999" x14ac:dyDescent="0.3">
      <c r="E60" s="4"/>
    </row>
    <row r="61" spans="1:5" ht="19.2" x14ac:dyDescent="0.45">
      <c r="A61" s="7" t="s">
        <v>64</v>
      </c>
      <c r="B61" s="7">
        <v>1</v>
      </c>
      <c r="C61" s="7">
        <v>0</v>
      </c>
      <c r="D61" s="7" t="s">
        <v>65</v>
      </c>
      <c r="E61" s="4"/>
    </row>
    <row r="62" spans="1:5" ht="17.399999999999999" x14ac:dyDescent="0.3">
      <c r="A62" s="3"/>
      <c r="E62" s="4"/>
    </row>
    <row r="63" spans="1:5" ht="19.2" x14ac:dyDescent="0.45">
      <c r="A63" s="9"/>
    </row>
    <row r="65" spans="5:5" ht="17.399999999999999" x14ac:dyDescent="0.3">
      <c r="E65" s="4"/>
    </row>
    <row r="66" spans="5:5" ht="17.399999999999999" x14ac:dyDescent="0.3">
      <c r="E66" s="4"/>
    </row>
    <row r="69" spans="5:5" ht="17.399999999999999" x14ac:dyDescent="0.3">
      <c r="E69" s="4"/>
    </row>
    <row r="70" spans="5:5" ht="17.399999999999999" x14ac:dyDescent="0.3">
      <c r="E70" s="4"/>
    </row>
  </sheetData>
  <mergeCells count="9">
    <mergeCell ref="E39:F39"/>
    <mergeCell ref="E40:F40"/>
    <mergeCell ref="E41:F41"/>
    <mergeCell ref="A1:I1"/>
    <mergeCell ref="A4:E4"/>
    <mergeCell ref="F4:I4"/>
    <mergeCell ref="A36:F36"/>
    <mergeCell ref="E37:F37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0B587-42C2-423B-8A7B-AF41F2A74169}">
  <dimension ref="A1:J70"/>
  <sheetViews>
    <sheetView topLeftCell="A5" workbookViewId="0">
      <selection activeCell="F9" sqref="F9"/>
    </sheetView>
  </sheetViews>
  <sheetFormatPr defaultRowHeight="14.4" x14ac:dyDescent="0.25"/>
  <cols>
    <col min="1" max="1" width="32.33203125" customWidth="1"/>
    <col min="2" max="2" width="12.6640625" customWidth="1"/>
    <col min="3" max="3" width="10.6640625" customWidth="1"/>
    <col min="4" max="4" width="12.77734375" customWidth="1"/>
    <col min="5" max="5" width="35.6640625" customWidth="1"/>
    <col min="6" max="6" width="35.109375" style="8" customWidth="1"/>
    <col min="7" max="7" width="12.6640625" customWidth="1"/>
    <col min="8" max="8" width="12.44140625" customWidth="1"/>
    <col min="9" max="9" width="35.6640625" customWidth="1"/>
  </cols>
  <sheetData>
    <row r="1" spans="1:10" ht="25.5" customHeight="1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21.75" customHeight="1" x14ac:dyDescent="0.25">
      <c r="A2" s="13" t="s">
        <v>1</v>
      </c>
      <c r="B2" s="14">
        <v>46280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0.5" customHeight="1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ht="21.75" customHeight="1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33" customHeight="1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s="37" customFormat="1" ht="37.5" customHeight="1" x14ac:dyDescent="0.45">
      <c r="A6" s="63" t="s">
        <v>621</v>
      </c>
      <c r="B6" s="63">
        <v>2</v>
      </c>
      <c r="C6" s="63">
        <v>0</v>
      </c>
      <c r="D6" s="63">
        <v>0</v>
      </c>
      <c r="E6" s="63" t="s">
        <v>622</v>
      </c>
      <c r="F6" s="63" t="s">
        <v>658</v>
      </c>
      <c r="G6" s="7">
        <v>5</v>
      </c>
      <c r="H6" s="7">
        <v>0</v>
      </c>
      <c r="I6" s="7" t="s">
        <v>659</v>
      </c>
      <c r="J6" s="38"/>
    </row>
    <row r="7" spans="1:10" s="37" customFormat="1" ht="27" customHeight="1" x14ac:dyDescent="0.45">
      <c r="A7" s="63" t="s">
        <v>625</v>
      </c>
      <c r="B7" s="63">
        <v>4</v>
      </c>
      <c r="C7" s="63">
        <v>0</v>
      </c>
      <c r="D7" s="63">
        <v>0</v>
      </c>
      <c r="E7" s="63" t="s">
        <v>626</v>
      </c>
      <c r="F7" s="63" t="s">
        <v>660</v>
      </c>
      <c r="G7" s="7">
        <v>6</v>
      </c>
      <c r="H7" s="7">
        <v>0</v>
      </c>
      <c r="I7" s="7" t="s">
        <v>661</v>
      </c>
      <c r="J7" s="38"/>
    </row>
    <row r="8" spans="1:10" s="37" customFormat="1" ht="38.25" customHeight="1" x14ac:dyDescent="0.45">
      <c r="A8" s="63" t="s">
        <v>221</v>
      </c>
      <c r="B8" s="63">
        <v>5</v>
      </c>
      <c r="C8" s="63">
        <v>0</v>
      </c>
      <c r="D8" s="63">
        <v>0</v>
      </c>
      <c r="E8" s="63" t="s">
        <v>629</v>
      </c>
      <c r="F8" s="63" t="s">
        <v>662</v>
      </c>
      <c r="G8" s="7">
        <v>5</v>
      </c>
      <c r="H8" s="7">
        <v>0</v>
      </c>
      <c r="I8" s="7" t="s">
        <v>663</v>
      </c>
      <c r="J8" s="38"/>
    </row>
    <row r="9" spans="1:10" s="21" customFormat="1" ht="27" customHeight="1" x14ac:dyDescent="0.45">
      <c r="A9" s="63" t="s">
        <v>229</v>
      </c>
      <c r="B9" s="63">
        <v>5</v>
      </c>
      <c r="C9" s="63">
        <v>0</v>
      </c>
      <c r="D9" s="63">
        <v>0</v>
      </c>
      <c r="E9" s="63" t="s">
        <v>631</v>
      </c>
      <c r="F9" s="63" t="s">
        <v>664</v>
      </c>
      <c r="G9" s="7">
        <v>7</v>
      </c>
      <c r="H9" s="7">
        <v>0</v>
      </c>
      <c r="I9" s="7" t="s">
        <v>665</v>
      </c>
    </row>
    <row r="10" spans="1:10" s="21" customFormat="1" ht="27" customHeight="1" x14ac:dyDescent="0.45">
      <c r="A10" s="63" t="s">
        <v>141</v>
      </c>
      <c r="B10" s="63">
        <v>7</v>
      </c>
      <c r="C10" s="63">
        <v>0</v>
      </c>
      <c r="D10" s="63">
        <v>0</v>
      </c>
      <c r="E10" s="63" t="s">
        <v>666</v>
      </c>
      <c r="F10" s="63" t="s">
        <v>667</v>
      </c>
      <c r="G10" s="7">
        <v>1</v>
      </c>
      <c r="H10" s="7">
        <v>0</v>
      </c>
      <c r="I10" s="7" t="s">
        <v>668</v>
      </c>
    </row>
    <row r="11" spans="1:10" s="21" customFormat="1" ht="27" customHeight="1" x14ac:dyDescent="0.45">
      <c r="A11" s="63" t="s">
        <v>669</v>
      </c>
      <c r="B11" s="63">
        <v>0</v>
      </c>
      <c r="C11" s="63">
        <v>1</v>
      </c>
      <c r="D11" s="63">
        <v>0</v>
      </c>
      <c r="E11" s="63" t="s">
        <v>670</v>
      </c>
      <c r="F11" s="63" t="s">
        <v>407</v>
      </c>
      <c r="G11" s="7">
        <v>8</v>
      </c>
      <c r="H11" s="7">
        <v>0</v>
      </c>
      <c r="I11" s="7" t="s">
        <v>671</v>
      </c>
    </row>
    <row r="12" spans="1:10" s="21" customFormat="1" ht="27" customHeight="1" x14ac:dyDescent="0.45">
      <c r="A12" s="63" t="s">
        <v>633</v>
      </c>
      <c r="B12" s="63">
        <v>0</v>
      </c>
      <c r="C12" s="63">
        <v>1</v>
      </c>
      <c r="D12" s="63">
        <v>0</v>
      </c>
      <c r="E12" s="63" t="s">
        <v>634</v>
      </c>
      <c r="F12" s="63" t="s">
        <v>669</v>
      </c>
      <c r="G12" s="7">
        <v>1</v>
      </c>
      <c r="H12" s="7">
        <v>0</v>
      </c>
      <c r="I12" s="7" t="s">
        <v>670</v>
      </c>
    </row>
    <row r="13" spans="1:10" s="21" customFormat="1" ht="30" customHeight="1" x14ac:dyDescent="0.45">
      <c r="A13" s="63" t="s">
        <v>627</v>
      </c>
      <c r="B13" s="63">
        <v>0</v>
      </c>
      <c r="C13" s="63">
        <v>1</v>
      </c>
      <c r="D13" s="63">
        <v>0</v>
      </c>
      <c r="E13" s="63" t="s">
        <v>628</v>
      </c>
      <c r="F13" s="63" t="s">
        <v>672</v>
      </c>
      <c r="G13" s="7">
        <v>5</v>
      </c>
      <c r="H13" s="7">
        <v>0</v>
      </c>
      <c r="I13" s="7" t="s">
        <v>673</v>
      </c>
    </row>
    <row r="14" spans="1:10" s="21" customFormat="1" ht="30" customHeight="1" x14ac:dyDescent="0.45">
      <c r="A14" s="63" t="s">
        <v>638</v>
      </c>
      <c r="B14" s="63">
        <v>0</v>
      </c>
      <c r="C14" s="63">
        <v>1</v>
      </c>
      <c r="D14" s="63">
        <v>0</v>
      </c>
      <c r="E14" s="63" t="s">
        <v>639</v>
      </c>
      <c r="F14" s="63" t="s">
        <v>674</v>
      </c>
      <c r="G14" s="7">
        <v>4</v>
      </c>
      <c r="H14" s="7">
        <v>0</v>
      </c>
      <c r="I14" s="7" t="s">
        <v>675</v>
      </c>
    </row>
    <row r="15" spans="1:10" ht="30" customHeight="1" x14ac:dyDescent="0.45">
      <c r="A15" s="63" t="s">
        <v>641</v>
      </c>
      <c r="B15" s="63">
        <v>0</v>
      </c>
      <c r="C15" s="63">
        <v>1</v>
      </c>
      <c r="D15" s="63">
        <v>0</v>
      </c>
      <c r="E15" s="63" t="s">
        <v>642</v>
      </c>
      <c r="F15" s="63" t="s">
        <v>676</v>
      </c>
      <c r="G15" s="7">
        <v>2</v>
      </c>
      <c r="H15" s="7">
        <v>0</v>
      </c>
      <c r="I15" s="7" t="s">
        <v>677</v>
      </c>
    </row>
    <row r="16" spans="1:10" ht="30" customHeight="1" x14ac:dyDescent="0.45">
      <c r="B16" s="7"/>
      <c r="C16" s="7"/>
      <c r="D16" s="7"/>
      <c r="E16" s="7"/>
      <c r="F16" s="7" t="s">
        <v>627</v>
      </c>
      <c r="G16" s="7">
        <v>1</v>
      </c>
      <c r="H16" s="7">
        <v>0</v>
      </c>
      <c r="I16" s="7" t="s">
        <v>628</v>
      </c>
    </row>
    <row r="17" spans="1:9" ht="30" customHeight="1" x14ac:dyDescent="0.45">
      <c r="A17" s="7"/>
      <c r="B17" s="7"/>
      <c r="C17" s="7"/>
      <c r="D17" s="7"/>
      <c r="E17" s="7"/>
      <c r="F17" s="7" t="s">
        <v>678</v>
      </c>
      <c r="G17" s="7">
        <v>5</v>
      </c>
      <c r="H17" s="7">
        <v>0</v>
      </c>
      <c r="I17" s="7" t="s">
        <v>679</v>
      </c>
    </row>
    <row r="18" spans="1:9" ht="30" customHeight="1" x14ac:dyDescent="0.45">
      <c r="A18" s="7"/>
      <c r="B18" s="7"/>
      <c r="C18" s="7"/>
      <c r="D18" s="7"/>
      <c r="E18" s="7"/>
      <c r="F18" s="7"/>
      <c r="G18" s="7"/>
      <c r="H18" s="7"/>
      <c r="I18" s="7"/>
    </row>
    <row r="19" spans="1:9" ht="30" customHeight="1" x14ac:dyDescent="0.45">
      <c r="A19" s="53"/>
      <c r="B19" s="53"/>
      <c r="C19" s="53"/>
      <c r="D19" s="53"/>
      <c r="E19" s="53"/>
      <c r="F19" s="53"/>
      <c r="G19" s="50"/>
      <c r="H19" s="50"/>
      <c r="I19" s="51"/>
    </row>
    <row r="20" spans="1:9" ht="24.75" customHeight="1" x14ac:dyDescent="0.45">
      <c r="A20" s="1"/>
      <c r="B20" s="1"/>
      <c r="C20" s="1"/>
      <c r="D20" s="1"/>
      <c r="E20" s="1"/>
      <c r="F20" s="56"/>
      <c r="G20" s="7"/>
      <c r="H20" s="7"/>
      <c r="I20" s="52"/>
    </row>
    <row r="21" spans="1:9" ht="24.75" customHeight="1" x14ac:dyDescent="0.25">
      <c r="A21" s="1"/>
      <c r="B21" s="1"/>
      <c r="C21" s="1"/>
      <c r="D21" s="1"/>
      <c r="E21" s="1"/>
      <c r="F21" s="52"/>
      <c r="G21" s="52"/>
      <c r="H21" s="52"/>
      <c r="I21" s="52"/>
    </row>
    <row r="22" spans="1:9" ht="24.75" customHeight="1" x14ac:dyDescent="0.25">
      <c r="A22" s="1"/>
      <c r="B22" s="1"/>
      <c r="C22" s="1"/>
      <c r="D22" s="1"/>
      <c r="E22" s="1"/>
      <c r="F22" s="52"/>
      <c r="G22" s="52"/>
      <c r="H22" s="52"/>
      <c r="I22" s="52"/>
    </row>
    <row r="23" spans="1:9" ht="24.75" customHeight="1" x14ac:dyDescent="0.45">
      <c r="A23" s="1"/>
      <c r="B23" s="1"/>
      <c r="C23" s="1"/>
      <c r="D23" s="1"/>
      <c r="E23" s="1"/>
      <c r="F23" s="7"/>
      <c r="G23" s="7"/>
      <c r="H23" s="7"/>
      <c r="I23" s="7"/>
    </row>
    <row r="24" spans="1:9" ht="24.75" customHeight="1" x14ac:dyDescent="0.45">
      <c r="A24" s="1"/>
      <c r="B24" s="1"/>
      <c r="C24" s="1"/>
      <c r="D24" s="1"/>
      <c r="E24" s="1"/>
      <c r="F24" s="7"/>
      <c r="G24" s="7"/>
      <c r="H24" s="7"/>
      <c r="I24" s="7"/>
    </row>
    <row r="25" spans="1:9" ht="24.75" customHeight="1" x14ac:dyDescent="0.25">
      <c r="A25" s="1"/>
      <c r="B25" s="1"/>
      <c r="C25" s="1"/>
      <c r="D25" s="1"/>
      <c r="E25" s="1"/>
      <c r="F25" s="12"/>
      <c r="G25" s="32"/>
      <c r="H25" s="32"/>
      <c r="I25" s="32"/>
    </row>
    <row r="26" spans="1:9" ht="24.75" customHeight="1" x14ac:dyDescent="0.25">
      <c r="A26" s="1"/>
      <c r="B26" s="1"/>
      <c r="C26" s="1"/>
      <c r="D26" s="1"/>
      <c r="E26" s="1"/>
      <c r="F26" s="32"/>
      <c r="G26" s="32"/>
      <c r="H26" s="32"/>
      <c r="I26" s="32"/>
    </row>
    <row r="27" spans="1:9" ht="24.75" customHeight="1" x14ac:dyDescent="0.25">
      <c r="A27" s="53"/>
      <c r="B27" s="53"/>
      <c r="C27" s="53"/>
      <c r="D27" s="53"/>
      <c r="E27" s="53"/>
      <c r="F27" s="61"/>
      <c r="G27" s="61"/>
      <c r="H27" s="61"/>
      <c r="I27" s="61"/>
    </row>
    <row r="28" spans="1:9" ht="24.75" customHeight="1" x14ac:dyDescent="0.25">
      <c r="A28" s="41"/>
      <c r="B28" s="48"/>
      <c r="C28" s="48"/>
      <c r="D28" s="48"/>
      <c r="E28" s="36"/>
      <c r="F28" s="32"/>
      <c r="G28" s="32"/>
      <c r="H28" s="32"/>
      <c r="I28" s="32"/>
    </row>
    <row r="29" spans="1:9" ht="24.75" customHeight="1" x14ac:dyDescent="0.25">
      <c r="A29" s="41"/>
      <c r="B29" s="48"/>
      <c r="C29" s="48"/>
      <c r="D29" s="48"/>
      <c r="E29" s="36"/>
      <c r="F29" s="32"/>
      <c r="G29" s="32"/>
      <c r="H29" s="32"/>
      <c r="I29" s="32"/>
    </row>
    <row r="30" spans="1:9" ht="24.75" customHeight="1" x14ac:dyDescent="0.25">
      <c r="A30" s="41"/>
      <c r="B30" s="48"/>
      <c r="C30" s="48"/>
      <c r="D30" s="48"/>
      <c r="E30" s="36"/>
      <c r="F30" s="12"/>
      <c r="G30" s="29"/>
      <c r="H30" s="29"/>
      <c r="I30" s="31"/>
    </row>
    <row r="31" spans="1:9" ht="24.75" customHeight="1" x14ac:dyDescent="0.25">
      <c r="A31" s="41"/>
      <c r="B31" s="48"/>
      <c r="C31" s="48"/>
      <c r="D31" s="48"/>
      <c r="E31" s="36"/>
      <c r="F31" s="12"/>
      <c r="G31" s="30"/>
      <c r="H31" s="33"/>
      <c r="I31" s="31"/>
    </row>
    <row r="32" spans="1:9" ht="24.75" customHeight="1" x14ac:dyDescent="0.25">
      <c r="A32" s="40"/>
      <c r="B32" s="30"/>
      <c r="C32" s="30"/>
      <c r="D32" s="30"/>
      <c r="E32" s="29"/>
      <c r="F32" s="29"/>
      <c r="G32" s="30"/>
      <c r="H32" s="33"/>
      <c r="I32" s="31"/>
    </row>
    <row r="33" spans="1:9" s="11" customFormat="1" ht="30" customHeight="1" x14ac:dyDescent="0.25">
      <c r="A33" s="28">
        <f>COUNTA(A6:A32)</f>
        <v>10</v>
      </c>
      <c r="B33" s="28">
        <f>SUM(B6:B32)</f>
        <v>23</v>
      </c>
      <c r="C33" s="28">
        <f>SUM(C6:C32)</f>
        <v>5</v>
      </c>
      <c r="D33" s="28">
        <f>SUM(D6:D32)</f>
        <v>0</v>
      </c>
      <c r="E33" s="28"/>
      <c r="F33" s="28">
        <f>COUNTA(F6:F32)</f>
        <v>12</v>
      </c>
      <c r="G33" s="28">
        <f>SUM(G6:G26)</f>
        <v>50</v>
      </c>
      <c r="H33" s="28">
        <f>SUM(H6:H32)</f>
        <v>0</v>
      </c>
      <c r="I33" s="28"/>
    </row>
    <row r="34" spans="1:9" ht="13.5" customHeight="1" x14ac:dyDescent="0.25"/>
    <row r="36" spans="1:9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9" ht="38.25" customHeight="1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9" s="21" customFormat="1" ht="24.75" customHeight="1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</row>
    <row r="39" spans="1:9" s="21" customFormat="1" ht="24.75" customHeight="1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</row>
    <row r="40" spans="1:9" s="21" customFormat="1" ht="24.75" customHeight="1" x14ac:dyDescent="0.25">
      <c r="A40" s="10"/>
      <c r="B40" s="20"/>
      <c r="C40" s="22"/>
      <c r="D40" s="22"/>
      <c r="E40" s="182"/>
      <c r="F40" s="183"/>
    </row>
    <row r="41" spans="1:9" s="21" customFormat="1" ht="24.75" customHeight="1" x14ac:dyDescent="0.25">
      <c r="A41" s="10"/>
      <c r="B41" s="20"/>
      <c r="C41" s="22"/>
      <c r="D41" s="22">
        <f>SUM(D38:D40)</f>
        <v>3</v>
      </c>
      <c r="E41" s="182"/>
      <c r="F41" s="183"/>
    </row>
    <row r="42" spans="1:9" s="21" customFormat="1" ht="24.75" customHeight="1" x14ac:dyDescent="0.25">
      <c r="A42"/>
      <c r="B42"/>
      <c r="C42"/>
      <c r="D42"/>
      <c r="E42"/>
      <c r="F42"/>
      <c r="G42"/>
    </row>
    <row r="43" spans="1:9" ht="21" customHeight="1" x14ac:dyDescent="0.25">
      <c r="F43"/>
    </row>
    <row r="44" spans="1:9" x14ac:dyDescent="0.25">
      <c r="F44"/>
    </row>
    <row r="45" spans="1:9" x14ac:dyDescent="0.25">
      <c r="F45"/>
    </row>
    <row r="46" spans="1:9" x14ac:dyDescent="0.25">
      <c r="F46"/>
    </row>
    <row r="58" spans="1:5" x14ac:dyDescent="0.25">
      <c r="A58" s="39" t="s">
        <v>60</v>
      </c>
      <c r="B58" s="35">
        <v>1</v>
      </c>
      <c r="C58" s="34">
        <v>0</v>
      </c>
      <c r="D58" s="34" t="s">
        <v>61</v>
      </c>
    </row>
    <row r="59" spans="1:5" ht="17.399999999999999" x14ac:dyDescent="0.3">
      <c r="A59" s="2" t="s">
        <v>62</v>
      </c>
      <c r="B59" s="35">
        <v>1</v>
      </c>
      <c r="C59" s="34">
        <v>0</v>
      </c>
      <c r="D59" s="2" t="s">
        <v>63</v>
      </c>
      <c r="E59" s="4"/>
    </row>
    <row r="60" spans="1:5" ht="17.399999999999999" x14ac:dyDescent="0.3">
      <c r="E60" s="4"/>
    </row>
    <row r="61" spans="1:5" ht="19.2" x14ac:dyDescent="0.45">
      <c r="A61" s="7" t="s">
        <v>64</v>
      </c>
      <c r="B61" s="7">
        <v>1</v>
      </c>
      <c r="C61" s="7">
        <v>0</v>
      </c>
      <c r="D61" s="7" t="s">
        <v>65</v>
      </c>
      <c r="E61" s="4"/>
    </row>
    <row r="62" spans="1:5" ht="17.399999999999999" x14ac:dyDescent="0.3">
      <c r="A62" s="3"/>
      <c r="E62" s="4"/>
    </row>
    <row r="63" spans="1:5" ht="19.2" x14ac:dyDescent="0.45">
      <c r="A63" s="9"/>
    </row>
    <row r="65" spans="5:5" ht="17.399999999999999" x14ac:dyDescent="0.3">
      <c r="E65" s="4"/>
    </row>
    <row r="66" spans="5:5" ht="17.399999999999999" x14ac:dyDescent="0.3">
      <c r="E66" s="4"/>
    </row>
    <row r="69" spans="5:5" ht="17.399999999999999" x14ac:dyDescent="0.3">
      <c r="E69" s="4"/>
    </row>
    <row r="70" spans="5:5" ht="17.399999999999999" x14ac:dyDescent="0.3">
      <c r="E70" s="4"/>
    </row>
  </sheetData>
  <mergeCells count="9">
    <mergeCell ref="E39:F39"/>
    <mergeCell ref="E40:F40"/>
    <mergeCell ref="E41:F41"/>
    <mergeCell ref="A1:I1"/>
    <mergeCell ref="A4:E4"/>
    <mergeCell ref="F4:I4"/>
    <mergeCell ref="A36:F36"/>
    <mergeCell ref="E37:F37"/>
    <mergeCell ref="E38:F3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33353-8EB1-4E9B-88FB-8FFD77197FC6}">
  <dimension ref="A1:J70"/>
  <sheetViews>
    <sheetView workbookViewId="0">
      <selection activeCell="F16" sqref="F16"/>
    </sheetView>
  </sheetViews>
  <sheetFormatPr defaultRowHeight="14.4" x14ac:dyDescent="0.25"/>
  <cols>
    <col min="1" max="1" width="32.33203125" customWidth="1"/>
    <col min="2" max="2" width="12.6640625" customWidth="1"/>
    <col min="3" max="3" width="10.6640625" customWidth="1"/>
    <col min="4" max="4" width="12.77734375" customWidth="1"/>
    <col min="5" max="5" width="35.6640625" customWidth="1"/>
    <col min="6" max="6" width="26.33203125" style="8" customWidth="1"/>
    <col min="7" max="7" width="12.6640625" customWidth="1"/>
    <col min="8" max="8" width="12.44140625" customWidth="1"/>
    <col min="9" max="9" width="35.6640625" customWidth="1"/>
  </cols>
  <sheetData>
    <row r="1" spans="1:10" ht="25.5" customHeight="1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21.75" customHeight="1" x14ac:dyDescent="0.25">
      <c r="A2" s="13" t="s">
        <v>1</v>
      </c>
      <c r="B2" s="14">
        <v>46275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0.5" customHeight="1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ht="21.75" customHeight="1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33" customHeight="1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s="37" customFormat="1" ht="37.5" customHeight="1" x14ac:dyDescent="0.25">
      <c r="A6" s="60" t="s">
        <v>423</v>
      </c>
      <c r="B6" s="60">
        <v>14</v>
      </c>
      <c r="C6" s="60">
        <v>0</v>
      </c>
      <c r="D6" s="60">
        <v>0</v>
      </c>
      <c r="E6" s="60" t="s">
        <v>680</v>
      </c>
      <c r="F6" s="60" t="s">
        <v>681</v>
      </c>
      <c r="G6" s="60">
        <v>18</v>
      </c>
      <c r="H6" s="60">
        <v>0</v>
      </c>
      <c r="I6" s="60" t="s">
        <v>682</v>
      </c>
      <c r="J6" s="38"/>
    </row>
    <row r="7" spans="1:10" s="37" customFormat="1" ht="27" customHeight="1" x14ac:dyDescent="0.25">
      <c r="A7" s="60" t="s">
        <v>683</v>
      </c>
      <c r="B7" s="60">
        <v>0</v>
      </c>
      <c r="C7" s="60">
        <v>2</v>
      </c>
      <c r="D7" s="60">
        <v>0</v>
      </c>
      <c r="E7" s="60" t="s">
        <v>684</v>
      </c>
      <c r="F7" s="60" t="s">
        <v>685</v>
      </c>
      <c r="G7" s="60">
        <v>56</v>
      </c>
      <c r="H7" s="60">
        <v>0</v>
      </c>
      <c r="I7" s="2" t="s">
        <v>686</v>
      </c>
      <c r="J7" s="38"/>
    </row>
    <row r="8" spans="1:10" s="37" customFormat="1" ht="38.25" customHeight="1" x14ac:dyDescent="0.25">
      <c r="A8" s="60" t="s">
        <v>545</v>
      </c>
      <c r="B8" s="60">
        <v>2</v>
      </c>
      <c r="C8" s="60">
        <v>0</v>
      </c>
      <c r="D8" s="60">
        <v>0</v>
      </c>
      <c r="E8" s="60" t="s">
        <v>687</v>
      </c>
      <c r="F8" s="60" t="s">
        <v>688</v>
      </c>
      <c r="G8" s="60">
        <v>1</v>
      </c>
      <c r="H8" s="60">
        <v>0</v>
      </c>
      <c r="I8" s="60" t="s">
        <v>689</v>
      </c>
      <c r="J8" s="38"/>
    </row>
    <row r="9" spans="1:10" s="21" customFormat="1" ht="27" customHeight="1" x14ac:dyDescent="0.25">
      <c r="A9" s="60" t="s">
        <v>690</v>
      </c>
      <c r="B9" s="60">
        <v>0</v>
      </c>
      <c r="C9" s="60">
        <v>10</v>
      </c>
      <c r="D9" s="60">
        <v>0</v>
      </c>
      <c r="E9" s="60" t="s">
        <v>691</v>
      </c>
      <c r="F9" s="60" t="s">
        <v>692</v>
      </c>
      <c r="G9" s="60">
        <v>1</v>
      </c>
      <c r="H9" s="60">
        <v>0</v>
      </c>
      <c r="I9" s="2" t="s">
        <v>693</v>
      </c>
    </row>
    <row r="10" spans="1:10" s="21" customFormat="1" ht="27" customHeight="1" x14ac:dyDescent="0.25">
      <c r="A10" s="60" t="s">
        <v>617</v>
      </c>
      <c r="B10" s="60">
        <v>2</v>
      </c>
      <c r="C10" s="60">
        <v>0</v>
      </c>
      <c r="D10" s="60">
        <v>0</v>
      </c>
      <c r="E10" s="60" t="s">
        <v>694</v>
      </c>
      <c r="F10" s="60" t="s">
        <v>695</v>
      </c>
      <c r="G10" s="60">
        <v>1</v>
      </c>
      <c r="H10" s="60">
        <v>0</v>
      </c>
      <c r="I10" s="60" t="s">
        <v>696</v>
      </c>
    </row>
    <row r="11" spans="1:10" s="21" customFormat="1" ht="27" customHeight="1" x14ac:dyDescent="0.45">
      <c r="A11" s="60" t="s">
        <v>614</v>
      </c>
      <c r="B11" s="60">
        <v>1</v>
      </c>
      <c r="C11" s="60">
        <v>0</v>
      </c>
      <c r="D11" s="60">
        <v>0</v>
      </c>
      <c r="E11" s="60" t="s">
        <v>697</v>
      </c>
      <c r="F11" s="58"/>
      <c r="G11" s="7"/>
      <c r="H11" s="7"/>
      <c r="I11" s="7"/>
    </row>
    <row r="12" spans="1:10" s="21" customFormat="1" ht="27" customHeight="1" x14ac:dyDescent="0.45">
      <c r="A12" s="60" t="s">
        <v>610</v>
      </c>
      <c r="B12" s="60">
        <v>2</v>
      </c>
      <c r="C12" s="60">
        <v>0</v>
      </c>
      <c r="D12" s="60">
        <v>0</v>
      </c>
      <c r="E12" s="60" t="s">
        <v>698</v>
      </c>
      <c r="F12" s="58"/>
      <c r="G12" s="7"/>
      <c r="H12" s="7"/>
      <c r="I12" s="7"/>
    </row>
    <row r="13" spans="1:10" s="21" customFormat="1" ht="30" customHeight="1" x14ac:dyDescent="0.45">
      <c r="A13" s="60" t="s">
        <v>156</v>
      </c>
      <c r="B13" s="60">
        <v>1</v>
      </c>
      <c r="C13" s="60">
        <v>0</v>
      </c>
      <c r="D13" s="60">
        <v>0</v>
      </c>
      <c r="E13" s="60" t="s">
        <v>699</v>
      </c>
      <c r="F13" s="58"/>
      <c r="G13" s="7"/>
      <c r="H13" s="7"/>
      <c r="I13" s="7"/>
    </row>
    <row r="14" spans="1:10" s="21" customFormat="1" ht="30" customHeight="1" x14ac:dyDescent="0.45">
      <c r="A14" s="60" t="s">
        <v>695</v>
      </c>
      <c r="B14" s="60">
        <v>1</v>
      </c>
      <c r="C14" s="60">
        <v>0</v>
      </c>
      <c r="D14" s="60">
        <v>0</v>
      </c>
      <c r="E14" s="60" t="s">
        <v>696</v>
      </c>
      <c r="F14" s="58"/>
      <c r="G14" s="7"/>
      <c r="H14" s="7"/>
      <c r="I14" s="2"/>
    </row>
    <row r="15" spans="1:10" ht="30" customHeight="1" x14ac:dyDescent="0.45">
      <c r="A15" s="60" t="s">
        <v>695</v>
      </c>
      <c r="B15" s="60">
        <v>2</v>
      </c>
      <c r="C15" s="60">
        <v>0</v>
      </c>
      <c r="D15" s="60">
        <v>0</v>
      </c>
      <c r="E15" s="60" t="s">
        <v>700</v>
      </c>
      <c r="F15" s="58"/>
      <c r="G15" s="7"/>
      <c r="H15" s="7"/>
      <c r="I15" s="2"/>
    </row>
    <row r="16" spans="1:10" ht="30" customHeight="1" x14ac:dyDescent="0.45">
      <c r="A16" s="60" t="s">
        <v>701</v>
      </c>
      <c r="B16" s="60">
        <v>1</v>
      </c>
      <c r="C16" s="60">
        <v>0</v>
      </c>
      <c r="D16" s="60">
        <v>0</v>
      </c>
      <c r="E16" s="60" t="s">
        <v>700</v>
      </c>
      <c r="F16" s="58"/>
      <c r="G16" s="7"/>
      <c r="H16" s="7"/>
      <c r="I16" s="7"/>
    </row>
    <row r="17" spans="1:9" ht="30" customHeight="1" x14ac:dyDescent="0.45">
      <c r="A17" s="60" t="s">
        <v>533</v>
      </c>
      <c r="B17" s="60">
        <v>0</v>
      </c>
      <c r="C17" s="60">
        <v>1</v>
      </c>
      <c r="D17" s="60">
        <v>0</v>
      </c>
      <c r="E17" s="60" t="s">
        <v>702</v>
      </c>
      <c r="F17" s="9"/>
      <c r="G17" s="50"/>
      <c r="H17" s="50"/>
      <c r="I17" s="2"/>
    </row>
    <row r="18" spans="1:9" ht="30" customHeight="1" x14ac:dyDescent="0.25">
      <c r="A18" s="53"/>
      <c r="B18" s="53"/>
      <c r="C18" s="53"/>
      <c r="D18" s="53"/>
      <c r="E18" s="53"/>
      <c r="F18" s="52"/>
      <c r="G18" s="52"/>
      <c r="H18" s="52"/>
      <c r="I18" s="2"/>
    </row>
    <row r="19" spans="1:9" ht="30" customHeight="1" x14ac:dyDescent="0.45">
      <c r="A19" s="1"/>
      <c r="B19" s="1"/>
      <c r="C19" s="1"/>
      <c r="D19" s="1"/>
      <c r="E19" s="1"/>
      <c r="F19"/>
      <c r="G19" s="7"/>
      <c r="H19" s="7"/>
      <c r="I19" s="2"/>
    </row>
    <row r="20" spans="1:9" ht="24.75" customHeight="1" x14ac:dyDescent="0.45">
      <c r="A20" s="1"/>
      <c r="B20" s="1"/>
      <c r="C20" s="1"/>
      <c r="D20" s="1"/>
      <c r="E20" s="1"/>
      <c r="F20" s="3"/>
      <c r="G20" s="7"/>
      <c r="H20" s="7"/>
      <c r="I20" s="2"/>
    </row>
    <row r="21" spans="1:9" ht="24.75" customHeight="1" x14ac:dyDescent="0.25">
      <c r="A21" s="1"/>
      <c r="B21" s="1"/>
      <c r="C21" s="1"/>
      <c r="D21" s="1"/>
      <c r="E21" s="1"/>
      <c r="F21" s="2"/>
      <c r="G21" s="52"/>
      <c r="H21" s="52"/>
      <c r="I21" s="52"/>
    </row>
    <row r="22" spans="1:9" ht="24.75" customHeight="1" x14ac:dyDescent="0.25">
      <c r="A22" s="1"/>
      <c r="B22" s="1"/>
      <c r="C22" s="1"/>
      <c r="D22" s="1"/>
      <c r="E22" s="1"/>
      <c r="F22" s="52"/>
      <c r="G22" s="52"/>
      <c r="H22" s="52"/>
      <c r="I22" s="52"/>
    </row>
    <row r="23" spans="1:9" ht="24.75" customHeight="1" x14ac:dyDescent="0.45">
      <c r="A23" s="53"/>
      <c r="B23" s="53"/>
      <c r="C23" s="53"/>
      <c r="D23" s="53"/>
      <c r="E23" s="53"/>
      <c r="F23" s="7"/>
      <c r="G23" s="7"/>
      <c r="H23" s="7"/>
      <c r="I23" s="7"/>
    </row>
    <row r="24" spans="1:9" ht="24.75" customHeight="1" x14ac:dyDescent="0.45">
      <c r="A24" s="1"/>
      <c r="B24" s="1"/>
      <c r="C24" s="1"/>
      <c r="D24" s="1"/>
      <c r="E24" s="1"/>
      <c r="F24" s="50"/>
      <c r="G24" s="50"/>
      <c r="H24" s="50"/>
      <c r="I24" s="50"/>
    </row>
    <row r="25" spans="1:9" ht="24.75" customHeight="1" x14ac:dyDescent="0.25">
      <c r="A25" s="1"/>
      <c r="B25" s="1"/>
      <c r="C25" s="1"/>
      <c r="D25" s="1"/>
      <c r="E25" s="1"/>
      <c r="G25" s="32"/>
      <c r="H25" s="32"/>
      <c r="I25" s="32"/>
    </row>
    <row r="26" spans="1:9" ht="24.75" customHeight="1" x14ac:dyDescent="0.25">
      <c r="A26" s="1"/>
      <c r="B26" s="1"/>
      <c r="C26" s="1"/>
      <c r="D26" s="1"/>
      <c r="E26" s="1"/>
      <c r="F26" s="32"/>
      <c r="G26" s="32"/>
      <c r="H26" s="32"/>
      <c r="I26" s="32"/>
    </row>
    <row r="27" spans="1:9" ht="24.75" customHeight="1" x14ac:dyDescent="0.25">
      <c r="A27" s="1"/>
      <c r="B27" s="1"/>
      <c r="C27" s="1"/>
      <c r="D27" s="1"/>
      <c r="E27" s="1"/>
      <c r="F27" s="32"/>
      <c r="G27" s="32"/>
      <c r="H27" s="32"/>
      <c r="I27" s="32"/>
    </row>
    <row r="28" spans="1:9" ht="24.75" customHeight="1" x14ac:dyDescent="0.25">
      <c r="A28" s="41"/>
      <c r="B28" s="48"/>
      <c r="C28" s="48"/>
      <c r="D28" s="48"/>
      <c r="E28" s="36"/>
      <c r="F28" s="32"/>
      <c r="G28" s="32"/>
      <c r="H28" s="32"/>
      <c r="I28" s="32"/>
    </row>
    <row r="29" spans="1:9" ht="24.75" customHeight="1" x14ac:dyDescent="0.25">
      <c r="A29" s="41"/>
      <c r="B29" s="48"/>
      <c r="C29" s="48"/>
      <c r="D29" s="48"/>
      <c r="E29" s="36"/>
      <c r="F29" s="32"/>
      <c r="G29" s="32"/>
      <c r="H29" s="32"/>
      <c r="I29" s="32"/>
    </row>
    <row r="30" spans="1:9" ht="24.75" customHeight="1" x14ac:dyDescent="0.25">
      <c r="A30" s="41"/>
      <c r="B30" s="48"/>
      <c r="C30" s="48"/>
      <c r="D30" s="48"/>
      <c r="E30" s="36"/>
      <c r="F30" s="12"/>
      <c r="G30" s="29"/>
      <c r="H30" s="29"/>
      <c r="I30" s="31"/>
    </row>
    <row r="31" spans="1:9" ht="24.75" customHeight="1" x14ac:dyDescent="0.25">
      <c r="A31" s="41"/>
      <c r="B31" s="48"/>
      <c r="C31" s="48"/>
      <c r="D31" s="48"/>
      <c r="E31" s="36"/>
      <c r="F31" s="12"/>
      <c r="G31" s="30"/>
      <c r="H31" s="33"/>
      <c r="I31" s="31"/>
    </row>
    <row r="32" spans="1:9" ht="24.75" customHeight="1" x14ac:dyDescent="0.25">
      <c r="A32" s="40"/>
      <c r="B32" s="30"/>
      <c r="C32" s="30"/>
      <c r="D32" s="30"/>
      <c r="E32" s="29"/>
      <c r="F32" s="29"/>
      <c r="G32" s="30"/>
      <c r="H32" s="33"/>
      <c r="I32" s="31"/>
    </row>
    <row r="33" spans="1:9" s="11" customFormat="1" ht="30" customHeight="1" x14ac:dyDescent="0.25">
      <c r="A33" s="28">
        <f>COUNTA(A6:A32)</f>
        <v>12</v>
      </c>
      <c r="B33" s="28">
        <f>SUM(B6:B32)</f>
        <v>26</v>
      </c>
      <c r="C33" s="28">
        <f>SUM(C6:C32)</f>
        <v>13</v>
      </c>
      <c r="D33" s="28">
        <f>SUM(D6:D32)</f>
        <v>0</v>
      </c>
      <c r="E33" s="28"/>
      <c r="F33" s="28">
        <f>COUNTA(F6:F32)</f>
        <v>5</v>
      </c>
      <c r="G33" s="28">
        <f>SUM(G6:G16)</f>
        <v>77</v>
      </c>
      <c r="H33" s="28">
        <f>SUM(H6:H32)</f>
        <v>0</v>
      </c>
      <c r="I33" s="28"/>
    </row>
    <row r="34" spans="1:9" ht="13.5" customHeight="1" x14ac:dyDescent="0.25"/>
    <row r="36" spans="1:9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9" ht="38.25" customHeight="1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9" s="21" customFormat="1" ht="24.75" customHeight="1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</row>
    <row r="39" spans="1:9" s="21" customFormat="1" ht="24.75" customHeight="1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</row>
    <row r="40" spans="1:9" s="21" customFormat="1" ht="24.75" customHeight="1" x14ac:dyDescent="0.25">
      <c r="A40" s="10"/>
      <c r="B40" s="20"/>
      <c r="C40" s="22"/>
      <c r="D40" s="22"/>
      <c r="E40" s="182"/>
      <c r="F40" s="183"/>
    </row>
    <row r="41" spans="1:9" s="21" customFormat="1" ht="24.75" customHeight="1" x14ac:dyDescent="0.25">
      <c r="A41" s="10"/>
      <c r="B41" s="20"/>
      <c r="C41" s="22"/>
      <c r="D41" s="22">
        <f>SUM(D38:D40)</f>
        <v>3</v>
      </c>
      <c r="E41" s="182"/>
      <c r="F41" s="183"/>
    </row>
    <row r="42" spans="1:9" s="21" customFormat="1" ht="24.75" customHeight="1" x14ac:dyDescent="0.25">
      <c r="A42"/>
      <c r="B42"/>
      <c r="C42"/>
      <c r="D42"/>
      <c r="E42"/>
      <c r="F42"/>
      <c r="G42"/>
    </row>
    <row r="43" spans="1:9" ht="21" customHeight="1" x14ac:dyDescent="0.25">
      <c r="F43"/>
    </row>
    <row r="44" spans="1:9" x14ac:dyDescent="0.25">
      <c r="F44"/>
    </row>
    <row r="45" spans="1:9" x14ac:dyDescent="0.25">
      <c r="F45"/>
    </row>
    <row r="46" spans="1:9" x14ac:dyDescent="0.25">
      <c r="F46"/>
    </row>
    <row r="58" spans="1:5" x14ac:dyDescent="0.25">
      <c r="A58" s="39" t="s">
        <v>60</v>
      </c>
      <c r="B58" s="35">
        <v>1</v>
      </c>
      <c r="C58" s="34">
        <v>0</v>
      </c>
      <c r="D58" s="34" t="s">
        <v>61</v>
      </c>
    </row>
    <row r="59" spans="1:5" ht="17.399999999999999" x14ac:dyDescent="0.3">
      <c r="A59" s="2" t="s">
        <v>62</v>
      </c>
      <c r="B59" s="35">
        <v>1</v>
      </c>
      <c r="C59" s="34">
        <v>0</v>
      </c>
      <c r="D59" s="2" t="s">
        <v>63</v>
      </c>
      <c r="E59" s="4"/>
    </row>
    <row r="60" spans="1:5" ht="17.399999999999999" x14ac:dyDescent="0.3">
      <c r="E60" s="4"/>
    </row>
    <row r="61" spans="1:5" ht="19.2" x14ac:dyDescent="0.45">
      <c r="A61" s="7" t="s">
        <v>64</v>
      </c>
      <c r="B61" s="7">
        <v>1</v>
      </c>
      <c r="C61" s="7">
        <v>0</v>
      </c>
      <c r="D61" s="7" t="s">
        <v>65</v>
      </c>
      <c r="E61" s="4"/>
    </row>
    <row r="62" spans="1:5" ht="17.399999999999999" x14ac:dyDescent="0.3">
      <c r="A62" s="3"/>
      <c r="E62" s="4"/>
    </row>
    <row r="63" spans="1:5" ht="19.2" x14ac:dyDescent="0.45">
      <c r="A63" s="9"/>
    </row>
    <row r="65" spans="5:5" ht="17.399999999999999" x14ac:dyDescent="0.3">
      <c r="E65" s="4"/>
    </row>
    <row r="66" spans="5:5" ht="17.399999999999999" x14ac:dyDescent="0.3">
      <c r="E66" s="4"/>
    </row>
    <row r="69" spans="5:5" ht="17.399999999999999" x14ac:dyDescent="0.3">
      <c r="E69" s="4"/>
    </row>
    <row r="70" spans="5:5" ht="17.399999999999999" x14ac:dyDescent="0.3">
      <c r="E70" s="4"/>
    </row>
  </sheetData>
  <mergeCells count="9">
    <mergeCell ref="E39:F39"/>
    <mergeCell ref="E40:F40"/>
    <mergeCell ref="E41:F41"/>
    <mergeCell ref="A1:I1"/>
    <mergeCell ref="A4:E4"/>
    <mergeCell ref="F4:I4"/>
    <mergeCell ref="A36:F36"/>
    <mergeCell ref="E37:F37"/>
    <mergeCell ref="E38:F3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4D4E-DAF9-414F-9931-9A9E1DE4BDDF}">
  <dimension ref="A1:J70"/>
  <sheetViews>
    <sheetView topLeftCell="A5" workbookViewId="0">
      <selection activeCell="A12" sqref="A12"/>
    </sheetView>
  </sheetViews>
  <sheetFormatPr defaultRowHeight="14.4" x14ac:dyDescent="0.25"/>
  <cols>
    <col min="1" max="1" width="32.33203125" customWidth="1"/>
    <col min="2" max="2" width="12.6640625" customWidth="1"/>
    <col min="3" max="3" width="10.6640625" customWidth="1"/>
    <col min="4" max="4" width="12.77734375" customWidth="1"/>
    <col min="5" max="5" width="35.6640625" customWidth="1"/>
    <col min="6" max="6" width="26.33203125" style="8" customWidth="1"/>
    <col min="7" max="7" width="12.6640625" customWidth="1"/>
    <col min="8" max="8" width="12.44140625" customWidth="1"/>
    <col min="9" max="9" width="35.6640625" customWidth="1"/>
  </cols>
  <sheetData>
    <row r="1" spans="1:10" ht="25.5" customHeight="1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21.75" customHeight="1" x14ac:dyDescent="0.25">
      <c r="A2" s="13" t="s">
        <v>1</v>
      </c>
      <c r="B2" s="14">
        <v>46274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0.5" customHeight="1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ht="21.75" customHeight="1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33" customHeight="1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s="37" customFormat="1" ht="37.5" customHeight="1" x14ac:dyDescent="0.45">
      <c r="A6" s="7" t="s">
        <v>471</v>
      </c>
      <c r="B6" s="7">
        <v>36</v>
      </c>
      <c r="C6" s="7">
        <v>0</v>
      </c>
      <c r="D6" s="7">
        <v>0</v>
      </c>
      <c r="E6" s="7" t="s">
        <v>703</v>
      </c>
      <c r="F6" s="7" t="s">
        <v>704</v>
      </c>
      <c r="G6" s="7">
        <v>4</v>
      </c>
      <c r="H6" s="7">
        <v>0</v>
      </c>
      <c r="I6" s="7" t="s">
        <v>705</v>
      </c>
      <c r="J6" s="38"/>
    </row>
    <row r="7" spans="1:10" s="37" customFormat="1" ht="27" customHeight="1" x14ac:dyDescent="0.45">
      <c r="A7" s="7" t="s">
        <v>471</v>
      </c>
      <c r="B7" s="7">
        <v>0</v>
      </c>
      <c r="C7" s="7">
        <v>1</v>
      </c>
      <c r="D7" s="7">
        <v>0</v>
      </c>
      <c r="E7" s="7" t="s">
        <v>706</v>
      </c>
      <c r="F7" s="7" t="s">
        <v>707</v>
      </c>
      <c r="G7" s="7">
        <v>81</v>
      </c>
      <c r="H7" s="7">
        <v>0</v>
      </c>
      <c r="I7" s="7" t="s">
        <v>708</v>
      </c>
      <c r="J7" s="38"/>
    </row>
    <row r="8" spans="1:10" s="37" customFormat="1" ht="38.25" customHeight="1" x14ac:dyDescent="0.45">
      <c r="A8" s="7" t="s">
        <v>709</v>
      </c>
      <c r="B8" s="7">
        <v>0</v>
      </c>
      <c r="C8" s="7">
        <v>1</v>
      </c>
      <c r="D8" s="7">
        <v>0</v>
      </c>
      <c r="E8" s="7" t="s">
        <v>710</v>
      </c>
      <c r="F8" s="7" t="s">
        <v>711</v>
      </c>
      <c r="G8" s="7">
        <v>36</v>
      </c>
      <c r="H8" s="7">
        <v>0</v>
      </c>
      <c r="I8" s="7" t="s">
        <v>712</v>
      </c>
      <c r="J8" s="38"/>
    </row>
    <row r="9" spans="1:10" s="21" customFormat="1" ht="27" customHeight="1" x14ac:dyDescent="0.45">
      <c r="A9" s="7" t="s">
        <v>438</v>
      </c>
      <c r="B9" s="7">
        <v>0</v>
      </c>
      <c r="C9" s="7">
        <v>8</v>
      </c>
      <c r="D9" s="7">
        <v>0</v>
      </c>
      <c r="E9" s="7" t="s">
        <v>713</v>
      </c>
      <c r="F9" s="7" t="s">
        <v>714</v>
      </c>
      <c r="G9" s="7">
        <v>5</v>
      </c>
      <c r="H9" s="7">
        <v>0</v>
      </c>
      <c r="I9" s="7" t="s">
        <v>715</v>
      </c>
    </row>
    <row r="10" spans="1:10" s="21" customFormat="1" ht="27" customHeight="1" x14ac:dyDescent="0.45">
      <c r="A10" s="7" t="s">
        <v>434</v>
      </c>
      <c r="B10" s="7">
        <v>0</v>
      </c>
      <c r="C10" s="7">
        <v>4</v>
      </c>
      <c r="D10" s="7">
        <v>0</v>
      </c>
      <c r="E10" s="7" t="s">
        <v>716</v>
      </c>
      <c r="F10" s="7" t="s">
        <v>717</v>
      </c>
      <c r="G10" s="7">
        <v>2</v>
      </c>
      <c r="H10" s="7">
        <v>0</v>
      </c>
      <c r="I10" s="7" t="s">
        <v>718</v>
      </c>
    </row>
    <row r="11" spans="1:10" s="21" customFormat="1" ht="27" customHeight="1" x14ac:dyDescent="0.45">
      <c r="A11" s="7" t="s">
        <v>719</v>
      </c>
      <c r="B11" s="7">
        <v>0</v>
      </c>
      <c r="C11" s="7">
        <v>1</v>
      </c>
      <c r="D11" s="7">
        <v>0</v>
      </c>
      <c r="E11" s="7" t="s">
        <v>720</v>
      </c>
      <c r="F11" s="7" t="s">
        <v>721</v>
      </c>
      <c r="G11" s="7">
        <v>1</v>
      </c>
      <c r="H11" s="7">
        <v>0</v>
      </c>
      <c r="I11" s="7" t="s">
        <v>722</v>
      </c>
    </row>
    <row r="12" spans="1:10" s="21" customFormat="1" ht="27" customHeight="1" x14ac:dyDescent="0.45">
      <c r="A12" s="7" t="s">
        <v>723</v>
      </c>
      <c r="B12" s="7">
        <v>0</v>
      </c>
      <c r="C12" s="7">
        <v>9</v>
      </c>
      <c r="D12" s="7">
        <v>0</v>
      </c>
      <c r="E12" s="7" t="s">
        <v>724</v>
      </c>
      <c r="F12" s="7" t="s">
        <v>725</v>
      </c>
      <c r="G12" s="7">
        <v>2</v>
      </c>
      <c r="H12" s="7">
        <v>0</v>
      </c>
      <c r="I12" s="7" t="s">
        <v>726</v>
      </c>
    </row>
    <row r="13" spans="1:10" s="21" customFormat="1" ht="30" customHeight="1" x14ac:dyDescent="0.45">
      <c r="A13" s="7" t="s">
        <v>727</v>
      </c>
      <c r="B13" s="7">
        <v>16</v>
      </c>
      <c r="C13" s="7">
        <v>0</v>
      </c>
      <c r="D13" s="7">
        <v>0</v>
      </c>
      <c r="E13" s="7" t="s">
        <v>728</v>
      </c>
      <c r="F13" s="7" t="s">
        <v>729</v>
      </c>
      <c r="G13" s="7">
        <v>44</v>
      </c>
      <c r="H13" s="7">
        <v>0</v>
      </c>
      <c r="I13" s="7" t="s">
        <v>708</v>
      </c>
    </row>
    <row r="14" spans="1:10" s="21" customFormat="1" ht="30" customHeight="1" x14ac:dyDescent="0.45">
      <c r="A14" s="7" t="s">
        <v>730</v>
      </c>
      <c r="B14" s="7">
        <v>4</v>
      </c>
      <c r="C14" s="7">
        <v>0</v>
      </c>
      <c r="D14" s="7">
        <v>0</v>
      </c>
      <c r="E14" s="7" t="s">
        <v>731</v>
      </c>
      <c r="F14" s="7" t="s">
        <v>732</v>
      </c>
      <c r="G14" s="7">
        <v>4</v>
      </c>
      <c r="H14" s="7">
        <v>0</v>
      </c>
      <c r="I14" s="2" t="s">
        <v>733</v>
      </c>
    </row>
    <row r="15" spans="1:10" ht="30" customHeight="1" x14ac:dyDescent="0.45">
      <c r="A15" s="7"/>
      <c r="B15" s="7"/>
      <c r="C15" s="7"/>
      <c r="D15" s="7"/>
      <c r="E15" s="7"/>
      <c r="F15" s="7" t="s">
        <v>734</v>
      </c>
      <c r="G15" s="7">
        <v>1</v>
      </c>
      <c r="H15" s="7">
        <v>0</v>
      </c>
      <c r="I15" s="2" t="s">
        <v>733</v>
      </c>
    </row>
    <row r="16" spans="1:10" ht="30" customHeight="1" x14ac:dyDescent="0.45">
      <c r="A16" s="7"/>
      <c r="B16" s="7"/>
      <c r="C16" s="7"/>
      <c r="D16" s="7"/>
      <c r="E16" s="7"/>
      <c r="F16" s="7" t="s">
        <v>735</v>
      </c>
      <c r="G16" s="7">
        <v>2</v>
      </c>
      <c r="H16" s="7">
        <v>0</v>
      </c>
      <c r="I16" s="7" t="s">
        <v>736</v>
      </c>
    </row>
    <row r="17" spans="1:9" ht="30" customHeight="1" x14ac:dyDescent="0.45">
      <c r="A17" s="50"/>
      <c r="B17" s="50"/>
      <c r="C17" s="50"/>
      <c r="D17" s="50"/>
      <c r="E17" s="50"/>
      <c r="F17" s="9" t="s">
        <v>737</v>
      </c>
      <c r="G17" s="50">
        <v>2</v>
      </c>
      <c r="H17" s="50">
        <v>0</v>
      </c>
      <c r="I17" s="2" t="s">
        <v>738</v>
      </c>
    </row>
    <row r="18" spans="1:9" ht="30" customHeight="1" x14ac:dyDescent="0.25">
      <c r="A18" s="1"/>
      <c r="B18" s="1"/>
      <c r="C18" s="1"/>
      <c r="D18" s="1"/>
      <c r="E18" s="1"/>
      <c r="F18" s="52" t="s">
        <v>739</v>
      </c>
      <c r="G18" s="52">
        <v>2</v>
      </c>
      <c r="H18" s="52">
        <v>0</v>
      </c>
      <c r="I18" s="2" t="s">
        <v>740</v>
      </c>
    </row>
    <row r="19" spans="1:9" ht="30" customHeight="1" x14ac:dyDescent="0.45">
      <c r="A19" s="1"/>
      <c r="B19" s="1"/>
      <c r="C19" s="1"/>
      <c r="D19" s="1"/>
      <c r="E19" s="1"/>
      <c r="F19" t="s">
        <v>741</v>
      </c>
      <c r="G19" s="7">
        <v>1</v>
      </c>
      <c r="H19" s="7">
        <v>0</v>
      </c>
      <c r="I19" s="2" t="s">
        <v>742</v>
      </c>
    </row>
    <row r="20" spans="1:9" ht="24.75" customHeight="1" x14ac:dyDescent="0.45">
      <c r="A20" s="1"/>
      <c r="B20" s="1"/>
      <c r="C20" s="1"/>
      <c r="D20" s="1"/>
      <c r="E20" s="1"/>
      <c r="F20" s="3" t="s">
        <v>743</v>
      </c>
      <c r="G20" s="7">
        <v>5</v>
      </c>
      <c r="H20" s="7">
        <v>0</v>
      </c>
      <c r="I20" s="2" t="s">
        <v>744</v>
      </c>
    </row>
    <row r="21" spans="1:9" ht="24.75" customHeight="1" x14ac:dyDescent="0.25">
      <c r="A21" s="1"/>
      <c r="B21" s="1"/>
      <c r="C21" s="1"/>
      <c r="D21" s="1"/>
      <c r="E21" s="1"/>
      <c r="F21" s="2" t="s">
        <v>727</v>
      </c>
      <c r="G21" s="52">
        <v>16</v>
      </c>
      <c r="H21" s="52">
        <v>0</v>
      </c>
      <c r="I21" s="52" t="s">
        <v>728</v>
      </c>
    </row>
    <row r="22" spans="1:9" ht="24.75" customHeight="1" x14ac:dyDescent="0.25">
      <c r="A22" s="1"/>
      <c r="B22" s="1"/>
      <c r="C22" s="1"/>
      <c r="D22" s="1"/>
      <c r="E22" s="1"/>
      <c r="F22" s="52" t="s">
        <v>730</v>
      </c>
      <c r="G22" s="52">
        <v>4</v>
      </c>
      <c r="H22" s="52">
        <v>0</v>
      </c>
      <c r="I22" s="52" t="s">
        <v>731</v>
      </c>
    </row>
    <row r="23" spans="1:9" ht="24.75" customHeight="1" x14ac:dyDescent="0.45">
      <c r="A23" s="53"/>
      <c r="B23" s="53"/>
      <c r="C23" s="53"/>
      <c r="D23" s="53"/>
      <c r="E23" s="53"/>
      <c r="F23" s="7" t="s">
        <v>709</v>
      </c>
      <c r="G23" s="7">
        <v>1</v>
      </c>
      <c r="H23" s="7">
        <v>0</v>
      </c>
      <c r="I23" s="7" t="s">
        <v>710</v>
      </c>
    </row>
    <row r="24" spans="1:9" ht="24.75" customHeight="1" x14ac:dyDescent="0.45">
      <c r="A24" s="1"/>
      <c r="B24" s="1"/>
      <c r="C24" s="1"/>
      <c r="D24" s="1"/>
      <c r="E24" s="1"/>
      <c r="F24" s="50"/>
      <c r="G24" s="50"/>
      <c r="H24" s="50"/>
      <c r="I24" s="50"/>
    </row>
    <row r="25" spans="1:9" ht="24.75" customHeight="1" x14ac:dyDescent="0.25">
      <c r="A25" s="1"/>
      <c r="B25" s="1"/>
      <c r="C25" s="1"/>
      <c r="D25" s="1"/>
      <c r="E25" s="1"/>
      <c r="G25" s="32"/>
      <c r="H25" s="32"/>
      <c r="I25" s="32"/>
    </row>
    <row r="26" spans="1:9" ht="24.75" customHeight="1" x14ac:dyDescent="0.25">
      <c r="A26" s="1"/>
      <c r="B26" s="1"/>
      <c r="C26" s="1"/>
      <c r="D26" s="1"/>
      <c r="E26" s="1"/>
      <c r="F26" s="32"/>
      <c r="G26" s="32"/>
      <c r="H26" s="32"/>
      <c r="I26" s="32"/>
    </row>
    <row r="27" spans="1:9" ht="24.75" customHeight="1" x14ac:dyDescent="0.25">
      <c r="A27" s="1"/>
      <c r="B27" s="1"/>
      <c r="C27" s="1"/>
      <c r="D27" s="1"/>
      <c r="E27" s="1"/>
      <c r="F27" s="32"/>
      <c r="G27" s="32"/>
      <c r="H27" s="32"/>
      <c r="I27" s="32"/>
    </row>
    <row r="28" spans="1:9" ht="24.75" customHeight="1" x14ac:dyDescent="0.25">
      <c r="A28" s="41"/>
      <c r="B28" s="48"/>
      <c r="C28" s="48"/>
      <c r="D28" s="48"/>
      <c r="E28" s="36"/>
      <c r="F28" s="32"/>
      <c r="G28" s="32"/>
      <c r="H28" s="32"/>
      <c r="I28" s="32"/>
    </row>
    <row r="29" spans="1:9" ht="24.75" customHeight="1" x14ac:dyDescent="0.25">
      <c r="A29" s="41"/>
      <c r="B29" s="48"/>
      <c r="C29" s="48"/>
      <c r="D29" s="48"/>
      <c r="E29" s="36"/>
      <c r="F29" s="32"/>
      <c r="G29" s="32"/>
      <c r="H29" s="32"/>
      <c r="I29" s="32"/>
    </row>
    <row r="30" spans="1:9" ht="24.75" customHeight="1" x14ac:dyDescent="0.25">
      <c r="A30" s="41"/>
      <c r="B30" s="48"/>
      <c r="C30" s="48"/>
      <c r="D30" s="48"/>
      <c r="E30" s="36"/>
      <c r="F30" s="12"/>
      <c r="G30" s="29"/>
      <c r="H30" s="29"/>
      <c r="I30" s="31"/>
    </row>
    <row r="31" spans="1:9" ht="24.75" customHeight="1" x14ac:dyDescent="0.25">
      <c r="A31" s="41"/>
      <c r="B31" s="48"/>
      <c r="C31" s="48"/>
      <c r="D31" s="48"/>
      <c r="E31" s="36"/>
      <c r="F31" s="12"/>
      <c r="G31" s="30"/>
      <c r="H31" s="33"/>
      <c r="I31" s="31"/>
    </row>
    <row r="32" spans="1:9" ht="24.75" customHeight="1" x14ac:dyDescent="0.25">
      <c r="A32" s="40"/>
      <c r="B32" s="30"/>
      <c r="C32" s="30"/>
      <c r="D32" s="30"/>
      <c r="E32" s="29"/>
      <c r="F32" s="29"/>
      <c r="G32" s="30"/>
      <c r="H32" s="33"/>
      <c r="I32" s="31"/>
    </row>
    <row r="33" spans="1:9" s="11" customFormat="1" ht="30" customHeight="1" x14ac:dyDescent="0.25">
      <c r="A33" s="28">
        <f>COUNTA(A6:A32)</f>
        <v>9</v>
      </c>
      <c r="B33" s="28">
        <f>SUM(B6:B32)</f>
        <v>56</v>
      </c>
      <c r="C33" s="28">
        <f>SUM(C6:C32)</f>
        <v>24</v>
      </c>
      <c r="D33" s="28">
        <f>SUM(D6:D32)</f>
        <v>0</v>
      </c>
      <c r="E33" s="28"/>
      <c r="F33" s="28">
        <f>COUNTA(F6:F32)</f>
        <v>18</v>
      </c>
      <c r="G33" s="28">
        <f>SUM(G6:G26)</f>
        <v>213</v>
      </c>
      <c r="H33" s="28">
        <f>SUM(H6:H32)</f>
        <v>0</v>
      </c>
      <c r="I33" s="28"/>
    </row>
    <row r="34" spans="1:9" ht="13.5" customHeight="1" x14ac:dyDescent="0.25"/>
    <row r="36" spans="1:9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9" ht="38.25" customHeight="1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9" s="21" customFormat="1" ht="24.75" customHeight="1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</row>
    <row r="39" spans="1:9" s="21" customFormat="1" ht="24.75" customHeight="1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</row>
    <row r="40" spans="1:9" s="21" customFormat="1" ht="24.75" customHeight="1" x14ac:dyDescent="0.25">
      <c r="A40" s="10"/>
      <c r="B40" s="20"/>
      <c r="C40" s="22"/>
      <c r="D40" s="22"/>
      <c r="E40" s="182"/>
      <c r="F40" s="183"/>
    </row>
    <row r="41" spans="1:9" s="21" customFormat="1" ht="24.75" customHeight="1" x14ac:dyDescent="0.25">
      <c r="A41" s="10"/>
      <c r="B41" s="20"/>
      <c r="C41" s="22"/>
      <c r="D41" s="22">
        <f>SUM(D38:D40)</f>
        <v>3</v>
      </c>
      <c r="E41" s="182"/>
      <c r="F41" s="183"/>
    </row>
    <row r="42" spans="1:9" s="21" customFormat="1" ht="24.75" customHeight="1" x14ac:dyDescent="0.25">
      <c r="A42"/>
      <c r="B42"/>
      <c r="C42"/>
      <c r="D42"/>
      <c r="E42"/>
      <c r="F42"/>
      <c r="G42"/>
    </row>
    <row r="43" spans="1:9" ht="21" customHeight="1" x14ac:dyDescent="0.25">
      <c r="F43"/>
    </row>
    <row r="44" spans="1:9" x14ac:dyDescent="0.25">
      <c r="F44"/>
    </row>
    <row r="45" spans="1:9" x14ac:dyDescent="0.25">
      <c r="F45"/>
    </row>
    <row r="46" spans="1:9" x14ac:dyDescent="0.25">
      <c r="F46"/>
    </row>
    <row r="58" spans="1:5" x14ac:dyDescent="0.25">
      <c r="A58" s="39" t="s">
        <v>60</v>
      </c>
      <c r="B58" s="35">
        <v>1</v>
      </c>
      <c r="C58" s="34">
        <v>0</v>
      </c>
      <c r="D58" s="34" t="s">
        <v>61</v>
      </c>
    </row>
    <row r="59" spans="1:5" ht="17.399999999999999" x14ac:dyDescent="0.3">
      <c r="A59" s="2" t="s">
        <v>62</v>
      </c>
      <c r="B59" s="35">
        <v>1</v>
      </c>
      <c r="C59" s="34">
        <v>0</v>
      </c>
      <c r="D59" s="2" t="s">
        <v>63</v>
      </c>
      <c r="E59" s="4"/>
    </row>
    <row r="60" spans="1:5" ht="17.399999999999999" x14ac:dyDescent="0.3">
      <c r="E60" s="4"/>
    </row>
    <row r="61" spans="1:5" ht="19.2" x14ac:dyDescent="0.45">
      <c r="A61" s="7" t="s">
        <v>64</v>
      </c>
      <c r="B61" s="7">
        <v>1</v>
      </c>
      <c r="C61" s="7">
        <v>0</v>
      </c>
      <c r="D61" s="7" t="s">
        <v>65</v>
      </c>
      <c r="E61" s="4"/>
    </row>
    <row r="62" spans="1:5" ht="17.399999999999999" x14ac:dyDescent="0.3">
      <c r="A62" s="3"/>
      <c r="E62" s="4"/>
    </row>
    <row r="63" spans="1:5" ht="19.2" x14ac:dyDescent="0.45">
      <c r="A63" s="9"/>
    </row>
    <row r="65" spans="5:5" ht="17.399999999999999" x14ac:dyDescent="0.3">
      <c r="E65" s="4"/>
    </row>
    <row r="66" spans="5:5" ht="17.399999999999999" x14ac:dyDescent="0.3">
      <c r="E66" s="4"/>
    </row>
    <row r="69" spans="5:5" ht="17.399999999999999" x14ac:dyDescent="0.3">
      <c r="E69" s="4"/>
    </row>
    <row r="70" spans="5:5" ht="17.399999999999999" x14ac:dyDescent="0.3">
      <c r="E70" s="4"/>
    </row>
  </sheetData>
  <mergeCells count="9">
    <mergeCell ref="E39:F39"/>
    <mergeCell ref="E40:F40"/>
    <mergeCell ref="E41:F41"/>
    <mergeCell ref="A1:I1"/>
    <mergeCell ref="A4:E4"/>
    <mergeCell ref="F4:I4"/>
    <mergeCell ref="A36:F36"/>
    <mergeCell ref="E37:F37"/>
    <mergeCell ref="E38:F3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ADBD-F769-46AC-9579-DCD84A86E25E}">
  <dimension ref="A1:J70"/>
  <sheetViews>
    <sheetView topLeftCell="A18" workbookViewId="0">
      <selection activeCell="C17" sqref="C17"/>
    </sheetView>
  </sheetViews>
  <sheetFormatPr defaultRowHeight="14.4" x14ac:dyDescent="0.25"/>
  <cols>
    <col min="1" max="1" width="32.33203125" customWidth="1"/>
    <col min="2" max="2" width="12.6640625" customWidth="1"/>
    <col min="3" max="3" width="10.6640625" customWidth="1"/>
    <col min="4" max="4" width="12.77734375" customWidth="1"/>
    <col min="5" max="5" width="35.6640625" customWidth="1"/>
    <col min="6" max="6" width="26.33203125" style="8" customWidth="1"/>
    <col min="7" max="7" width="12.6640625" customWidth="1"/>
    <col min="8" max="8" width="12.44140625" customWidth="1"/>
    <col min="9" max="9" width="35.6640625" customWidth="1"/>
  </cols>
  <sheetData>
    <row r="1" spans="1:10" ht="25.5" customHeight="1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21.75" customHeight="1" x14ac:dyDescent="0.25">
      <c r="A2" s="13" t="s">
        <v>1</v>
      </c>
      <c r="B2" s="14">
        <v>46273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0.5" customHeight="1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ht="21.75" customHeight="1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33" customHeight="1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s="37" customFormat="1" ht="37.5" customHeight="1" x14ac:dyDescent="0.25">
      <c r="A6" s="52" t="s">
        <v>491</v>
      </c>
      <c r="B6" s="52">
        <v>0</v>
      </c>
      <c r="C6" s="52">
        <v>1</v>
      </c>
      <c r="D6" s="52">
        <v>0</v>
      </c>
      <c r="E6" s="52" t="s">
        <v>745</v>
      </c>
      <c r="F6" s="52" t="s">
        <v>394</v>
      </c>
      <c r="G6" s="52">
        <v>15</v>
      </c>
      <c r="H6" s="52">
        <v>0</v>
      </c>
      <c r="I6" s="52" t="s">
        <v>746</v>
      </c>
      <c r="J6" s="38"/>
    </row>
    <row r="7" spans="1:10" s="37" customFormat="1" ht="27" customHeight="1" x14ac:dyDescent="0.25">
      <c r="A7" s="52" t="s">
        <v>747</v>
      </c>
      <c r="B7" s="52">
        <v>4</v>
      </c>
      <c r="C7" s="52">
        <v>0</v>
      </c>
      <c r="D7" s="52">
        <v>0</v>
      </c>
      <c r="E7" s="52" t="s">
        <v>748</v>
      </c>
      <c r="F7" s="52" t="s">
        <v>749</v>
      </c>
      <c r="G7" s="52">
        <v>1</v>
      </c>
      <c r="H7" s="52">
        <v>0</v>
      </c>
      <c r="I7" s="52" t="s">
        <v>750</v>
      </c>
      <c r="J7" s="38"/>
    </row>
    <row r="8" spans="1:10" s="37" customFormat="1" ht="38.25" customHeight="1" x14ac:dyDescent="0.25">
      <c r="A8" s="52" t="s">
        <v>734</v>
      </c>
      <c r="B8" s="52">
        <v>1</v>
      </c>
      <c r="C8" s="52">
        <v>0</v>
      </c>
      <c r="D8" s="52">
        <v>0</v>
      </c>
      <c r="E8" s="52" t="s">
        <v>751</v>
      </c>
      <c r="F8" s="52" t="s">
        <v>752</v>
      </c>
      <c r="G8" s="52">
        <v>1</v>
      </c>
      <c r="H8" s="52">
        <v>0</v>
      </c>
      <c r="I8" s="52" t="s">
        <v>753</v>
      </c>
      <c r="J8" s="38"/>
    </row>
    <row r="9" spans="1:10" s="21" customFormat="1" ht="27" customHeight="1" x14ac:dyDescent="0.25">
      <c r="A9" s="52" t="s">
        <v>213</v>
      </c>
      <c r="B9" s="52">
        <v>3</v>
      </c>
      <c r="C9" s="52">
        <v>0</v>
      </c>
      <c r="D9" s="52">
        <v>0</v>
      </c>
      <c r="E9" s="52" t="s">
        <v>754</v>
      </c>
      <c r="F9" s="52" t="s">
        <v>755</v>
      </c>
      <c r="G9" s="52">
        <v>1</v>
      </c>
      <c r="H9" s="52">
        <v>0</v>
      </c>
      <c r="I9" s="52" t="s">
        <v>756</v>
      </c>
    </row>
    <row r="10" spans="1:10" s="21" customFormat="1" ht="27" customHeight="1" x14ac:dyDescent="0.25">
      <c r="A10" s="52" t="s">
        <v>421</v>
      </c>
      <c r="B10" s="52">
        <v>16</v>
      </c>
      <c r="C10" s="52">
        <v>0</v>
      </c>
      <c r="D10" s="52">
        <v>0</v>
      </c>
      <c r="E10" s="52" t="s">
        <v>757</v>
      </c>
      <c r="F10" s="52" t="s">
        <v>758</v>
      </c>
      <c r="G10" s="52">
        <v>1</v>
      </c>
      <c r="H10" s="52">
        <v>0</v>
      </c>
      <c r="I10" s="52" t="s">
        <v>759</v>
      </c>
    </row>
    <row r="11" spans="1:10" s="21" customFormat="1" ht="27" customHeight="1" x14ac:dyDescent="0.25">
      <c r="A11" s="52" t="s">
        <v>760</v>
      </c>
      <c r="B11" s="52">
        <v>0</v>
      </c>
      <c r="C11" s="52">
        <v>1</v>
      </c>
      <c r="D11" s="52">
        <v>0</v>
      </c>
      <c r="E11" s="52" t="s">
        <v>761</v>
      </c>
      <c r="F11" s="52" t="s">
        <v>762</v>
      </c>
      <c r="G11" s="52">
        <v>1</v>
      </c>
      <c r="H11" s="52">
        <v>0</v>
      </c>
      <c r="I11" s="52" t="s">
        <v>763</v>
      </c>
    </row>
    <row r="12" spans="1:10" s="21" customFormat="1" ht="27" customHeight="1" x14ac:dyDescent="0.45">
      <c r="A12" s="7" t="s">
        <v>645</v>
      </c>
      <c r="B12" s="52">
        <v>9</v>
      </c>
      <c r="C12" s="52">
        <v>0</v>
      </c>
      <c r="D12" s="52">
        <v>0</v>
      </c>
      <c r="E12" s="52" t="s">
        <v>764</v>
      </c>
      <c r="F12" s="52" t="s">
        <v>765</v>
      </c>
      <c r="G12" s="52">
        <v>1</v>
      </c>
      <c r="H12" s="52">
        <v>0</v>
      </c>
      <c r="I12" s="52" t="s">
        <v>766</v>
      </c>
    </row>
    <row r="13" spans="1:10" s="21" customFormat="1" ht="30" customHeight="1" x14ac:dyDescent="0.45">
      <c r="A13" s="52" t="s">
        <v>767</v>
      </c>
      <c r="B13" s="52">
        <v>0</v>
      </c>
      <c r="C13" s="52">
        <v>1</v>
      </c>
      <c r="D13" s="52">
        <v>0</v>
      </c>
      <c r="E13" s="52" t="s">
        <v>768</v>
      </c>
      <c r="F13" s="7" t="s">
        <v>769</v>
      </c>
      <c r="G13" s="52">
        <v>1</v>
      </c>
      <c r="H13" s="52">
        <v>0</v>
      </c>
      <c r="I13" s="52" t="s">
        <v>770</v>
      </c>
    </row>
    <row r="14" spans="1:10" s="21" customFormat="1" ht="30" customHeight="1" x14ac:dyDescent="0.45">
      <c r="A14" s="9" t="s">
        <v>771</v>
      </c>
      <c r="B14" s="52">
        <v>0</v>
      </c>
      <c r="C14" s="52">
        <v>4</v>
      </c>
      <c r="D14" s="52">
        <v>0</v>
      </c>
      <c r="E14" s="52" t="s">
        <v>772</v>
      </c>
      <c r="F14" s="7" t="s">
        <v>773</v>
      </c>
      <c r="G14" s="52">
        <v>1</v>
      </c>
      <c r="H14" s="52">
        <v>0</v>
      </c>
      <c r="I14" s="52" t="s">
        <v>774</v>
      </c>
    </row>
    <row r="15" spans="1:10" ht="30" customHeight="1" x14ac:dyDescent="0.25">
      <c r="A15" s="52"/>
      <c r="B15" s="52"/>
      <c r="C15" s="52"/>
      <c r="D15" s="52"/>
      <c r="E15" s="52"/>
      <c r="F15" s="52" t="s">
        <v>760</v>
      </c>
      <c r="G15" s="52">
        <v>1</v>
      </c>
      <c r="H15" s="52">
        <v>0</v>
      </c>
      <c r="I15" s="52" t="s">
        <v>761</v>
      </c>
    </row>
    <row r="16" spans="1:10" ht="30" customHeight="1" x14ac:dyDescent="0.45">
      <c r="A16" s="52"/>
      <c r="B16" s="52"/>
      <c r="C16" s="52"/>
      <c r="D16" s="52"/>
      <c r="E16" s="52"/>
      <c r="F16" s="57" t="s">
        <v>775</v>
      </c>
      <c r="G16" s="52">
        <v>2</v>
      </c>
      <c r="H16" s="52">
        <v>0</v>
      </c>
      <c r="I16" s="52" t="s">
        <v>776</v>
      </c>
    </row>
    <row r="17" spans="1:9" ht="30" customHeight="1" x14ac:dyDescent="0.45">
      <c r="A17" s="7"/>
      <c r="B17" s="7"/>
      <c r="C17" s="7"/>
      <c r="D17" s="7"/>
      <c r="E17" s="7"/>
      <c r="F17" s="52" t="s">
        <v>767</v>
      </c>
      <c r="G17" s="52">
        <v>1</v>
      </c>
      <c r="H17" s="52">
        <v>0</v>
      </c>
      <c r="I17" s="52" t="s">
        <v>768</v>
      </c>
    </row>
    <row r="18" spans="1:9" ht="30" customHeight="1" x14ac:dyDescent="0.45">
      <c r="A18" s="1"/>
      <c r="B18" s="1"/>
      <c r="C18" s="1"/>
      <c r="D18" s="1"/>
      <c r="E18" s="1"/>
      <c r="F18" s="9" t="s">
        <v>771</v>
      </c>
      <c r="G18" s="52">
        <v>4</v>
      </c>
      <c r="H18" s="52">
        <v>0</v>
      </c>
      <c r="I18" s="52" t="s">
        <v>772</v>
      </c>
    </row>
    <row r="19" spans="1:9" ht="30" customHeight="1" x14ac:dyDescent="0.45">
      <c r="A19" s="1"/>
      <c r="B19" s="1"/>
      <c r="C19" s="1"/>
      <c r="D19" s="1"/>
      <c r="E19" s="1"/>
      <c r="F19" s="7"/>
      <c r="G19" s="7"/>
      <c r="H19" s="7"/>
      <c r="I19" s="57"/>
    </row>
    <row r="20" spans="1:9" ht="24.75" customHeight="1" x14ac:dyDescent="0.45">
      <c r="A20" s="1"/>
      <c r="B20" s="1"/>
      <c r="C20" s="1"/>
      <c r="D20" s="1"/>
      <c r="E20" s="1"/>
      <c r="F20" s="7"/>
      <c r="G20" s="7"/>
      <c r="H20" s="7"/>
      <c r="I20" s="7"/>
    </row>
    <row r="21" spans="1:9" ht="24.7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24.75" customHeight="1" x14ac:dyDescent="0.45">
      <c r="A22" s="1"/>
      <c r="B22" s="1"/>
      <c r="C22" s="1"/>
      <c r="D22" s="1"/>
      <c r="E22" s="1"/>
      <c r="F22" s="7"/>
      <c r="G22" s="7"/>
      <c r="H22" s="7"/>
      <c r="I22" s="7"/>
    </row>
    <row r="23" spans="1:9" ht="24.75" customHeight="1" x14ac:dyDescent="0.45">
      <c r="A23" s="53"/>
      <c r="B23" s="53"/>
      <c r="C23" s="53"/>
      <c r="D23" s="53"/>
      <c r="E23" s="53"/>
      <c r="F23" s="50"/>
      <c r="G23" s="50"/>
      <c r="H23" s="50"/>
      <c r="I23" s="50"/>
    </row>
    <row r="24" spans="1:9" ht="24.75" customHeight="1" x14ac:dyDescent="0.45">
      <c r="A24" s="1"/>
      <c r="B24" s="1"/>
      <c r="C24" s="1"/>
      <c r="D24" s="1"/>
      <c r="E24" s="1"/>
      <c r="F24" s="50"/>
      <c r="G24" s="50"/>
      <c r="H24" s="50"/>
      <c r="I24" s="50"/>
    </row>
    <row r="25" spans="1:9" ht="24.75" customHeight="1" x14ac:dyDescent="0.25">
      <c r="A25" s="1"/>
      <c r="B25" s="1"/>
      <c r="C25" s="1"/>
      <c r="D25" s="1"/>
      <c r="E25" s="1"/>
      <c r="G25" s="32"/>
      <c r="H25" s="32"/>
      <c r="I25" s="32"/>
    </row>
    <row r="26" spans="1:9" ht="24.75" customHeight="1" x14ac:dyDescent="0.25">
      <c r="A26" s="1"/>
      <c r="B26" s="1"/>
      <c r="C26" s="1"/>
      <c r="D26" s="1"/>
      <c r="E26" s="1"/>
      <c r="F26" s="32"/>
      <c r="G26" s="32"/>
      <c r="H26" s="32"/>
      <c r="I26" s="32"/>
    </row>
    <row r="27" spans="1:9" ht="24.75" customHeight="1" x14ac:dyDescent="0.25">
      <c r="A27" s="1"/>
      <c r="B27" s="1"/>
      <c r="C27" s="1"/>
      <c r="D27" s="1"/>
      <c r="E27" s="1"/>
      <c r="F27" s="32"/>
      <c r="G27" s="32"/>
      <c r="H27" s="32"/>
      <c r="I27" s="32"/>
    </row>
    <row r="28" spans="1:9" ht="24.75" customHeight="1" x14ac:dyDescent="0.25">
      <c r="A28" s="41"/>
      <c r="B28" s="48"/>
      <c r="C28" s="48"/>
      <c r="D28" s="48"/>
      <c r="E28" s="36"/>
      <c r="F28" s="32"/>
      <c r="G28" s="32"/>
      <c r="H28" s="32"/>
      <c r="I28" s="32"/>
    </row>
    <row r="29" spans="1:9" ht="24.75" customHeight="1" x14ac:dyDescent="0.25">
      <c r="A29" s="41"/>
      <c r="B29" s="48"/>
      <c r="C29" s="48"/>
      <c r="D29" s="48"/>
      <c r="E29" s="36"/>
      <c r="F29" s="32"/>
      <c r="G29" s="32"/>
      <c r="H29" s="32"/>
      <c r="I29" s="32"/>
    </row>
    <row r="30" spans="1:9" ht="24.75" customHeight="1" x14ac:dyDescent="0.25">
      <c r="A30" s="41"/>
      <c r="B30" s="48"/>
      <c r="C30" s="48"/>
      <c r="D30" s="48"/>
      <c r="E30" s="36"/>
      <c r="F30" s="12"/>
      <c r="G30" s="29"/>
      <c r="H30" s="29"/>
      <c r="I30" s="31"/>
    </row>
    <row r="31" spans="1:9" ht="24.75" customHeight="1" x14ac:dyDescent="0.25">
      <c r="A31" s="41"/>
      <c r="B31" s="48"/>
      <c r="C31" s="48"/>
      <c r="D31" s="48"/>
      <c r="E31" s="36"/>
      <c r="F31" s="12"/>
      <c r="G31" s="30"/>
      <c r="H31" s="33"/>
      <c r="I31" s="31"/>
    </row>
    <row r="32" spans="1:9" ht="24.75" customHeight="1" x14ac:dyDescent="0.25">
      <c r="A32" s="40"/>
      <c r="B32" s="30"/>
      <c r="C32" s="30"/>
      <c r="D32" s="30"/>
      <c r="E32" s="29"/>
      <c r="F32" s="29"/>
      <c r="G32" s="30"/>
      <c r="H32" s="33"/>
      <c r="I32" s="31"/>
    </row>
    <row r="33" spans="1:9" s="11" customFormat="1" ht="30" customHeight="1" x14ac:dyDescent="0.25">
      <c r="A33" s="28">
        <f>COUNTA(A6:A32)</f>
        <v>9</v>
      </c>
      <c r="B33" s="28">
        <f>SUM(B6:B32)</f>
        <v>33</v>
      </c>
      <c r="C33" s="28">
        <f>SUM(C6:C32)</f>
        <v>7</v>
      </c>
      <c r="D33" s="28">
        <f>SUM(D6:D32)</f>
        <v>0</v>
      </c>
      <c r="E33" s="28"/>
      <c r="F33" s="28">
        <f>COUNTA(F6:F32)</f>
        <v>13</v>
      </c>
      <c r="G33" s="28">
        <f>SUM(G6:G32)</f>
        <v>31</v>
      </c>
      <c r="H33" s="28">
        <f>SUM(H6:H32)</f>
        <v>0</v>
      </c>
      <c r="I33" s="28"/>
    </row>
    <row r="34" spans="1:9" ht="13.5" customHeight="1" x14ac:dyDescent="0.25"/>
    <row r="36" spans="1:9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9" ht="38.25" customHeight="1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9" s="21" customFormat="1" ht="24.75" customHeight="1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</row>
    <row r="39" spans="1:9" s="21" customFormat="1" ht="24.75" customHeight="1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</row>
    <row r="40" spans="1:9" s="21" customFormat="1" ht="24.75" customHeight="1" x14ac:dyDescent="0.25">
      <c r="A40" s="10"/>
      <c r="B40" s="20"/>
      <c r="C40" s="22"/>
      <c r="D40" s="22"/>
      <c r="E40" s="182"/>
      <c r="F40" s="183"/>
    </row>
    <row r="41" spans="1:9" s="21" customFormat="1" ht="24.75" customHeight="1" x14ac:dyDescent="0.25">
      <c r="A41" s="10"/>
      <c r="B41" s="20"/>
      <c r="C41" s="22"/>
      <c r="D41" s="22">
        <f>SUM(D38:D40)</f>
        <v>3</v>
      </c>
      <c r="E41" s="182"/>
      <c r="F41" s="183"/>
    </row>
    <row r="42" spans="1:9" s="21" customFormat="1" ht="24.75" customHeight="1" x14ac:dyDescent="0.25">
      <c r="A42"/>
      <c r="B42"/>
      <c r="C42"/>
      <c r="D42"/>
      <c r="E42"/>
      <c r="F42"/>
      <c r="G42"/>
    </row>
    <row r="43" spans="1:9" ht="21" customHeight="1" x14ac:dyDescent="0.25">
      <c r="F43"/>
    </row>
    <row r="44" spans="1:9" x14ac:dyDescent="0.25">
      <c r="F44"/>
    </row>
    <row r="45" spans="1:9" x14ac:dyDescent="0.25">
      <c r="F45"/>
    </row>
    <row r="46" spans="1:9" x14ac:dyDescent="0.25">
      <c r="F46"/>
    </row>
    <row r="58" spans="1:5" x14ac:dyDescent="0.25">
      <c r="A58" s="39" t="s">
        <v>60</v>
      </c>
      <c r="B58" s="35">
        <v>1</v>
      </c>
      <c r="C58" s="34">
        <v>0</v>
      </c>
      <c r="D58" s="34" t="s">
        <v>61</v>
      </c>
    </row>
    <row r="59" spans="1:5" ht="17.399999999999999" x14ac:dyDescent="0.3">
      <c r="A59" s="2" t="s">
        <v>62</v>
      </c>
      <c r="B59" s="35">
        <v>1</v>
      </c>
      <c r="C59" s="34">
        <v>0</v>
      </c>
      <c r="D59" s="2" t="s">
        <v>63</v>
      </c>
      <c r="E59" s="4"/>
    </row>
    <row r="60" spans="1:5" ht="17.399999999999999" x14ac:dyDescent="0.3">
      <c r="E60" s="4"/>
    </row>
    <row r="61" spans="1:5" ht="19.2" x14ac:dyDescent="0.45">
      <c r="A61" s="7" t="s">
        <v>64</v>
      </c>
      <c r="B61" s="7">
        <v>1</v>
      </c>
      <c r="C61" s="7">
        <v>0</v>
      </c>
      <c r="D61" s="7" t="s">
        <v>65</v>
      </c>
      <c r="E61" s="4"/>
    </row>
    <row r="62" spans="1:5" ht="17.399999999999999" x14ac:dyDescent="0.3">
      <c r="A62" s="3"/>
      <c r="E62" s="4"/>
    </row>
    <row r="63" spans="1:5" ht="19.2" x14ac:dyDescent="0.45">
      <c r="A63" s="9"/>
    </row>
    <row r="65" spans="5:5" ht="17.399999999999999" x14ac:dyDescent="0.3">
      <c r="E65" s="4"/>
    </row>
    <row r="66" spans="5:5" ht="17.399999999999999" x14ac:dyDescent="0.3">
      <c r="E66" s="4"/>
    </row>
    <row r="69" spans="5:5" ht="17.399999999999999" x14ac:dyDescent="0.3">
      <c r="E69" s="4"/>
    </row>
    <row r="70" spans="5:5" ht="17.399999999999999" x14ac:dyDescent="0.3">
      <c r="E70" s="4"/>
    </row>
  </sheetData>
  <mergeCells count="9">
    <mergeCell ref="E39:F39"/>
    <mergeCell ref="E40:F40"/>
    <mergeCell ref="E41:F41"/>
    <mergeCell ref="A1:I1"/>
    <mergeCell ref="A4:E4"/>
    <mergeCell ref="F4:I4"/>
    <mergeCell ref="A36:F36"/>
    <mergeCell ref="E37:F37"/>
    <mergeCell ref="E38:F3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C200-66D3-4039-B18A-07C6C599E2ED}">
  <dimension ref="A1:J70"/>
  <sheetViews>
    <sheetView topLeftCell="A13" workbookViewId="0">
      <selection activeCell="E6" sqref="E6:E13"/>
    </sheetView>
  </sheetViews>
  <sheetFormatPr defaultRowHeight="14.4" x14ac:dyDescent="0.25"/>
  <cols>
    <col min="1" max="1" width="32.33203125" customWidth="1"/>
    <col min="2" max="2" width="12.6640625" customWidth="1"/>
    <col min="3" max="3" width="10.6640625" customWidth="1"/>
    <col min="4" max="4" width="12.77734375" customWidth="1"/>
    <col min="5" max="5" width="35.6640625" customWidth="1"/>
    <col min="6" max="6" width="26.33203125" style="8" customWidth="1"/>
    <col min="7" max="7" width="12.6640625" customWidth="1"/>
    <col min="8" max="8" width="12.44140625" customWidth="1"/>
    <col min="9" max="9" width="35.6640625" customWidth="1"/>
  </cols>
  <sheetData>
    <row r="1" spans="1:10" ht="25.5" customHeight="1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21.75" customHeight="1" x14ac:dyDescent="0.25">
      <c r="A2" s="13" t="s">
        <v>1</v>
      </c>
      <c r="B2" s="14">
        <v>46272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0.5" customHeight="1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ht="21.75" customHeight="1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33" customHeight="1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s="37" customFormat="1" ht="37.5" customHeight="1" x14ac:dyDescent="0.45">
      <c r="A6" s="52" t="s">
        <v>732</v>
      </c>
      <c r="B6" s="7">
        <v>4</v>
      </c>
      <c r="C6" s="7">
        <v>0</v>
      </c>
      <c r="D6" s="7">
        <v>0</v>
      </c>
      <c r="E6" s="7" t="s">
        <v>777</v>
      </c>
      <c r="F6" s="56" t="s">
        <v>778</v>
      </c>
      <c r="G6" s="7">
        <v>1</v>
      </c>
      <c r="H6" s="7">
        <v>0</v>
      </c>
      <c r="I6" s="52" t="s">
        <v>779</v>
      </c>
      <c r="J6" s="38"/>
    </row>
    <row r="7" spans="1:10" s="37" customFormat="1" ht="27" customHeight="1" x14ac:dyDescent="0.45">
      <c r="A7" s="52" t="s">
        <v>780</v>
      </c>
      <c r="B7" s="7">
        <v>2</v>
      </c>
      <c r="C7" s="7">
        <v>0</v>
      </c>
      <c r="D7" s="7">
        <v>0</v>
      </c>
      <c r="E7" s="7" t="s">
        <v>781</v>
      </c>
      <c r="F7" s="56" t="s">
        <v>782</v>
      </c>
      <c r="G7" s="7">
        <v>11</v>
      </c>
      <c r="H7" s="7">
        <v>0</v>
      </c>
      <c r="I7" s="52" t="s">
        <v>783</v>
      </c>
      <c r="J7" s="38"/>
    </row>
    <row r="8" spans="1:10" s="37" customFormat="1" ht="38.25" customHeight="1" x14ac:dyDescent="0.45">
      <c r="A8" s="7" t="s">
        <v>784</v>
      </c>
      <c r="B8" s="7">
        <v>0</v>
      </c>
      <c r="C8" s="7">
        <v>1</v>
      </c>
      <c r="D8" s="7">
        <v>0</v>
      </c>
      <c r="E8" s="55" t="s">
        <v>785</v>
      </c>
      <c r="F8" s="7" t="s">
        <v>786</v>
      </c>
      <c r="G8" s="7">
        <v>3</v>
      </c>
      <c r="H8" s="7">
        <v>0</v>
      </c>
      <c r="I8" s="7" t="s">
        <v>787</v>
      </c>
      <c r="J8" s="38"/>
    </row>
    <row r="9" spans="1:10" s="21" customFormat="1" ht="27" customHeight="1" x14ac:dyDescent="0.45">
      <c r="A9" s="7" t="s">
        <v>667</v>
      </c>
      <c r="B9" s="7">
        <v>0</v>
      </c>
      <c r="C9" s="7">
        <v>1</v>
      </c>
      <c r="D9" s="7">
        <v>0</v>
      </c>
      <c r="E9" s="55" t="s">
        <v>788</v>
      </c>
      <c r="F9" s="7" t="s">
        <v>789</v>
      </c>
      <c r="G9" s="7">
        <v>7</v>
      </c>
      <c r="H9" s="7">
        <v>0</v>
      </c>
      <c r="I9" s="52" t="s">
        <v>790</v>
      </c>
    </row>
    <row r="10" spans="1:10" s="21" customFormat="1" ht="27" customHeight="1" x14ac:dyDescent="0.45">
      <c r="A10" s="7" t="s">
        <v>647</v>
      </c>
      <c r="B10" s="7">
        <v>119</v>
      </c>
      <c r="C10" s="7">
        <v>0</v>
      </c>
      <c r="D10" s="7">
        <v>0</v>
      </c>
      <c r="E10" s="7" t="s">
        <v>791</v>
      </c>
      <c r="F10" s="7" t="s">
        <v>792</v>
      </c>
      <c r="G10" s="7"/>
      <c r="H10" s="7"/>
      <c r="I10" s="7"/>
    </row>
    <row r="11" spans="1:10" s="21" customFormat="1" ht="27" customHeight="1" x14ac:dyDescent="0.45">
      <c r="A11" s="7" t="s">
        <v>789</v>
      </c>
      <c r="B11" s="7">
        <v>7</v>
      </c>
      <c r="C11" s="7">
        <v>0</v>
      </c>
      <c r="D11" s="7">
        <v>0</v>
      </c>
      <c r="E11" s="52" t="s">
        <v>793</v>
      </c>
      <c r="F11" s="7"/>
      <c r="G11" s="7"/>
      <c r="H11" s="7"/>
      <c r="I11" s="7"/>
    </row>
    <row r="12" spans="1:10" s="21" customFormat="1" ht="27" customHeight="1" x14ac:dyDescent="0.45">
      <c r="A12" s="7" t="s">
        <v>786</v>
      </c>
      <c r="B12" s="7">
        <v>3</v>
      </c>
      <c r="C12" s="7">
        <v>0</v>
      </c>
      <c r="D12" s="7">
        <v>0</v>
      </c>
      <c r="E12" s="7" t="s">
        <v>787</v>
      </c>
      <c r="F12" s="7"/>
      <c r="G12" s="7"/>
      <c r="H12" s="7"/>
      <c r="I12" s="7"/>
    </row>
    <row r="13" spans="1:10" s="21" customFormat="1" ht="30" customHeight="1" x14ac:dyDescent="0.45">
      <c r="A13" s="7" t="s">
        <v>256</v>
      </c>
      <c r="B13" s="7">
        <v>4</v>
      </c>
      <c r="C13" s="7">
        <v>0</v>
      </c>
      <c r="D13" s="7">
        <v>0</v>
      </c>
      <c r="E13" s="7" t="s">
        <v>794</v>
      </c>
      <c r="F13" s="56"/>
      <c r="G13" s="7"/>
      <c r="H13" s="7"/>
      <c r="I13" s="52"/>
    </row>
    <row r="14" spans="1:10" s="21" customFormat="1" ht="30" customHeight="1" x14ac:dyDescent="0.45">
      <c r="A14" s="7"/>
      <c r="B14" s="7"/>
      <c r="C14" s="7"/>
      <c r="D14" s="7"/>
      <c r="E14" s="7"/>
      <c r="F14" s="1"/>
      <c r="G14" s="7"/>
      <c r="H14" s="7"/>
      <c r="I14" s="52"/>
    </row>
    <row r="15" spans="1:10" ht="30" customHeight="1" x14ac:dyDescent="0.45">
      <c r="A15" s="7"/>
      <c r="B15" s="7"/>
      <c r="C15" s="7"/>
      <c r="D15" s="7"/>
      <c r="E15" s="7"/>
      <c r="F15" s="7"/>
      <c r="G15" s="7"/>
      <c r="H15" s="7"/>
      <c r="I15" s="7"/>
    </row>
    <row r="16" spans="1:10" ht="30" customHeight="1" x14ac:dyDescent="0.45">
      <c r="A16" s="7"/>
      <c r="B16" s="7"/>
      <c r="C16" s="7"/>
      <c r="D16" s="7"/>
      <c r="E16" s="7"/>
      <c r="F16" s="7"/>
      <c r="G16" s="7"/>
      <c r="H16" s="7"/>
      <c r="I16" s="7"/>
    </row>
    <row r="17" spans="1:9" ht="30" customHeight="1" x14ac:dyDescent="0.45">
      <c r="A17" s="7"/>
      <c r="B17" s="7"/>
      <c r="C17" s="7"/>
      <c r="D17" s="7"/>
      <c r="E17" s="7"/>
      <c r="F17" s="7"/>
      <c r="G17" s="7"/>
      <c r="H17" s="7"/>
      <c r="I17" s="7"/>
    </row>
    <row r="18" spans="1:9" ht="30" customHeight="1" x14ac:dyDescent="0.45">
      <c r="A18" s="1"/>
      <c r="B18" s="1"/>
      <c r="C18" s="1"/>
      <c r="D18" s="1"/>
      <c r="E18" s="1"/>
      <c r="F18" s="7"/>
      <c r="G18" s="7"/>
      <c r="H18" s="7"/>
      <c r="I18" s="57"/>
    </row>
    <row r="19" spans="1:9" ht="30" customHeight="1" x14ac:dyDescent="0.45">
      <c r="A19" s="1"/>
      <c r="B19" s="1"/>
      <c r="C19" s="1"/>
      <c r="D19" s="1"/>
      <c r="E19" s="1"/>
      <c r="F19" s="7"/>
      <c r="G19" s="7"/>
      <c r="H19" s="7"/>
      <c r="I19" s="57"/>
    </row>
    <row r="20" spans="1:9" ht="24.75" customHeight="1" x14ac:dyDescent="0.45">
      <c r="A20" s="1"/>
      <c r="B20" s="1"/>
      <c r="C20" s="1"/>
      <c r="D20" s="1"/>
      <c r="E20" s="1"/>
      <c r="F20" s="7"/>
      <c r="G20" s="7"/>
      <c r="H20" s="7"/>
      <c r="I20" s="7"/>
    </row>
    <row r="21" spans="1:9" ht="24.7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24.75" customHeight="1" x14ac:dyDescent="0.45">
      <c r="A22" s="1"/>
      <c r="B22" s="1"/>
      <c r="C22" s="1"/>
      <c r="D22" s="1"/>
      <c r="E22" s="1"/>
      <c r="F22" s="7"/>
      <c r="G22" s="7"/>
      <c r="H22" s="7"/>
      <c r="I22" s="7"/>
    </row>
    <row r="23" spans="1:9" ht="24.75" customHeight="1" x14ac:dyDescent="0.45">
      <c r="A23" s="53"/>
      <c r="B23" s="53"/>
      <c r="C23" s="53"/>
      <c r="D23" s="53"/>
      <c r="E23" s="53"/>
      <c r="F23" s="50"/>
      <c r="G23" s="50"/>
      <c r="H23" s="50"/>
      <c r="I23" s="50"/>
    </row>
    <row r="24" spans="1:9" ht="24.75" customHeight="1" x14ac:dyDescent="0.45">
      <c r="A24" s="1"/>
      <c r="B24" s="1"/>
      <c r="C24" s="1"/>
      <c r="D24" s="1"/>
      <c r="E24" s="1"/>
      <c r="F24" s="50"/>
      <c r="G24" s="50"/>
      <c r="H24" s="50"/>
      <c r="I24" s="50"/>
    </row>
    <row r="25" spans="1:9" ht="24.75" customHeight="1" x14ac:dyDescent="0.25">
      <c r="A25" s="1"/>
      <c r="B25" s="1"/>
      <c r="C25" s="1"/>
      <c r="D25" s="1"/>
      <c r="E25" s="1"/>
      <c r="G25" s="32"/>
      <c r="H25" s="32"/>
      <c r="I25" s="32"/>
    </row>
    <row r="26" spans="1:9" ht="24.75" customHeight="1" x14ac:dyDescent="0.25">
      <c r="A26" s="1"/>
      <c r="B26" s="1"/>
      <c r="C26" s="1"/>
      <c r="D26" s="1"/>
      <c r="E26" s="1"/>
      <c r="F26" s="32"/>
      <c r="G26" s="32"/>
      <c r="H26" s="32"/>
      <c r="I26" s="32"/>
    </row>
    <row r="27" spans="1:9" ht="24.75" customHeight="1" x14ac:dyDescent="0.25">
      <c r="A27" s="1"/>
      <c r="B27" s="1"/>
      <c r="C27" s="1"/>
      <c r="D27" s="1"/>
      <c r="E27" s="1"/>
      <c r="F27" s="32"/>
      <c r="G27" s="32"/>
      <c r="H27" s="32"/>
      <c r="I27" s="32"/>
    </row>
    <row r="28" spans="1:9" ht="24.75" customHeight="1" x14ac:dyDescent="0.25">
      <c r="A28" s="41"/>
      <c r="B28" s="48"/>
      <c r="C28" s="48"/>
      <c r="D28" s="48"/>
      <c r="E28" s="36"/>
      <c r="F28" s="32"/>
      <c r="G28" s="32"/>
      <c r="H28" s="32"/>
      <c r="I28" s="32"/>
    </row>
    <row r="29" spans="1:9" ht="24.75" customHeight="1" x14ac:dyDescent="0.25">
      <c r="A29" s="41"/>
      <c r="B29" s="48"/>
      <c r="C29" s="48"/>
      <c r="D29" s="48"/>
      <c r="E29" s="36"/>
      <c r="F29" s="32"/>
      <c r="G29" s="32"/>
      <c r="H29" s="32"/>
      <c r="I29" s="32"/>
    </row>
    <row r="30" spans="1:9" ht="24.75" customHeight="1" x14ac:dyDescent="0.25">
      <c r="A30" s="41"/>
      <c r="B30" s="48"/>
      <c r="C30" s="48"/>
      <c r="D30" s="48"/>
      <c r="E30" s="36"/>
      <c r="F30" s="12"/>
      <c r="G30" s="29"/>
      <c r="H30" s="29"/>
      <c r="I30" s="31"/>
    </row>
    <row r="31" spans="1:9" ht="24.75" customHeight="1" x14ac:dyDescent="0.25">
      <c r="A31" s="41"/>
      <c r="B31" s="48"/>
      <c r="C31" s="48"/>
      <c r="D31" s="48"/>
      <c r="E31" s="36"/>
      <c r="F31" s="12"/>
      <c r="G31" s="30"/>
      <c r="H31" s="33"/>
      <c r="I31" s="31"/>
    </row>
    <row r="32" spans="1:9" ht="24.75" customHeight="1" x14ac:dyDescent="0.25">
      <c r="A32" s="40"/>
      <c r="B32" s="30"/>
      <c r="C32" s="30"/>
      <c r="D32" s="30"/>
      <c r="E32" s="29"/>
      <c r="F32" s="29"/>
      <c r="G32" s="30"/>
      <c r="H32" s="33"/>
      <c r="I32" s="31"/>
    </row>
    <row r="33" spans="1:9" s="11" customFormat="1" ht="30" customHeight="1" x14ac:dyDescent="0.25">
      <c r="A33" s="28">
        <f>COUNTA(A6:A32)</f>
        <v>8</v>
      </c>
      <c r="B33" s="28">
        <f>SUM(B6:B32)</f>
        <v>139</v>
      </c>
      <c r="C33" s="28">
        <f>SUM(C6:C32)</f>
        <v>2</v>
      </c>
      <c r="D33" s="28">
        <f>SUM(D6:D32)</f>
        <v>0</v>
      </c>
      <c r="E33" s="28"/>
      <c r="F33" s="28">
        <f>COUNTA(F6:F32)</f>
        <v>5</v>
      </c>
      <c r="G33" s="28">
        <f>SUM(G6:G32)</f>
        <v>22</v>
      </c>
      <c r="H33" s="28">
        <f>SUM(H6:H32)</f>
        <v>0</v>
      </c>
      <c r="I33" s="28"/>
    </row>
    <row r="34" spans="1:9" ht="13.5" customHeight="1" x14ac:dyDescent="0.25"/>
    <row r="36" spans="1:9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9" ht="38.25" customHeight="1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9" s="21" customFormat="1" ht="24.75" customHeight="1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</row>
    <row r="39" spans="1:9" s="21" customFormat="1" ht="24.75" customHeight="1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</row>
    <row r="40" spans="1:9" s="21" customFormat="1" ht="24.75" customHeight="1" x14ac:dyDescent="0.25">
      <c r="A40" s="10"/>
      <c r="B40" s="20"/>
      <c r="C40" s="22"/>
      <c r="D40" s="22"/>
      <c r="E40" s="182"/>
      <c r="F40" s="183"/>
    </row>
    <row r="41" spans="1:9" s="21" customFormat="1" ht="24.75" customHeight="1" x14ac:dyDescent="0.25">
      <c r="A41" s="10"/>
      <c r="B41" s="20"/>
      <c r="C41" s="22"/>
      <c r="D41" s="22">
        <f>SUM(D38:D40)</f>
        <v>3</v>
      </c>
      <c r="E41" s="182"/>
      <c r="F41" s="183"/>
    </row>
    <row r="42" spans="1:9" s="21" customFormat="1" ht="24.75" customHeight="1" x14ac:dyDescent="0.25">
      <c r="A42"/>
      <c r="B42"/>
      <c r="C42"/>
      <c r="D42"/>
      <c r="E42"/>
      <c r="F42"/>
      <c r="G42"/>
    </row>
    <row r="43" spans="1:9" ht="21" customHeight="1" x14ac:dyDescent="0.25">
      <c r="F43"/>
    </row>
    <row r="44" spans="1:9" x14ac:dyDescent="0.25">
      <c r="F44"/>
    </row>
    <row r="45" spans="1:9" x14ac:dyDescent="0.25">
      <c r="F45"/>
    </row>
    <row r="46" spans="1:9" x14ac:dyDescent="0.25">
      <c r="F46"/>
    </row>
    <row r="58" spans="1:5" x14ac:dyDescent="0.25">
      <c r="A58" s="39" t="s">
        <v>60</v>
      </c>
      <c r="B58" s="35">
        <v>1</v>
      </c>
      <c r="C58" s="34">
        <v>0</v>
      </c>
      <c r="D58" s="34" t="s">
        <v>61</v>
      </c>
    </row>
    <row r="59" spans="1:5" ht="17.399999999999999" x14ac:dyDescent="0.3">
      <c r="A59" s="2" t="s">
        <v>62</v>
      </c>
      <c r="B59" s="35">
        <v>1</v>
      </c>
      <c r="C59" s="34">
        <v>0</v>
      </c>
      <c r="D59" s="2" t="s">
        <v>63</v>
      </c>
      <c r="E59" s="4"/>
    </row>
    <row r="60" spans="1:5" ht="17.399999999999999" x14ac:dyDescent="0.3">
      <c r="E60" s="4"/>
    </row>
    <row r="61" spans="1:5" ht="19.2" x14ac:dyDescent="0.45">
      <c r="A61" s="7" t="s">
        <v>64</v>
      </c>
      <c r="B61" s="7">
        <v>1</v>
      </c>
      <c r="C61" s="7">
        <v>0</v>
      </c>
      <c r="D61" s="7" t="s">
        <v>65</v>
      </c>
      <c r="E61" s="4"/>
    </row>
    <row r="62" spans="1:5" ht="17.399999999999999" x14ac:dyDescent="0.3">
      <c r="A62" s="3"/>
      <c r="E62" s="4"/>
    </row>
    <row r="63" spans="1:5" ht="19.2" x14ac:dyDescent="0.45">
      <c r="A63" s="9"/>
    </row>
    <row r="65" spans="5:5" ht="17.399999999999999" x14ac:dyDescent="0.3">
      <c r="E65" s="4"/>
    </row>
    <row r="66" spans="5:5" ht="17.399999999999999" x14ac:dyDescent="0.3">
      <c r="E66" s="4"/>
    </row>
    <row r="69" spans="5:5" ht="17.399999999999999" x14ac:dyDescent="0.3">
      <c r="E69" s="4"/>
    </row>
    <row r="70" spans="5:5" ht="17.399999999999999" x14ac:dyDescent="0.3">
      <c r="E70" s="4"/>
    </row>
  </sheetData>
  <mergeCells count="9">
    <mergeCell ref="E39:F39"/>
    <mergeCell ref="E40:F40"/>
    <mergeCell ref="E41:F41"/>
    <mergeCell ref="A1:I1"/>
    <mergeCell ref="A4:E4"/>
    <mergeCell ref="F4:I4"/>
    <mergeCell ref="A36:F36"/>
    <mergeCell ref="E37:F37"/>
    <mergeCell ref="E38:F3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A0A5-8C21-4471-A658-EF8F32AD7785}">
  <dimension ref="A1:J70"/>
  <sheetViews>
    <sheetView topLeftCell="A7" workbookViewId="0">
      <selection activeCell="E13" sqref="E13:E14"/>
    </sheetView>
  </sheetViews>
  <sheetFormatPr defaultRowHeight="14.4" x14ac:dyDescent="0.25"/>
  <cols>
    <col min="1" max="1" width="32.33203125" customWidth="1"/>
    <col min="2" max="2" width="12.6640625" customWidth="1"/>
    <col min="3" max="3" width="10.6640625" customWidth="1"/>
    <col min="4" max="4" width="12.77734375" customWidth="1"/>
    <col min="5" max="5" width="35.6640625" customWidth="1"/>
    <col min="6" max="6" width="26.33203125" style="8" customWidth="1"/>
    <col min="7" max="7" width="12.6640625" customWidth="1"/>
    <col min="8" max="8" width="12.44140625" customWidth="1"/>
    <col min="9" max="9" width="35.6640625" customWidth="1"/>
  </cols>
  <sheetData>
    <row r="1" spans="1:10" ht="25.5" customHeight="1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21.75" customHeight="1" x14ac:dyDescent="0.25">
      <c r="A2" s="13" t="s">
        <v>1</v>
      </c>
      <c r="B2" s="14">
        <v>46269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0.5" customHeight="1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ht="21.75" customHeight="1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33" customHeight="1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s="37" customFormat="1" ht="37.5" customHeight="1" x14ac:dyDescent="0.45">
      <c r="A6" s="7" t="s">
        <v>795</v>
      </c>
      <c r="B6" s="7">
        <v>0</v>
      </c>
      <c r="C6" s="7">
        <v>1</v>
      </c>
      <c r="D6" s="7">
        <v>0</v>
      </c>
      <c r="E6" s="57" t="s">
        <v>796</v>
      </c>
      <c r="F6" s="58" t="s">
        <v>795</v>
      </c>
      <c r="G6" s="58">
        <v>1</v>
      </c>
      <c r="H6" s="58">
        <v>0</v>
      </c>
      <c r="I6" s="59" t="s">
        <v>796</v>
      </c>
      <c r="J6" s="38"/>
    </row>
    <row r="7" spans="1:10" s="37" customFormat="1" ht="27" customHeight="1" x14ac:dyDescent="0.45">
      <c r="A7" s="7" t="s">
        <v>524</v>
      </c>
      <c r="B7" s="7">
        <v>0</v>
      </c>
      <c r="C7" s="7">
        <v>1</v>
      </c>
      <c r="D7" s="7">
        <v>0</v>
      </c>
      <c r="E7" s="7" t="s">
        <v>797</v>
      </c>
      <c r="F7" s="58" t="s">
        <v>798</v>
      </c>
      <c r="G7" s="58">
        <v>15</v>
      </c>
      <c r="H7" s="58">
        <v>0</v>
      </c>
      <c r="I7" s="58" t="s">
        <v>799</v>
      </c>
      <c r="J7" s="38"/>
    </row>
    <row r="8" spans="1:10" s="37" customFormat="1" ht="38.25" customHeight="1" x14ac:dyDescent="0.45">
      <c r="A8" s="7" t="s">
        <v>737</v>
      </c>
      <c r="B8" s="7">
        <v>0</v>
      </c>
      <c r="C8" s="7">
        <v>2</v>
      </c>
      <c r="D8" s="7">
        <v>0</v>
      </c>
      <c r="E8" s="7" t="s">
        <v>800</v>
      </c>
      <c r="F8" s="58" t="s">
        <v>801</v>
      </c>
      <c r="G8" s="58">
        <v>2</v>
      </c>
      <c r="H8" s="58">
        <v>0</v>
      </c>
      <c r="I8" s="58" t="s">
        <v>802</v>
      </c>
      <c r="J8" s="38"/>
    </row>
    <row r="9" spans="1:10" s="21" customFormat="1" ht="27" customHeight="1" x14ac:dyDescent="0.45">
      <c r="A9" s="7" t="s">
        <v>401</v>
      </c>
      <c r="B9" s="7">
        <v>0</v>
      </c>
      <c r="C9" s="7">
        <v>1</v>
      </c>
      <c r="D9" s="7">
        <v>0</v>
      </c>
      <c r="E9" s="7" t="s">
        <v>803</v>
      </c>
      <c r="F9" s="58" t="s">
        <v>804</v>
      </c>
      <c r="G9" s="58">
        <v>5</v>
      </c>
      <c r="H9" s="58">
        <v>0</v>
      </c>
      <c r="I9" s="58" t="s">
        <v>805</v>
      </c>
    </row>
    <row r="10" spans="1:10" s="21" customFormat="1" ht="27" customHeight="1" x14ac:dyDescent="0.45">
      <c r="A10" s="7" t="s">
        <v>806</v>
      </c>
      <c r="B10" s="7">
        <v>0</v>
      </c>
      <c r="C10" s="7">
        <v>1</v>
      </c>
      <c r="D10" s="7">
        <v>0</v>
      </c>
      <c r="E10" s="7" t="s">
        <v>807</v>
      </c>
      <c r="F10" s="58" t="s">
        <v>808</v>
      </c>
      <c r="G10" s="58">
        <v>3</v>
      </c>
      <c r="H10" s="58">
        <v>0</v>
      </c>
      <c r="I10" s="58" t="s">
        <v>809</v>
      </c>
    </row>
    <row r="11" spans="1:10" s="21" customFormat="1" ht="27" customHeight="1" x14ac:dyDescent="0.45">
      <c r="A11" s="7" t="s">
        <v>735</v>
      </c>
      <c r="B11" s="7">
        <v>0</v>
      </c>
      <c r="C11" s="7">
        <v>2</v>
      </c>
      <c r="D11" s="7">
        <v>0</v>
      </c>
      <c r="E11" s="7" t="s">
        <v>810</v>
      </c>
      <c r="F11" s="58" t="s">
        <v>811</v>
      </c>
      <c r="G11" s="58">
        <v>20</v>
      </c>
      <c r="H11" s="58">
        <v>0</v>
      </c>
      <c r="I11" s="58" t="s">
        <v>812</v>
      </c>
    </row>
    <row r="12" spans="1:10" s="21" customFormat="1" ht="27" customHeight="1" x14ac:dyDescent="0.45">
      <c r="A12" s="7" t="s">
        <v>542</v>
      </c>
      <c r="B12" s="7">
        <v>25</v>
      </c>
      <c r="C12" s="7">
        <v>0</v>
      </c>
      <c r="D12" s="7">
        <v>0</v>
      </c>
      <c r="E12" s="7" t="s">
        <v>813</v>
      </c>
      <c r="F12" s="7" t="s">
        <v>814</v>
      </c>
      <c r="G12" s="7">
        <v>1</v>
      </c>
      <c r="H12" s="7">
        <v>0</v>
      </c>
      <c r="I12" s="7" t="s">
        <v>815</v>
      </c>
    </row>
    <row r="13" spans="1:10" s="21" customFormat="1" ht="30" customHeight="1" x14ac:dyDescent="0.45">
      <c r="A13" s="7" t="s">
        <v>512</v>
      </c>
      <c r="B13" s="7">
        <v>15</v>
      </c>
      <c r="C13" s="7">
        <v>0</v>
      </c>
      <c r="D13" s="7">
        <v>15</v>
      </c>
      <c r="E13" t="s">
        <v>816</v>
      </c>
      <c r="F13" s="56"/>
      <c r="G13" s="7"/>
      <c r="H13" s="7"/>
      <c r="I13" s="52"/>
    </row>
    <row r="14" spans="1:10" s="21" customFormat="1" ht="30" customHeight="1" x14ac:dyDescent="0.45">
      <c r="A14" s="7" t="s">
        <v>518</v>
      </c>
      <c r="B14" s="7">
        <v>12</v>
      </c>
      <c r="C14" s="7">
        <v>0</v>
      </c>
      <c r="D14" s="7">
        <v>12</v>
      </c>
      <c r="E14" s="9" t="s">
        <v>817</v>
      </c>
      <c r="F14" s="1"/>
      <c r="G14" s="7"/>
      <c r="H14" s="7"/>
      <c r="I14" s="52"/>
    </row>
    <row r="15" spans="1:10" ht="30" customHeight="1" x14ac:dyDescent="0.45">
      <c r="A15" s="7" t="s">
        <v>337</v>
      </c>
      <c r="B15" s="50">
        <v>0</v>
      </c>
      <c r="C15" s="50">
        <v>1</v>
      </c>
      <c r="D15" s="50">
        <v>0</v>
      </c>
      <c r="E15" s="50" t="s">
        <v>818</v>
      </c>
      <c r="F15" s="50"/>
      <c r="G15" s="50"/>
      <c r="H15" s="50"/>
      <c r="I15" s="50"/>
    </row>
    <row r="16" spans="1:10" ht="30" customHeight="1" x14ac:dyDescent="0.45">
      <c r="A16" s="7" t="s">
        <v>593</v>
      </c>
      <c r="B16" s="7">
        <v>2</v>
      </c>
      <c r="C16" s="7">
        <v>0</v>
      </c>
      <c r="D16" s="7">
        <v>0</v>
      </c>
      <c r="E16" s="7" t="s">
        <v>819</v>
      </c>
      <c r="F16" s="7"/>
      <c r="G16" s="7"/>
      <c r="H16" s="7"/>
      <c r="I16" s="7"/>
    </row>
    <row r="17" spans="1:9" ht="30" customHeight="1" x14ac:dyDescent="0.45">
      <c r="A17" s="7" t="s">
        <v>814</v>
      </c>
      <c r="B17" s="7">
        <v>0</v>
      </c>
      <c r="C17" s="7">
        <v>1</v>
      </c>
      <c r="D17" s="7">
        <v>0</v>
      </c>
      <c r="E17" s="7" t="s">
        <v>815</v>
      </c>
      <c r="F17" s="7"/>
      <c r="G17" s="7"/>
      <c r="H17" s="7"/>
      <c r="I17" s="7"/>
    </row>
    <row r="18" spans="1:9" ht="30" customHeight="1" x14ac:dyDescent="0.45">
      <c r="A18" s="1"/>
      <c r="B18" s="1"/>
      <c r="C18" s="1"/>
      <c r="D18" s="1"/>
      <c r="E18" s="1"/>
      <c r="F18" s="7"/>
      <c r="G18" s="7"/>
      <c r="H18" s="7"/>
      <c r="I18" s="57"/>
    </row>
    <row r="19" spans="1:9" ht="30" customHeight="1" x14ac:dyDescent="0.45">
      <c r="A19" s="1"/>
      <c r="B19" s="1"/>
      <c r="C19" s="1"/>
      <c r="D19" s="1"/>
      <c r="E19" s="1"/>
      <c r="F19" s="7"/>
      <c r="G19" s="7"/>
      <c r="H19" s="7"/>
      <c r="I19" s="57"/>
    </row>
    <row r="20" spans="1:9" ht="24.75" customHeight="1" x14ac:dyDescent="0.45">
      <c r="A20" s="1"/>
      <c r="B20" s="1"/>
      <c r="C20" s="1"/>
      <c r="D20" s="1"/>
      <c r="E20" s="1"/>
      <c r="F20" s="7"/>
      <c r="G20" s="7"/>
      <c r="H20" s="7"/>
      <c r="I20" s="7"/>
    </row>
    <row r="21" spans="1:9" ht="24.75" customHeight="1" x14ac:dyDescent="0.25">
      <c r="A21" s="53"/>
      <c r="B21" s="53"/>
      <c r="C21" s="53"/>
      <c r="D21" s="53"/>
      <c r="E21" s="53"/>
      <c r="F21" s="53"/>
      <c r="G21" s="53"/>
      <c r="H21" s="53"/>
      <c r="I21" s="53"/>
    </row>
    <row r="22" spans="1:9" ht="24.75" customHeight="1" x14ac:dyDescent="0.45">
      <c r="A22" s="1"/>
      <c r="B22" s="1"/>
      <c r="C22" s="1"/>
      <c r="D22" s="1"/>
      <c r="E22" s="1"/>
      <c r="F22" s="7"/>
      <c r="G22" s="7"/>
      <c r="H22" s="7"/>
      <c r="I22" s="7"/>
    </row>
    <row r="23" spans="1:9" ht="24.75" customHeight="1" x14ac:dyDescent="0.45">
      <c r="A23" s="1"/>
      <c r="B23" s="1"/>
      <c r="C23" s="1"/>
      <c r="D23" s="1"/>
      <c r="E23" s="1"/>
      <c r="F23" s="7"/>
      <c r="G23" s="7"/>
      <c r="H23" s="7"/>
      <c r="I23" s="7"/>
    </row>
    <row r="24" spans="1:9" ht="24.75" customHeight="1" x14ac:dyDescent="0.45">
      <c r="A24" s="1"/>
      <c r="B24" s="1"/>
      <c r="C24" s="1"/>
      <c r="D24" s="1"/>
      <c r="E24" s="1"/>
      <c r="F24" s="50"/>
      <c r="G24" s="50"/>
      <c r="H24" s="50"/>
      <c r="I24" s="50"/>
    </row>
    <row r="25" spans="1:9" ht="24.75" customHeight="1" x14ac:dyDescent="0.25">
      <c r="A25" s="1"/>
      <c r="B25" s="1"/>
      <c r="C25" s="1"/>
      <c r="D25" s="1"/>
      <c r="E25" s="1"/>
      <c r="G25" s="32"/>
      <c r="H25" s="32"/>
      <c r="I25" s="32"/>
    </row>
    <row r="26" spans="1:9" ht="24.75" customHeight="1" x14ac:dyDescent="0.25">
      <c r="A26" s="1"/>
      <c r="B26" s="1"/>
      <c r="C26" s="1"/>
      <c r="D26" s="1"/>
      <c r="E26" s="1"/>
      <c r="F26" s="32"/>
      <c r="G26" s="32"/>
      <c r="H26" s="32"/>
      <c r="I26" s="32"/>
    </row>
    <row r="27" spans="1:9" ht="24.75" customHeight="1" x14ac:dyDescent="0.25">
      <c r="A27" s="1"/>
      <c r="B27" s="1"/>
      <c r="C27" s="1"/>
      <c r="D27" s="1"/>
      <c r="E27" s="1"/>
      <c r="F27" s="32"/>
      <c r="G27" s="32"/>
      <c r="H27" s="32"/>
      <c r="I27" s="32"/>
    </row>
    <row r="28" spans="1:9" ht="24.75" customHeight="1" x14ac:dyDescent="0.25">
      <c r="A28" s="41"/>
      <c r="B28" s="48"/>
      <c r="C28" s="48"/>
      <c r="D28" s="48"/>
      <c r="E28" s="36"/>
      <c r="F28" s="32"/>
      <c r="G28" s="32"/>
      <c r="H28" s="32"/>
      <c r="I28" s="32"/>
    </row>
    <row r="29" spans="1:9" ht="24.75" customHeight="1" x14ac:dyDescent="0.25">
      <c r="A29" s="41"/>
      <c r="B29" s="48"/>
      <c r="C29" s="48"/>
      <c r="D29" s="48"/>
      <c r="E29" s="36"/>
      <c r="F29" s="32"/>
      <c r="G29" s="32"/>
      <c r="H29" s="32"/>
      <c r="I29" s="32"/>
    </row>
    <row r="30" spans="1:9" ht="24.75" customHeight="1" x14ac:dyDescent="0.25">
      <c r="A30" s="41"/>
      <c r="B30" s="48"/>
      <c r="C30" s="48"/>
      <c r="D30" s="48"/>
      <c r="E30" s="36"/>
      <c r="F30" s="12"/>
      <c r="G30" s="29"/>
      <c r="H30" s="29"/>
      <c r="I30" s="31"/>
    </row>
    <row r="31" spans="1:9" ht="24.75" customHeight="1" x14ac:dyDescent="0.25">
      <c r="A31" s="41"/>
      <c r="B31" s="48"/>
      <c r="C31" s="48"/>
      <c r="D31" s="48"/>
      <c r="E31" s="36"/>
      <c r="F31" s="12"/>
      <c r="G31" s="30"/>
      <c r="H31" s="33"/>
      <c r="I31" s="31"/>
    </row>
    <row r="32" spans="1:9" ht="24.75" customHeight="1" x14ac:dyDescent="0.25">
      <c r="A32" s="40"/>
      <c r="B32" s="30"/>
      <c r="C32" s="30"/>
      <c r="D32" s="30"/>
      <c r="E32" s="29"/>
      <c r="F32" s="29"/>
      <c r="G32" s="30"/>
      <c r="H32" s="33"/>
      <c r="I32" s="31"/>
    </row>
    <row r="33" spans="1:9" s="11" customFormat="1" ht="30" customHeight="1" x14ac:dyDescent="0.25">
      <c r="A33" s="28">
        <f>COUNTA(A6:A32)</f>
        <v>12</v>
      </c>
      <c r="B33" s="28">
        <f>SUM(B6:B32)</f>
        <v>54</v>
      </c>
      <c r="C33" s="28">
        <f>SUM(C6:C32)</f>
        <v>10</v>
      </c>
      <c r="D33" s="28">
        <f>SUM(D6:D32)</f>
        <v>27</v>
      </c>
      <c r="E33" s="28"/>
      <c r="F33" s="28">
        <f>COUNTA(F6:F32)</f>
        <v>7</v>
      </c>
      <c r="G33" s="28">
        <f>SUM(G6:G32)</f>
        <v>47</v>
      </c>
      <c r="H33" s="28">
        <f>SUM(H6:H32)</f>
        <v>0</v>
      </c>
      <c r="I33" s="28"/>
    </row>
    <row r="34" spans="1:9" ht="13.5" customHeight="1" x14ac:dyDescent="0.25"/>
    <row r="36" spans="1:9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9" ht="38.25" customHeight="1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9" s="21" customFormat="1" ht="24.75" customHeight="1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</row>
    <row r="39" spans="1:9" s="21" customFormat="1" ht="24.75" customHeight="1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</row>
    <row r="40" spans="1:9" s="21" customFormat="1" ht="24.75" customHeight="1" x14ac:dyDescent="0.25">
      <c r="A40" s="10"/>
      <c r="B40" s="20"/>
      <c r="C40" s="22"/>
      <c r="D40" s="22"/>
      <c r="E40" s="182"/>
      <c r="F40" s="183"/>
    </row>
    <row r="41" spans="1:9" s="21" customFormat="1" ht="24.75" customHeight="1" x14ac:dyDescent="0.25">
      <c r="A41" s="10"/>
      <c r="B41" s="20"/>
      <c r="C41" s="22"/>
      <c r="D41" s="22">
        <f>SUM(D38:D40)</f>
        <v>3</v>
      </c>
      <c r="E41" s="182"/>
      <c r="F41" s="183"/>
    </row>
    <row r="42" spans="1:9" s="21" customFormat="1" ht="24.75" customHeight="1" x14ac:dyDescent="0.25">
      <c r="A42"/>
      <c r="B42"/>
      <c r="C42"/>
      <c r="D42"/>
      <c r="E42"/>
      <c r="F42"/>
      <c r="G42"/>
    </row>
    <row r="43" spans="1:9" ht="21" customHeight="1" x14ac:dyDescent="0.25">
      <c r="F43"/>
    </row>
    <row r="44" spans="1:9" x14ac:dyDescent="0.25">
      <c r="F44"/>
    </row>
    <row r="45" spans="1:9" x14ac:dyDescent="0.25">
      <c r="F45"/>
    </row>
    <row r="46" spans="1:9" x14ac:dyDescent="0.25">
      <c r="F46"/>
    </row>
    <row r="58" spans="1:5" x14ac:dyDescent="0.25">
      <c r="A58" s="39" t="s">
        <v>60</v>
      </c>
      <c r="B58" s="35">
        <v>1</v>
      </c>
      <c r="C58" s="34">
        <v>0</v>
      </c>
      <c r="D58" s="34" t="s">
        <v>61</v>
      </c>
    </row>
    <row r="59" spans="1:5" ht="17.399999999999999" x14ac:dyDescent="0.3">
      <c r="A59" s="2" t="s">
        <v>62</v>
      </c>
      <c r="B59" s="35">
        <v>1</v>
      </c>
      <c r="C59" s="34">
        <v>0</v>
      </c>
      <c r="D59" s="2" t="s">
        <v>63</v>
      </c>
      <c r="E59" s="4"/>
    </row>
    <row r="60" spans="1:5" ht="17.399999999999999" x14ac:dyDescent="0.3">
      <c r="E60" s="4"/>
    </row>
    <row r="61" spans="1:5" ht="19.2" x14ac:dyDescent="0.45">
      <c r="A61" s="7" t="s">
        <v>64</v>
      </c>
      <c r="B61" s="7">
        <v>1</v>
      </c>
      <c r="C61" s="7">
        <v>0</v>
      </c>
      <c r="D61" s="7" t="s">
        <v>65</v>
      </c>
      <c r="E61" s="4"/>
    </row>
    <row r="62" spans="1:5" ht="17.399999999999999" x14ac:dyDescent="0.3">
      <c r="A62" s="3"/>
      <c r="E62" s="4"/>
    </row>
    <row r="63" spans="1:5" ht="19.2" x14ac:dyDescent="0.45">
      <c r="A63" s="9"/>
    </row>
    <row r="65" spans="5:5" ht="17.399999999999999" x14ac:dyDescent="0.3">
      <c r="E65" s="4"/>
    </row>
    <row r="66" spans="5:5" ht="17.399999999999999" x14ac:dyDescent="0.3">
      <c r="E66" s="4"/>
    </row>
    <row r="69" spans="5:5" ht="17.399999999999999" x14ac:dyDescent="0.3">
      <c r="E69" s="4"/>
    </row>
    <row r="70" spans="5:5" ht="17.399999999999999" x14ac:dyDescent="0.3">
      <c r="E70" s="4"/>
    </row>
  </sheetData>
  <mergeCells count="9">
    <mergeCell ref="E39:F39"/>
    <mergeCell ref="E40:F40"/>
    <mergeCell ref="E41:F41"/>
    <mergeCell ref="A1:I1"/>
    <mergeCell ref="A4:E4"/>
    <mergeCell ref="F4:I4"/>
    <mergeCell ref="A36:F36"/>
    <mergeCell ref="E37:F37"/>
    <mergeCell ref="E38:F3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7B71-4F01-45B9-9DDB-E2D2B2148636}">
  <dimension ref="A1:J70"/>
  <sheetViews>
    <sheetView workbookViewId="0">
      <selection activeCell="E7" sqref="E7:E12"/>
    </sheetView>
  </sheetViews>
  <sheetFormatPr defaultRowHeight="14.4" x14ac:dyDescent="0.25"/>
  <cols>
    <col min="1" max="1" width="32.33203125" customWidth="1"/>
    <col min="2" max="2" width="12.6640625" customWidth="1"/>
    <col min="3" max="3" width="10.6640625" customWidth="1"/>
    <col min="4" max="4" width="12.77734375" customWidth="1"/>
    <col min="5" max="5" width="35.6640625" customWidth="1"/>
    <col min="6" max="6" width="26.33203125" style="8" customWidth="1"/>
    <col min="7" max="7" width="12.6640625" customWidth="1"/>
    <col min="8" max="8" width="12.44140625" customWidth="1"/>
    <col min="9" max="9" width="35.6640625" customWidth="1"/>
  </cols>
  <sheetData>
    <row r="1" spans="1:10" ht="25.5" customHeight="1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21.75" customHeight="1" x14ac:dyDescent="0.25">
      <c r="A2" s="13" t="s">
        <v>1</v>
      </c>
      <c r="B2" s="14">
        <v>46268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0.5" customHeight="1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ht="21.75" customHeight="1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33" customHeight="1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s="37" customFormat="1" ht="27" customHeight="1" x14ac:dyDescent="0.45">
      <c r="A6" s="7" t="s">
        <v>820</v>
      </c>
      <c r="B6" s="7">
        <v>0</v>
      </c>
      <c r="C6" s="7">
        <v>1</v>
      </c>
      <c r="D6" s="7">
        <v>0</v>
      </c>
      <c r="E6" s="7" t="s">
        <v>821</v>
      </c>
      <c r="F6" s="7" t="s">
        <v>822</v>
      </c>
      <c r="G6" s="52">
        <v>1</v>
      </c>
      <c r="H6" s="52">
        <v>0</v>
      </c>
      <c r="I6" s="52" t="s">
        <v>823</v>
      </c>
      <c r="J6" s="38"/>
    </row>
    <row r="7" spans="1:10" s="37" customFormat="1" ht="27" customHeight="1" x14ac:dyDescent="0.45">
      <c r="A7" s="7" t="s">
        <v>801</v>
      </c>
      <c r="B7" s="7">
        <v>2</v>
      </c>
      <c r="C7" s="7">
        <v>0</v>
      </c>
      <c r="D7" s="7">
        <v>0</v>
      </c>
      <c r="E7" s="7" t="s">
        <v>824</v>
      </c>
      <c r="F7" s="56" t="s">
        <v>825</v>
      </c>
      <c r="G7" s="1">
        <v>1</v>
      </c>
      <c r="H7" s="1">
        <v>0</v>
      </c>
      <c r="I7" s="52" t="s">
        <v>826</v>
      </c>
      <c r="J7" s="38"/>
    </row>
    <row r="8" spans="1:10" s="37" customFormat="1" ht="38.25" customHeight="1" x14ac:dyDescent="0.45">
      <c r="A8" s="7" t="s">
        <v>782</v>
      </c>
      <c r="B8" s="7">
        <v>11</v>
      </c>
      <c r="C8" s="7">
        <v>0</v>
      </c>
      <c r="D8" s="7">
        <v>0</v>
      </c>
      <c r="E8" s="7" t="s">
        <v>827</v>
      </c>
      <c r="F8" s="56" t="s">
        <v>828</v>
      </c>
      <c r="G8" s="7">
        <v>10</v>
      </c>
      <c r="H8" s="7">
        <v>0</v>
      </c>
      <c r="I8" s="52" t="s">
        <v>829</v>
      </c>
      <c r="J8" s="38"/>
    </row>
    <row r="9" spans="1:10" s="21" customFormat="1" ht="27" customHeight="1" x14ac:dyDescent="0.45">
      <c r="A9" s="7" t="s">
        <v>584</v>
      </c>
      <c r="B9" s="7">
        <v>4</v>
      </c>
      <c r="C9" s="7">
        <v>0</v>
      </c>
      <c r="D9" s="7">
        <v>0</v>
      </c>
      <c r="E9" s="7" t="s">
        <v>830</v>
      </c>
      <c r="F9" s="56" t="s">
        <v>831</v>
      </c>
      <c r="G9" s="7">
        <v>3</v>
      </c>
      <c r="H9" s="7">
        <v>0</v>
      </c>
      <c r="I9" s="7" t="s">
        <v>832</v>
      </c>
    </row>
    <row r="10" spans="1:10" s="21" customFormat="1" ht="27" customHeight="1" x14ac:dyDescent="0.45">
      <c r="A10" s="7" t="s">
        <v>833</v>
      </c>
      <c r="B10" s="7">
        <v>1</v>
      </c>
      <c r="C10" s="7">
        <v>0</v>
      </c>
      <c r="D10" s="7">
        <v>0</v>
      </c>
      <c r="E10" s="7" t="s">
        <v>834</v>
      </c>
      <c r="F10" s="56" t="s">
        <v>835</v>
      </c>
      <c r="G10" s="7">
        <v>1</v>
      </c>
      <c r="H10" s="7">
        <v>0</v>
      </c>
      <c r="I10" s="7" t="s">
        <v>836</v>
      </c>
    </row>
    <row r="11" spans="1:10" s="21" customFormat="1" ht="27" customHeight="1" x14ac:dyDescent="0.45">
      <c r="A11" s="7" t="s">
        <v>804</v>
      </c>
      <c r="B11" s="7">
        <v>5</v>
      </c>
      <c r="C11" s="7">
        <v>0</v>
      </c>
      <c r="D11" s="7">
        <v>0</v>
      </c>
      <c r="E11" s="7" t="s">
        <v>837</v>
      </c>
      <c r="F11" s="56" t="s">
        <v>838</v>
      </c>
      <c r="G11" s="7">
        <v>2</v>
      </c>
      <c r="H11" s="7">
        <v>0</v>
      </c>
      <c r="I11" s="7" t="s">
        <v>839</v>
      </c>
    </row>
    <row r="12" spans="1:10" s="21" customFormat="1" ht="27" customHeight="1" x14ac:dyDescent="0.45">
      <c r="A12" s="7" t="s">
        <v>587</v>
      </c>
      <c r="B12" s="7">
        <v>2</v>
      </c>
      <c r="C12" s="7">
        <v>0</v>
      </c>
      <c r="D12" s="7">
        <v>2</v>
      </c>
      <c r="E12" s="7" t="s">
        <v>840</v>
      </c>
      <c r="F12" s="56" t="s">
        <v>841</v>
      </c>
      <c r="G12" s="7">
        <v>2</v>
      </c>
      <c r="H12" s="7">
        <v>0</v>
      </c>
      <c r="I12" s="52" t="s">
        <v>842</v>
      </c>
    </row>
    <row r="13" spans="1:10" s="21" customFormat="1" ht="30" customHeight="1" x14ac:dyDescent="0.45">
      <c r="A13" s="7"/>
      <c r="B13" s="7"/>
      <c r="C13" s="7"/>
      <c r="D13" s="7"/>
      <c r="E13" s="7"/>
      <c r="F13" s="56" t="s">
        <v>843</v>
      </c>
      <c r="G13" s="7">
        <v>1</v>
      </c>
      <c r="H13" s="7">
        <v>0</v>
      </c>
      <c r="I13" s="52" t="s">
        <v>844</v>
      </c>
    </row>
    <row r="14" spans="1:10" s="21" customFormat="1" ht="30" customHeight="1" x14ac:dyDescent="0.45">
      <c r="A14" s="7"/>
      <c r="B14" s="7"/>
      <c r="C14" s="7"/>
      <c r="D14" s="7"/>
      <c r="E14" s="7"/>
      <c r="F14" s="1" t="s">
        <v>833</v>
      </c>
      <c r="G14" s="7">
        <v>1</v>
      </c>
      <c r="H14" s="7">
        <v>0</v>
      </c>
      <c r="I14" s="52" t="s">
        <v>845</v>
      </c>
    </row>
    <row r="15" spans="1:10" ht="30" customHeight="1" x14ac:dyDescent="0.45">
      <c r="A15" s="50"/>
      <c r="B15" s="50"/>
      <c r="C15" s="50"/>
      <c r="D15" s="50"/>
      <c r="E15" s="50"/>
      <c r="F15" s="50"/>
      <c r="G15" s="50"/>
      <c r="H15" s="50"/>
      <c r="I15" s="50"/>
    </row>
    <row r="16" spans="1:10" ht="30" customHeight="1" x14ac:dyDescent="0.45">
      <c r="A16" s="7"/>
      <c r="B16" s="7"/>
      <c r="C16" s="7"/>
      <c r="D16" s="7"/>
      <c r="E16" s="7"/>
      <c r="F16" s="7"/>
      <c r="G16" s="7"/>
      <c r="H16" s="7"/>
      <c r="I16" s="7"/>
    </row>
    <row r="17" spans="1:9" ht="30" customHeight="1" x14ac:dyDescent="0.45">
      <c r="A17" s="7"/>
      <c r="B17" s="7"/>
      <c r="C17" s="7"/>
      <c r="D17" s="7"/>
      <c r="E17" s="7"/>
      <c r="F17" s="7"/>
      <c r="G17" s="7"/>
      <c r="H17" s="7"/>
      <c r="I17" s="7"/>
    </row>
    <row r="18" spans="1:9" ht="30" customHeight="1" x14ac:dyDescent="0.45">
      <c r="A18" s="1"/>
      <c r="B18" s="1"/>
      <c r="C18" s="1"/>
      <c r="D18" s="1"/>
      <c r="E18" s="1"/>
      <c r="F18" s="7"/>
      <c r="G18" s="7"/>
      <c r="H18" s="7"/>
      <c r="I18" s="57"/>
    </row>
    <row r="19" spans="1:9" ht="30" customHeight="1" x14ac:dyDescent="0.45">
      <c r="A19" s="1"/>
      <c r="B19" s="1"/>
      <c r="C19" s="1"/>
      <c r="D19" s="1"/>
      <c r="E19" s="1"/>
      <c r="F19" s="7"/>
      <c r="G19" s="7"/>
      <c r="H19" s="7"/>
      <c r="I19" s="57"/>
    </row>
    <row r="20" spans="1:9" ht="24.75" customHeight="1" x14ac:dyDescent="0.45">
      <c r="A20" s="1"/>
      <c r="B20" s="1"/>
      <c r="C20" s="1"/>
      <c r="D20" s="1"/>
      <c r="E20" s="1"/>
      <c r="F20" s="7"/>
      <c r="G20" s="7"/>
      <c r="H20" s="7"/>
      <c r="I20" s="7"/>
    </row>
    <row r="21" spans="1:9" ht="24.75" customHeight="1" x14ac:dyDescent="0.25">
      <c r="A21" s="53"/>
      <c r="B21" s="53"/>
      <c r="C21" s="53"/>
      <c r="D21" s="53"/>
      <c r="E21" s="53"/>
      <c r="F21" s="53"/>
      <c r="G21" s="53"/>
      <c r="H21" s="53"/>
      <c r="I21" s="53"/>
    </row>
    <row r="22" spans="1:9" ht="24.75" customHeight="1" x14ac:dyDescent="0.45">
      <c r="A22" s="1"/>
      <c r="B22" s="1"/>
      <c r="C22" s="1"/>
      <c r="D22" s="1"/>
      <c r="E22" s="1"/>
      <c r="F22" s="7"/>
      <c r="G22" s="7"/>
      <c r="H22" s="7"/>
      <c r="I22" s="7"/>
    </row>
    <row r="23" spans="1:9" ht="24.75" customHeight="1" x14ac:dyDescent="0.45">
      <c r="A23" s="1"/>
      <c r="B23" s="1"/>
      <c r="C23" s="1"/>
      <c r="D23" s="1"/>
      <c r="E23" s="1"/>
      <c r="F23" s="7"/>
      <c r="G23" s="7"/>
      <c r="H23" s="7"/>
      <c r="I23" s="7"/>
    </row>
    <row r="24" spans="1:9" ht="24.75" customHeight="1" x14ac:dyDescent="0.45">
      <c r="A24" s="1"/>
      <c r="B24" s="1"/>
      <c r="C24" s="1"/>
      <c r="D24" s="1"/>
      <c r="E24" s="1"/>
      <c r="F24" s="50"/>
      <c r="G24" s="50"/>
      <c r="H24" s="50"/>
      <c r="I24" s="50"/>
    </row>
    <row r="25" spans="1:9" ht="24.75" customHeight="1" x14ac:dyDescent="0.25">
      <c r="A25" s="1"/>
      <c r="B25" s="1"/>
      <c r="C25" s="1"/>
      <c r="D25" s="1"/>
      <c r="E25" s="1"/>
      <c r="G25" s="32"/>
      <c r="H25" s="32"/>
      <c r="I25" s="32"/>
    </row>
    <row r="26" spans="1:9" ht="24.75" customHeight="1" x14ac:dyDescent="0.25">
      <c r="A26" s="1"/>
      <c r="B26" s="1"/>
      <c r="C26" s="1"/>
      <c r="D26" s="1"/>
      <c r="E26" s="1"/>
      <c r="F26" s="32"/>
      <c r="G26" s="32"/>
      <c r="H26" s="32"/>
      <c r="I26" s="32"/>
    </row>
    <row r="27" spans="1:9" ht="24.75" customHeight="1" x14ac:dyDescent="0.25">
      <c r="A27" s="1"/>
      <c r="B27" s="1"/>
      <c r="C27" s="1"/>
      <c r="D27" s="1"/>
      <c r="E27" s="1"/>
      <c r="F27" s="32"/>
      <c r="G27" s="32"/>
      <c r="H27" s="32"/>
      <c r="I27" s="32"/>
    </row>
    <row r="28" spans="1:9" ht="24.75" customHeight="1" x14ac:dyDescent="0.25">
      <c r="A28" s="41"/>
      <c r="B28" s="48"/>
      <c r="C28" s="48"/>
      <c r="D28" s="48"/>
      <c r="E28" s="36"/>
      <c r="F28" s="32"/>
      <c r="G28" s="32"/>
      <c r="H28" s="32"/>
      <c r="I28" s="32"/>
    </row>
    <row r="29" spans="1:9" ht="24.75" customHeight="1" x14ac:dyDescent="0.25">
      <c r="A29" s="41"/>
      <c r="B29" s="48"/>
      <c r="C29" s="48"/>
      <c r="D29" s="48"/>
      <c r="E29" s="36"/>
      <c r="F29" s="32"/>
      <c r="G29" s="32"/>
      <c r="H29" s="32"/>
      <c r="I29" s="32"/>
    </row>
    <row r="30" spans="1:9" ht="24.75" customHeight="1" x14ac:dyDescent="0.25">
      <c r="A30" s="41"/>
      <c r="B30" s="48"/>
      <c r="C30" s="48"/>
      <c r="D30" s="48"/>
      <c r="E30" s="36"/>
      <c r="F30" s="12"/>
      <c r="G30" s="29"/>
      <c r="H30" s="29"/>
      <c r="I30" s="31"/>
    </row>
    <row r="31" spans="1:9" ht="24.75" customHeight="1" x14ac:dyDescent="0.25">
      <c r="A31" s="41"/>
      <c r="B31" s="48"/>
      <c r="C31" s="48"/>
      <c r="D31" s="48"/>
      <c r="E31" s="36"/>
      <c r="F31" s="12"/>
      <c r="G31" s="30"/>
      <c r="H31" s="33"/>
      <c r="I31" s="31"/>
    </row>
    <row r="32" spans="1:9" ht="24.75" customHeight="1" x14ac:dyDescent="0.25">
      <c r="A32" s="40"/>
      <c r="B32" s="30"/>
      <c r="C32" s="30"/>
      <c r="D32" s="30"/>
      <c r="E32" s="29"/>
      <c r="F32" s="29"/>
      <c r="G32" s="30"/>
      <c r="H32" s="33"/>
      <c r="I32" s="31"/>
    </row>
    <row r="33" spans="1:9" s="11" customFormat="1" ht="30" customHeight="1" x14ac:dyDescent="0.25">
      <c r="A33" s="28">
        <f>COUNTA(A6:A32)</f>
        <v>7</v>
      </c>
      <c r="B33" s="28">
        <f>SUM(B6:B32)</f>
        <v>25</v>
      </c>
      <c r="C33" s="28">
        <f>SUM(C6:C32)</f>
        <v>1</v>
      </c>
      <c r="D33" s="28">
        <f>SUM(D6:D32)</f>
        <v>2</v>
      </c>
      <c r="E33" s="28"/>
      <c r="F33" s="28">
        <f>COUNTA(F6:F32)</f>
        <v>9</v>
      </c>
      <c r="G33" s="28">
        <f>SUM(G6:G32)</f>
        <v>22</v>
      </c>
      <c r="H33" s="28">
        <f>SUM(H6:H32)</f>
        <v>0</v>
      </c>
      <c r="I33" s="28"/>
    </row>
    <row r="34" spans="1:9" ht="13.5" customHeight="1" x14ac:dyDescent="0.25"/>
    <row r="36" spans="1:9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9" ht="38.25" customHeight="1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9" s="21" customFormat="1" ht="24.75" customHeight="1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</row>
    <row r="39" spans="1:9" s="21" customFormat="1" ht="24.75" customHeight="1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</row>
    <row r="40" spans="1:9" s="21" customFormat="1" ht="24.75" customHeight="1" x14ac:dyDescent="0.25">
      <c r="A40" s="10"/>
      <c r="B40" s="20"/>
      <c r="C40" s="22"/>
      <c r="D40" s="22"/>
      <c r="E40" s="182"/>
      <c r="F40" s="183"/>
    </row>
    <row r="41" spans="1:9" s="21" customFormat="1" ht="24.75" customHeight="1" x14ac:dyDescent="0.25">
      <c r="A41" s="10"/>
      <c r="B41" s="20"/>
      <c r="C41" s="22"/>
      <c r="D41" s="22">
        <f>SUM(D38:D40)</f>
        <v>3</v>
      </c>
      <c r="E41" s="182"/>
      <c r="F41" s="183"/>
    </row>
    <row r="42" spans="1:9" s="21" customFormat="1" ht="24.75" customHeight="1" x14ac:dyDescent="0.25">
      <c r="A42"/>
      <c r="B42"/>
      <c r="C42"/>
      <c r="D42"/>
      <c r="E42"/>
      <c r="F42"/>
      <c r="G42"/>
    </row>
    <row r="43" spans="1:9" ht="21" customHeight="1" x14ac:dyDescent="0.25">
      <c r="F43"/>
    </row>
    <row r="44" spans="1:9" x14ac:dyDescent="0.25">
      <c r="F44"/>
    </row>
    <row r="45" spans="1:9" x14ac:dyDescent="0.25">
      <c r="F45"/>
    </row>
    <row r="46" spans="1:9" x14ac:dyDescent="0.25">
      <c r="F46"/>
    </row>
    <row r="58" spans="1:5" x14ac:dyDescent="0.25">
      <c r="A58" s="39" t="s">
        <v>60</v>
      </c>
      <c r="B58" s="35">
        <v>1</v>
      </c>
      <c r="C58" s="34">
        <v>0</v>
      </c>
      <c r="D58" s="34" t="s">
        <v>61</v>
      </c>
    </row>
    <row r="59" spans="1:5" ht="17.399999999999999" x14ac:dyDescent="0.3">
      <c r="A59" s="2" t="s">
        <v>62</v>
      </c>
      <c r="B59" s="35">
        <v>1</v>
      </c>
      <c r="C59" s="34">
        <v>0</v>
      </c>
      <c r="D59" s="2" t="s">
        <v>63</v>
      </c>
      <c r="E59" s="4"/>
    </row>
    <row r="60" spans="1:5" ht="17.399999999999999" x14ac:dyDescent="0.3">
      <c r="A60" s="51" t="s">
        <v>811</v>
      </c>
      <c r="E60" s="4"/>
    </row>
    <row r="61" spans="1:5" ht="19.2" x14ac:dyDescent="0.45">
      <c r="A61" s="7" t="s">
        <v>64</v>
      </c>
      <c r="B61" s="7">
        <v>1</v>
      </c>
      <c r="C61" s="7">
        <v>0</v>
      </c>
      <c r="D61" s="7" t="s">
        <v>65</v>
      </c>
      <c r="E61" s="4"/>
    </row>
    <row r="62" spans="1:5" ht="17.399999999999999" x14ac:dyDescent="0.3">
      <c r="A62" s="3"/>
      <c r="E62" s="4"/>
    </row>
    <row r="63" spans="1:5" ht="19.2" x14ac:dyDescent="0.45">
      <c r="A63" s="9"/>
    </row>
    <row r="65" spans="5:5" ht="17.399999999999999" x14ac:dyDescent="0.3">
      <c r="E65" s="4"/>
    </row>
    <row r="66" spans="5:5" ht="17.399999999999999" x14ac:dyDescent="0.3">
      <c r="E66" s="4"/>
    </row>
    <row r="69" spans="5:5" ht="17.399999999999999" x14ac:dyDescent="0.3">
      <c r="E69" s="4"/>
    </row>
    <row r="70" spans="5:5" ht="17.399999999999999" x14ac:dyDescent="0.3">
      <c r="E70" s="4"/>
    </row>
  </sheetData>
  <mergeCells count="9">
    <mergeCell ref="E39:F39"/>
    <mergeCell ref="E40:F40"/>
    <mergeCell ref="E41:F41"/>
    <mergeCell ref="A1:I1"/>
    <mergeCell ref="A4:E4"/>
    <mergeCell ref="F4:I4"/>
    <mergeCell ref="A36:F36"/>
    <mergeCell ref="E37:F37"/>
    <mergeCell ref="E38:F3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9B48-24E8-4020-BEF2-B50874D8ADB7}">
  <dimension ref="A1:J70"/>
  <sheetViews>
    <sheetView workbookViewId="0">
      <selection activeCell="B2" sqref="B2"/>
    </sheetView>
  </sheetViews>
  <sheetFormatPr defaultRowHeight="14.4" x14ac:dyDescent="0.25"/>
  <cols>
    <col min="1" max="1" width="32.33203125" customWidth="1"/>
    <col min="2" max="2" width="12.6640625" customWidth="1"/>
    <col min="3" max="3" width="10.6640625" customWidth="1"/>
    <col min="4" max="4" width="12.77734375" customWidth="1"/>
    <col min="5" max="5" width="35.6640625" customWidth="1"/>
    <col min="6" max="6" width="26.33203125" style="8" customWidth="1"/>
    <col min="7" max="7" width="12.6640625" customWidth="1"/>
    <col min="8" max="8" width="12.44140625" customWidth="1"/>
    <col min="9" max="9" width="35.6640625" customWidth="1"/>
  </cols>
  <sheetData>
    <row r="1" spans="1:10" ht="25.5" customHeight="1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21.75" customHeight="1" x14ac:dyDescent="0.25">
      <c r="A2" s="13" t="s">
        <v>1</v>
      </c>
      <c r="B2" s="14">
        <v>46267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0.5" customHeight="1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ht="21.75" customHeight="1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33" customHeight="1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s="37" customFormat="1" ht="27" customHeight="1" x14ac:dyDescent="0.45">
      <c r="A6" s="7" t="s">
        <v>846</v>
      </c>
      <c r="B6" s="7">
        <v>17</v>
      </c>
      <c r="C6" s="7">
        <v>0</v>
      </c>
      <c r="D6" s="7">
        <v>0</v>
      </c>
      <c r="E6" s="7" t="s">
        <v>847</v>
      </c>
      <c r="F6" s="52" t="s">
        <v>848</v>
      </c>
      <c r="G6" s="52">
        <v>1</v>
      </c>
      <c r="H6" s="52">
        <v>0</v>
      </c>
      <c r="I6" s="54" t="s">
        <v>849</v>
      </c>
      <c r="J6" s="38"/>
    </row>
    <row r="7" spans="1:10" s="37" customFormat="1" ht="27" customHeight="1" x14ac:dyDescent="0.45">
      <c r="A7" s="7" t="s">
        <v>669</v>
      </c>
      <c r="B7" s="7">
        <v>0</v>
      </c>
      <c r="C7" s="7">
        <v>1</v>
      </c>
      <c r="D7" s="7">
        <v>0</v>
      </c>
      <c r="E7" s="55" t="s">
        <v>850</v>
      </c>
      <c r="F7" s="56" t="s">
        <v>851</v>
      </c>
      <c r="G7" s="1">
        <v>4</v>
      </c>
      <c r="H7" s="1">
        <v>0</v>
      </c>
      <c r="I7" s="52" t="s">
        <v>852</v>
      </c>
      <c r="J7" s="38"/>
    </row>
    <row r="8" spans="1:10" s="37" customFormat="1" ht="38.25" customHeight="1" x14ac:dyDescent="0.45">
      <c r="A8" s="7" t="s">
        <v>853</v>
      </c>
      <c r="B8" s="7">
        <v>1</v>
      </c>
      <c r="C8" s="7">
        <v>0</v>
      </c>
      <c r="D8" s="7">
        <v>0</v>
      </c>
      <c r="E8" s="7" t="s">
        <v>854</v>
      </c>
      <c r="F8" s="7" t="s">
        <v>855</v>
      </c>
      <c r="G8" s="7">
        <v>7</v>
      </c>
      <c r="H8" s="7">
        <v>0</v>
      </c>
      <c r="I8" s="7" t="s">
        <v>856</v>
      </c>
      <c r="J8" s="38"/>
    </row>
    <row r="9" spans="1:10" s="21" customFormat="1" ht="27" customHeight="1" x14ac:dyDescent="0.45">
      <c r="A9" s="7"/>
      <c r="B9" s="7"/>
      <c r="C9" s="7"/>
      <c r="D9" s="7"/>
      <c r="E9" s="7"/>
      <c r="F9" s="7" t="s">
        <v>846</v>
      </c>
      <c r="G9" s="7">
        <v>17</v>
      </c>
      <c r="H9" s="7">
        <v>0</v>
      </c>
      <c r="I9" s="7" t="s">
        <v>847</v>
      </c>
    </row>
    <row r="10" spans="1:10" s="21" customFormat="1" ht="27" customHeight="1" x14ac:dyDescent="0.45">
      <c r="A10" s="7"/>
      <c r="B10" s="7"/>
      <c r="C10" s="7"/>
      <c r="D10" s="7"/>
      <c r="E10" s="7"/>
      <c r="F10" s="7" t="s">
        <v>857</v>
      </c>
      <c r="G10" s="7">
        <v>1</v>
      </c>
      <c r="H10" s="7">
        <v>0</v>
      </c>
      <c r="I10" s="7" t="s">
        <v>858</v>
      </c>
    </row>
    <row r="11" spans="1:10" s="21" customFormat="1" ht="27" customHeight="1" x14ac:dyDescent="0.45">
      <c r="A11" s="7"/>
      <c r="B11" s="7"/>
      <c r="C11" s="7"/>
      <c r="D11" s="7"/>
      <c r="E11" s="7"/>
      <c r="F11" s="7" t="s">
        <v>859</v>
      </c>
      <c r="G11" s="7">
        <v>1</v>
      </c>
      <c r="H11" s="7">
        <v>0</v>
      </c>
      <c r="I11" s="7" t="s">
        <v>860</v>
      </c>
    </row>
    <row r="12" spans="1:10" s="21" customFormat="1" ht="27" customHeight="1" x14ac:dyDescent="0.45">
      <c r="A12" s="7"/>
      <c r="B12" s="7"/>
      <c r="C12" s="7"/>
      <c r="D12" s="7"/>
      <c r="E12" s="7"/>
      <c r="F12" s="7" t="s">
        <v>861</v>
      </c>
      <c r="G12" s="7">
        <v>1</v>
      </c>
      <c r="H12" s="7">
        <v>0</v>
      </c>
      <c r="I12" s="7" t="s">
        <v>862</v>
      </c>
    </row>
    <row r="13" spans="1:10" s="21" customFormat="1" ht="30" customHeight="1" x14ac:dyDescent="0.45">
      <c r="A13" s="7"/>
      <c r="B13" s="7"/>
      <c r="C13" s="7"/>
      <c r="D13" s="7"/>
      <c r="E13" s="7"/>
      <c r="F13" s="7" t="s">
        <v>863</v>
      </c>
      <c r="G13" s="7">
        <v>1</v>
      </c>
      <c r="H13" s="7">
        <v>0</v>
      </c>
      <c r="I13" s="7" t="s">
        <v>864</v>
      </c>
    </row>
    <row r="14" spans="1:10" s="21" customFormat="1" ht="30" customHeight="1" x14ac:dyDescent="0.45">
      <c r="A14" s="7"/>
      <c r="B14" s="7"/>
      <c r="C14" s="7"/>
      <c r="D14" s="7"/>
      <c r="E14" s="7"/>
      <c r="F14" s="7" t="s">
        <v>865</v>
      </c>
      <c r="G14" s="7">
        <v>1</v>
      </c>
      <c r="H14" s="7">
        <v>0</v>
      </c>
      <c r="I14" s="7" t="s">
        <v>866</v>
      </c>
    </row>
    <row r="15" spans="1:10" ht="30" customHeight="1" x14ac:dyDescent="0.45">
      <c r="A15" s="7"/>
      <c r="B15" s="7"/>
      <c r="C15" s="7"/>
      <c r="D15" s="7"/>
      <c r="E15" s="7"/>
      <c r="F15" s="7" t="s">
        <v>867</v>
      </c>
      <c r="G15" s="7">
        <v>1</v>
      </c>
      <c r="H15" s="7">
        <v>0</v>
      </c>
      <c r="I15" s="7" t="s">
        <v>868</v>
      </c>
    </row>
    <row r="16" spans="1:10" ht="30" customHeight="1" x14ac:dyDescent="0.45">
      <c r="A16" s="7"/>
      <c r="B16" s="7"/>
      <c r="C16" s="7"/>
      <c r="D16" s="7"/>
      <c r="E16" s="7"/>
      <c r="F16" s="7" t="s">
        <v>869</v>
      </c>
      <c r="G16" s="7">
        <v>3</v>
      </c>
      <c r="H16" s="7">
        <v>0</v>
      </c>
      <c r="I16" s="7" t="s">
        <v>870</v>
      </c>
    </row>
    <row r="17" spans="1:9" ht="30" customHeight="1" x14ac:dyDescent="0.45">
      <c r="A17" s="7"/>
      <c r="B17" s="7"/>
      <c r="C17" s="7"/>
      <c r="D17" s="7"/>
      <c r="E17" s="7"/>
      <c r="F17" s="7" t="s">
        <v>871</v>
      </c>
      <c r="G17" s="7">
        <v>6</v>
      </c>
      <c r="H17" s="7">
        <v>0</v>
      </c>
      <c r="I17" s="7" t="s">
        <v>872</v>
      </c>
    </row>
    <row r="18" spans="1:9" ht="30" customHeight="1" x14ac:dyDescent="0.45">
      <c r="A18" s="1"/>
      <c r="B18" s="1"/>
      <c r="C18" s="1"/>
      <c r="D18" s="1"/>
      <c r="E18" s="1"/>
      <c r="F18" s="7" t="s">
        <v>873</v>
      </c>
      <c r="G18" s="7">
        <v>1</v>
      </c>
      <c r="H18" s="7">
        <v>0</v>
      </c>
      <c r="I18" s="57" t="s">
        <v>849</v>
      </c>
    </row>
    <row r="19" spans="1:9" ht="30" customHeight="1" x14ac:dyDescent="0.45">
      <c r="A19" s="1"/>
      <c r="B19" s="1"/>
      <c r="C19" s="1"/>
      <c r="D19" s="1"/>
      <c r="E19" s="1"/>
      <c r="F19" s="7"/>
      <c r="G19" s="7"/>
      <c r="H19" s="7"/>
      <c r="I19" s="57"/>
    </row>
    <row r="20" spans="1:9" ht="24.75" customHeight="1" x14ac:dyDescent="0.45">
      <c r="A20" s="1"/>
      <c r="B20" s="1"/>
      <c r="C20" s="1"/>
      <c r="D20" s="1"/>
      <c r="E20" s="1"/>
      <c r="F20" s="7"/>
      <c r="G20" s="7"/>
      <c r="H20" s="7"/>
      <c r="I20" s="7"/>
    </row>
    <row r="21" spans="1:9" ht="24.75" customHeight="1" x14ac:dyDescent="0.25">
      <c r="A21" s="53"/>
      <c r="B21" s="53"/>
      <c r="C21" s="53"/>
      <c r="D21" s="53"/>
      <c r="E21" s="53"/>
      <c r="F21" s="53"/>
      <c r="G21" s="53"/>
      <c r="H21" s="53"/>
      <c r="I21" s="53"/>
    </row>
    <row r="22" spans="1:9" ht="24.75" customHeight="1" x14ac:dyDescent="0.45">
      <c r="A22" s="1"/>
      <c r="B22" s="1"/>
      <c r="C22" s="1"/>
      <c r="D22" s="1"/>
      <c r="E22" s="1"/>
      <c r="F22" s="7"/>
      <c r="G22" s="7"/>
      <c r="H22" s="7"/>
      <c r="I22" s="7"/>
    </row>
    <row r="23" spans="1:9" ht="24.75" customHeight="1" x14ac:dyDescent="0.45">
      <c r="A23" s="1"/>
      <c r="B23" s="1"/>
      <c r="C23" s="1"/>
      <c r="D23" s="1"/>
      <c r="E23" s="1"/>
      <c r="F23" s="7"/>
      <c r="G23" s="7"/>
      <c r="H23" s="7"/>
      <c r="I23" s="7"/>
    </row>
    <row r="24" spans="1:9" ht="24.75" customHeight="1" x14ac:dyDescent="0.45">
      <c r="A24" s="1"/>
      <c r="B24" s="1"/>
      <c r="C24" s="1"/>
      <c r="D24" s="1"/>
      <c r="E24" s="1"/>
      <c r="F24" s="50"/>
      <c r="G24" s="50"/>
      <c r="H24" s="50"/>
      <c r="I24" s="50"/>
    </row>
    <row r="25" spans="1:9" ht="24.75" customHeight="1" x14ac:dyDescent="0.25">
      <c r="A25" s="1"/>
      <c r="B25" s="1"/>
      <c r="C25" s="1"/>
      <c r="D25" s="1"/>
      <c r="E25" s="1"/>
      <c r="G25" s="32"/>
      <c r="H25" s="32"/>
      <c r="I25" s="32"/>
    </row>
    <row r="26" spans="1:9" ht="24.75" customHeight="1" x14ac:dyDescent="0.25">
      <c r="A26" s="1"/>
      <c r="B26" s="1"/>
      <c r="C26" s="1"/>
      <c r="D26" s="1"/>
      <c r="E26" s="1"/>
      <c r="F26" s="32"/>
      <c r="G26" s="32"/>
      <c r="H26" s="32"/>
      <c r="I26" s="32"/>
    </row>
    <row r="27" spans="1:9" ht="24.75" customHeight="1" x14ac:dyDescent="0.25">
      <c r="A27" s="1"/>
      <c r="B27" s="1"/>
      <c r="C27" s="1"/>
      <c r="D27" s="1"/>
      <c r="E27" s="1"/>
      <c r="F27" s="32"/>
      <c r="G27" s="32"/>
      <c r="H27" s="32"/>
      <c r="I27" s="32"/>
    </row>
    <row r="28" spans="1:9" ht="24.75" customHeight="1" x14ac:dyDescent="0.25">
      <c r="A28" s="41"/>
      <c r="B28" s="48"/>
      <c r="C28" s="48"/>
      <c r="D28" s="48"/>
      <c r="E28" s="36"/>
      <c r="F28" s="32"/>
      <c r="G28" s="32"/>
      <c r="H28" s="32"/>
      <c r="I28" s="32"/>
    </row>
    <row r="29" spans="1:9" ht="24.75" customHeight="1" x14ac:dyDescent="0.25">
      <c r="A29" s="41"/>
      <c r="B29" s="48"/>
      <c r="C29" s="48"/>
      <c r="D29" s="48"/>
      <c r="E29" s="36"/>
      <c r="F29" s="32"/>
      <c r="G29" s="32"/>
      <c r="H29" s="32"/>
      <c r="I29" s="32"/>
    </row>
    <row r="30" spans="1:9" ht="24.75" customHeight="1" x14ac:dyDescent="0.25">
      <c r="A30" s="41"/>
      <c r="B30" s="48"/>
      <c r="C30" s="48"/>
      <c r="D30" s="48"/>
      <c r="E30" s="36"/>
      <c r="F30" s="12"/>
      <c r="G30" s="29"/>
      <c r="H30" s="29"/>
      <c r="I30" s="31"/>
    </row>
    <row r="31" spans="1:9" ht="24.75" customHeight="1" x14ac:dyDescent="0.25">
      <c r="A31" s="41"/>
      <c r="B31" s="48"/>
      <c r="C31" s="48"/>
      <c r="D31" s="48"/>
      <c r="E31" s="36"/>
      <c r="F31" s="12"/>
      <c r="G31" s="30"/>
      <c r="H31" s="33"/>
      <c r="I31" s="31"/>
    </row>
    <row r="32" spans="1:9" ht="24.75" customHeight="1" x14ac:dyDescent="0.25">
      <c r="A32" s="40"/>
      <c r="B32" s="30"/>
      <c r="C32" s="30"/>
      <c r="D32" s="30"/>
      <c r="E32" s="29"/>
      <c r="F32" s="29"/>
      <c r="G32" s="30"/>
      <c r="H32" s="33"/>
      <c r="I32" s="31"/>
    </row>
    <row r="33" spans="1:9" s="11" customFormat="1" ht="30" customHeight="1" x14ac:dyDescent="0.25">
      <c r="A33" s="28">
        <f>COUNTA(A6:A32)</f>
        <v>3</v>
      </c>
      <c r="B33" s="28">
        <f>SUM(B6:B32)</f>
        <v>18</v>
      </c>
      <c r="C33" s="28">
        <f>SUM(C6:C32)</f>
        <v>1</v>
      </c>
      <c r="D33" s="28">
        <f>SUM(D6:D32)</f>
        <v>0</v>
      </c>
      <c r="E33" s="28"/>
      <c r="F33" s="28">
        <f>COUNTA(F6:F32)</f>
        <v>13</v>
      </c>
      <c r="G33" s="28">
        <f>SUM(G6:G32)</f>
        <v>45</v>
      </c>
      <c r="H33" s="28">
        <f>SUM(H6:H32)</f>
        <v>0</v>
      </c>
      <c r="I33" s="28"/>
    </row>
    <row r="34" spans="1:9" ht="13.5" customHeight="1" x14ac:dyDescent="0.25"/>
    <row r="36" spans="1:9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9" ht="38.25" customHeight="1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9" s="21" customFormat="1" ht="24.75" customHeight="1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</row>
    <row r="39" spans="1:9" s="21" customFormat="1" ht="24.75" customHeight="1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</row>
    <row r="40" spans="1:9" s="21" customFormat="1" ht="24.75" customHeight="1" x14ac:dyDescent="0.25">
      <c r="A40" s="10"/>
      <c r="B40" s="20"/>
      <c r="C40" s="22"/>
      <c r="D40" s="22"/>
      <c r="E40" s="182"/>
      <c r="F40" s="183"/>
    </row>
    <row r="41" spans="1:9" s="21" customFormat="1" ht="24.75" customHeight="1" x14ac:dyDescent="0.25">
      <c r="A41" s="10"/>
      <c r="B41" s="20"/>
      <c r="C41" s="22"/>
      <c r="D41" s="22">
        <f>SUM(D38:D40)</f>
        <v>3</v>
      </c>
      <c r="E41" s="182"/>
      <c r="F41" s="183"/>
    </row>
    <row r="42" spans="1:9" s="21" customFormat="1" ht="24.75" customHeight="1" x14ac:dyDescent="0.25">
      <c r="A42"/>
      <c r="B42"/>
      <c r="C42"/>
      <c r="D42"/>
      <c r="E42"/>
      <c r="F42"/>
      <c r="G42"/>
    </row>
    <row r="43" spans="1:9" ht="21" customHeight="1" x14ac:dyDescent="0.25">
      <c r="F43"/>
    </row>
    <row r="44" spans="1:9" x14ac:dyDescent="0.25">
      <c r="F44"/>
    </row>
    <row r="45" spans="1:9" x14ac:dyDescent="0.25">
      <c r="F45"/>
    </row>
    <row r="46" spans="1:9" x14ac:dyDescent="0.25">
      <c r="F46"/>
    </row>
    <row r="58" spans="1:5" x14ac:dyDescent="0.25">
      <c r="A58" s="39" t="s">
        <v>60</v>
      </c>
      <c r="B58" s="35">
        <v>1</v>
      </c>
      <c r="C58" s="34">
        <v>0</v>
      </c>
      <c r="D58" s="34" t="s">
        <v>61</v>
      </c>
    </row>
    <row r="59" spans="1:5" ht="17.399999999999999" x14ac:dyDescent="0.3">
      <c r="A59" s="2" t="s">
        <v>62</v>
      </c>
      <c r="B59" s="35">
        <v>1</v>
      </c>
      <c r="C59" s="34">
        <v>0</v>
      </c>
      <c r="D59" s="2" t="s">
        <v>63</v>
      </c>
      <c r="E59" s="4"/>
    </row>
    <row r="60" spans="1:5" ht="17.399999999999999" x14ac:dyDescent="0.3">
      <c r="A60" s="51" t="s">
        <v>811</v>
      </c>
      <c r="E60" s="4"/>
    </row>
    <row r="61" spans="1:5" ht="19.2" x14ac:dyDescent="0.45">
      <c r="A61" s="7" t="s">
        <v>64</v>
      </c>
      <c r="B61" s="7">
        <v>1</v>
      </c>
      <c r="C61" s="7">
        <v>0</v>
      </c>
      <c r="D61" s="7" t="s">
        <v>65</v>
      </c>
      <c r="E61" s="4"/>
    </row>
    <row r="62" spans="1:5" ht="17.399999999999999" x14ac:dyDescent="0.3">
      <c r="A62" s="3"/>
      <c r="E62" s="4"/>
    </row>
    <row r="63" spans="1:5" ht="19.2" x14ac:dyDescent="0.45">
      <c r="A63" s="9"/>
    </row>
    <row r="65" spans="5:5" ht="17.399999999999999" x14ac:dyDescent="0.3">
      <c r="E65" s="4"/>
    </row>
    <row r="66" spans="5:5" ht="17.399999999999999" x14ac:dyDescent="0.3">
      <c r="E66" s="4"/>
    </row>
    <row r="69" spans="5:5" ht="17.399999999999999" x14ac:dyDescent="0.3">
      <c r="E69" s="4"/>
    </row>
    <row r="70" spans="5:5" ht="17.399999999999999" x14ac:dyDescent="0.3">
      <c r="E70" s="4"/>
    </row>
  </sheetData>
  <mergeCells count="9">
    <mergeCell ref="E39:F39"/>
    <mergeCell ref="E40:F40"/>
    <mergeCell ref="E41:F41"/>
    <mergeCell ref="A1:I1"/>
    <mergeCell ref="A4:E4"/>
    <mergeCell ref="F4:I4"/>
    <mergeCell ref="A36:F36"/>
    <mergeCell ref="E37:F37"/>
    <mergeCell ref="E38:F3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5976-8614-4162-AF93-09F497CBA55D}">
  <dimension ref="A1:J70"/>
  <sheetViews>
    <sheetView workbookViewId="0">
      <selection activeCell="E10" sqref="E10"/>
    </sheetView>
  </sheetViews>
  <sheetFormatPr defaultRowHeight="14.4" x14ac:dyDescent="0.25"/>
  <cols>
    <col min="1" max="1" width="32.33203125" customWidth="1"/>
    <col min="2" max="2" width="12.6640625" customWidth="1"/>
    <col min="3" max="3" width="10.6640625" customWidth="1"/>
    <col min="4" max="4" width="12.77734375" customWidth="1"/>
    <col min="5" max="5" width="35.6640625" customWidth="1"/>
    <col min="6" max="6" width="26.33203125" style="8" customWidth="1"/>
    <col min="7" max="7" width="12.6640625" customWidth="1"/>
    <col min="8" max="8" width="12.44140625" customWidth="1"/>
    <col min="9" max="9" width="35.6640625" customWidth="1"/>
  </cols>
  <sheetData>
    <row r="1" spans="1:10" ht="25.5" customHeight="1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</row>
    <row r="2" spans="1:10" ht="21.75" customHeight="1" x14ac:dyDescent="0.25">
      <c r="A2" s="13" t="s">
        <v>1</v>
      </c>
      <c r="B2" s="14">
        <v>46266</v>
      </c>
      <c r="C2" s="14"/>
      <c r="D2" s="15"/>
      <c r="E2" s="15"/>
      <c r="F2" s="16"/>
      <c r="G2" s="16"/>
      <c r="H2" s="16" t="s">
        <v>2</v>
      </c>
      <c r="I2" s="27" t="s">
        <v>3</v>
      </c>
    </row>
    <row r="3" spans="1:10" ht="10.5" customHeight="1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0" ht="21.75" customHeight="1" x14ac:dyDescent="0.25">
      <c r="A4" s="185" t="s">
        <v>4</v>
      </c>
      <c r="B4" s="186"/>
      <c r="C4" s="186"/>
      <c r="D4" s="186"/>
      <c r="E4" s="187"/>
      <c r="F4" s="188" t="s">
        <v>5</v>
      </c>
      <c r="G4" s="189"/>
      <c r="H4" s="189"/>
      <c r="I4" s="190"/>
    </row>
    <row r="5" spans="1:10" ht="33" customHeight="1" x14ac:dyDescent="0.25">
      <c r="A5" s="42" t="s">
        <v>6</v>
      </c>
      <c r="B5" s="43" t="s">
        <v>7</v>
      </c>
      <c r="C5" s="44" t="s">
        <v>8</v>
      </c>
      <c r="D5" s="45" t="s">
        <v>9</v>
      </c>
      <c r="E5" s="49" t="s">
        <v>10</v>
      </c>
      <c r="F5" s="46" t="s">
        <v>6</v>
      </c>
      <c r="G5" s="43" t="s">
        <v>11</v>
      </c>
      <c r="H5" s="44" t="s">
        <v>9</v>
      </c>
      <c r="I5" s="47" t="s">
        <v>10</v>
      </c>
    </row>
    <row r="6" spans="1:10" s="37" customFormat="1" ht="27" customHeight="1" x14ac:dyDescent="0.45">
      <c r="A6" s="7" t="s">
        <v>444</v>
      </c>
      <c r="B6" s="7">
        <v>2</v>
      </c>
      <c r="C6" s="7">
        <v>0</v>
      </c>
      <c r="D6" s="7">
        <v>0</v>
      </c>
      <c r="E6" s="7" t="s">
        <v>874</v>
      </c>
      <c r="F6" s="7" t="s">
        <v>875</v>
      </c>
      <c r="G6" s="7">
        <v>1</v>
      </c>
      <c r="H6" s="7">
        <v>0</v>
      </c>
      <c r="I6" s="7" t="s">
        <v>876</v>
      </c>
      <c r="J6" s="38"/>
    </row>
    <row r="7" spans="1:10" s="37" customFormat="1" ht="27" customHeight="1" x14ac:dyDescent="0.45">
      <c r="A7" s="7" t="s">
        <v>822</v>
      </c>
      <c r="B7" s="7">
        <v>0</v>
      </c>
      <c r="C7" s="7">
        <v>1</v>
      </c>
      <c r="D7" s="7">
        <v>0</v>
      </c>
      <c r="E7" s="7" t="s">
        <v>877</v>
      </c>
      <c r="F7" s="7" t="s">
        <v>878</v>
      </c>
      <c r="G7" s="7">
        <v>8</v>
      </c>
      <c r="H7" s="7">
        <v>0</v>
      </c>
      <c r="I7" s="7" t="s">
        <v>879</v>
      </c>
      <c r="J7" s="38"/>
    </row>
    <row r="8" spans="1:10" s="37" customFormat="1" ht="38.25" customHeight="1" x14ac:dyDescent="0.45">
      <c r="A8" s="7" t="s">
        <v>769</v>
      </c>
      <c r="B8" s="7">
        <v>0</v>
      </c>
      <c r="C8" s="7">
        <v>1</v>
      </c>
      <c r="D8" s="7">
        <v>0</v>
      </c>
      <c r="E8" s="7" t="s">
        <v>880</v>
      </c>
      <c r="F8" s="7" t="s">
        <v>881</v>
      </c>
      <c r="G8" s="7">
        <v>9</v>
      </c>
      <c r="H8" s="7">
        <v>0</v>
      </c>
      <c r="I8" s="7" t="s">
        <v>882</v>
      </c>
      <c r="J8" s="38"/>
    </row>
    <row r="9" spans="1:10" s="21" customFormat="1" ht="27" customHeight="1" x14ac:dyDescent="0.45">
      <c r="A9" s="7" t="s">
        <v>871</v>
      </c>
      <c r="B9" s="7">
        <v>6</v>
      </c>
      <c r="C9" s="7">
        <v>0</v>
      </c>
      <c r="D9" s="7">
        <v>0</v>
      </c>
      <c r="E9" s="7" t="s">
        <v>883</v>
      </c>
      <c r="F9" s="7" t="s">
        <v>884</v>
      </c>
      <c r="G9" s="7">
        <v>1</v>
      </c>
      <c r="H9" s="7">
        <v>0</v>
      </c>
      <c r="I9" s="7" t="s">
        <v>885</v>
      </c>
    </row>
    <row r="10" spans="1:10" s="21" customFormat="1" ht="27" customHeight="1" x14ac:dyDescent="0.45">
      <c r="A10" s="7" t="s">
        <v>886</v>
      </c>
      <c r="B10" s="7">
        <v>0</v>
      </c>
      <c r="C10" s="7">
        <v>9</v>
      </c>
      <c r="D10" s="7">
        <v>0</v>
      </c>
      <c r="E10" s="7" t="s">
        <v>887</v>
      </c>
      <c r="F10" s="7" t="s">
        <v>888</v>
      </c>
      <c r="G10" s="7">
        <v>4</v>
      </c>
      <c r="H10" s="7">
        <v>0</v>
      </c>
      <c r="I10" s="7" t="s">
        <v>889</v>
      </c>
    </row>
    <row r="11" spans="1:10" s="21" customFormat="1" ht="27" customHeight="1" x14ac:dyDescent="0.45">
      <c r="A11" s="7"/>
      <c r="B11" s="7"/>
      <c r="C11" s="7"/>
      <c r="D11" s="7"/>
      <c r="E11" s="7"/>
      <c r="F11" s="7" t="s">
        <v>890</v>
      </c>
      <c r="G11" s="7">
        <v>1</v>
      </c>
      <c r="H11" s="7">
        <v>0</v>
      </c>
      <c r="I11" s="7" t="s">
        <v>891</v>
      </c>
    </row>
    <row r="12" spans="1:10" s="21" customFormat="1" ht="27" customHeight="1" x14ac:dyDescent="0.45">
      <c r="A12" s="7"/>
      <c r="B12" s="7"/>
      <c r="C12" s="7"/>
      <c r="D12" s="7"/>
      <c r="E12" s="7"/>
      <c r="F12" s="7" t="s">
        <v>892</v>
      </c>
      <c r="G12" s="7">
        <v>1</v>
      </c>
      <c r="H12" s="7">
        <v>0</v>
      </c>
      <c r="I12" s="7" t="s">
        <v>893</v>
      </c>
    </row>
    <row r="13" spans="1:10" s="21" customFormat="1" ht="30" customHeight="1" x14ac:dyDescent="0.45">
      <c r="A13" s="7"/>
      <c r="B13" s="7"/>
      <c r="C13" s="7"/>
      <c r="D13" s="7"/>
      <c r="E13" s="7"/>
    </row>
    <row r="14" spans="1:10" s="21" customFormat="1" ht="30" customHeight="1" x14ac:dyDescent="0.45">
      <c r="A14" s="7"/>
      <c r="B14" s="7"/>
      <c r="C14" s="7"/>
      <c r="D14" s="7"/>
      <c r="E14" s="7"/>
      <c r="F14" s="7"/>
      <c r="G14" s="7"/>
      <c r="H14" s="7"/>
      <c r="I14" s="7"/>
    </row>
    <row r="15" spans="1:10" ht="30" customHeight="1" x14ac:dyDescent="0.45">
      <c r="A15" s="7"/>
      <c r="B15" s="7"/>
      <c r="C15" s="7"/>
      <c r="D15" s="7"/>
      <c r="E15" s="7"/>
      <c r="F15" s="7"/>
      <c r="G15" s="7"/>
      <c r="H15" s="7"/>
      <c r="I15" s="7"/>
    </row>
    <row r="16" spans="1:10" ht="30" customHeight="1" x14ac:dyDescent="0.45">
      <c r="A16" s="7"/>
      <c r="B16" s="7"/>
      <c r="C16" s="7"/>
      <c r="D16" s="7"/>
      <c r="E16" s="7"/>
      <c r="F16" s="7"/>
      <c r="G16" s="7"/>
      <c r="H16" s="7"/>
      <c r="I16" s="7"/>
    </row>
    <row r="17" spans="1:9" ht="30" customHeight="1" x14ac:dyDescent="0.45">
      <c r="A17" s="7"/>
      <c r="B17" s="7"/>
      <c r="C17" s="7"/>
      <c r="D17" s="7"/>
      <c r="E17" s="7"/>
      <c r="F17" s="7"/>
      <c r="G17" s="7"/>
      <c r="H17" s="7"/>
      <c r="I17" s="7"/>
    </row>
    <row r="18" spans="1:9" ht="30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30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24.7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24.7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24.75" customHeight="1" x14ac:dyDescent="0.45">
      <c r="A22" s="1"/>
      <c r="B22" s="1"/>
      <c r="C22" s="1"/>
      <c r="D22" s="1"/>
      <c r="E22" s="1"/>
      <c r="F22" s="7"/>
      <c r="G22" s="7"/>
      <c r="H22" s="7"/>
      <c r="I22" s="7"/>
    </row>
    <row r="23" spans="1:9" ht="24.75" customHeight="1" x14ac:dyDescent="0.45">
      <c r="A23" s="1"/>
      <c r="B23" s="1"/>
      <c r="C23" s="1"/>
      <c r="D23" s="1"/>
      <c r="E23" s="1"/>
      <c r="F23" s="7"/>
      <c r="G23" s="7"/>
      <c r="H23" s="7"/>
      <c r="I23" s="7"/>
    </row>
    <row r="24" spans="1:9" ht="24.75" customHeight="1" x14ac:dyDescent="0.45">
      <c r="A24" s="1"/>
      <c r="B24" s="1"/>
      <c r="C24" s="1"/>
      <c r="D24" s="1"/>
      <c r="E24" s="1"/>
      <c r="F24" s="50"/>
      <c r="G24" s="50"/>
      <c r="H24" s="50"/>
      <c r="I24" s="50"/>
    </row>
    <row r="25" spans="1:9" ht="24.75" customHeight="1" x14ac:dyDescent="0.25">
      <c r="A25" s="1"/>
      <c r="B25" s="1"/>
      <c r="C25" s="1"/>
      <c r="D25" s="1"/>
      <c r="E25" s="1"/>
      <c r="G25" s="32"/>
      <c r="H25" s="32"/>
      <c r="I25" s="32"/>
    </row>
    <row r="26" spans="1:9" ht="24.75" customHeight="1" x14ac:dyDescent="0.25">
      <c r="A26" s="1"/>
      <c r="B26" s="1"/>
      <c r="C26" s="1"/>
      <c r="D26" s="1"/>
      <c r="E26" s="1"/>
      <c r="F26" s="32"/>
      <c r="G26" s="32"/>
      <c r="H26" s="32"/>
      <c r="I26" s="32"/>
    </row>
    <row r="27" spans="1:9" ht="24.75" customHeight="1" x14ac:dyDescent="0.25">
      <c r="A27" s="1"/>
      <c r="B27" s="1"/>
      <c r="C27" s="1"/>
      <c r="D27" s="1"/>
      <c r="E27" s="1"/>
      <c r="F27" s="32"/>
      <c r="G27" s="32"/>
      <c r="H27" s="32"/>
      <c r="I27" s="32"/>
    </row>
    <row r="28" spans="1:9" ht="24.75" customHeight="1" x14ac:dyDescent="0.25">
      <c r="A28" s="41"/>
      <c r="B28" s="48"/>
      <c r="C28" s="48"/>
      <c r="D28" s="48"/>
      <c r="E28" s="36"/>
      <c r="F28" s="32"/>
      <c r="G28" s="32"/>
      <c r="H28" s="32"/>
      <c r="I28" s="32"/>
    </row>
    <row r="29" spans="1:9" ht="24.75" customHeight="1" x14ac:dyDescent="0.25">
      <c r="A29" s="41"/>
      <c r="B29" s="48"/>
      <c r="C29" s="48"/>
      <c r="D29" s="48"/>
      <c r="E29" s="36"/>
      <c r="F29" s="32"/>
      <c r="G29" s="32"/>
      <c r="H29" s="32"/>
      <c r="I29" s="32"/>
    </row>
    <row r="30" spans="1:9" ht="24.75" customHeight="1" x14ac:dyDescent="0.25">
      <c r="A30" s="41"/>
      <c r="B30" s="48"/>
      <c r="C30" s="48"/>
      <c r="D30" s="48"/>
      <c r="E30" s="36"/>
      <c r="F30" s="12"/>
      <c r="G30" s="29"/>
      <c r="H30" s="29"/>
      <c r="I30" s="31"/>
    </row>
    <row r="31" spans="1:9" ht="24.75" customHeight="1" x14ac:dyDescent="0.25">
      <c r="A31" s="41"/>
      <c r="B31" s="48"/>
      <c r="C31" s="48"/>
      <c r="D31" s="48"/>
      <c r="E31" s="36"/>
      <c r="F31" s="12"/>
      <c r="G31" s="30"/>
      <c r="H31" s="33"/>
      <c r="I31" s="31"/>
    </row>
    <row r="32" spans="1:9" ht="24.75" customHeight="1" x14ac:dyDescent="0.25">
      <c r="A32" s="40"/>
      <c r="B32" s="30"/>
      <c r="C32" s="30"/>
      <c r="D32" s="30"/>
      <c r="E32" s="29"/>
      <c r="F32" s="29"/>
      <c r="G32" s="30"/>
      <c r="H32" s="33"/>
      <c r="I32" s="31"/>
    </row>
    <row r="33" spans="1:9" s="11" customFormat="1" ht="30" customHeight="1" x14ac:dyDescent="0.25">
      <c r="A33" s="28">
        <f>COUNTA(A6:A32)</f>
        <v>5</v>
      </c>
      <c r="B33" s="28">
        <f>SUM(B6:B32)</f>
        <v>8</v>
      </c>
      <c r="C33" s="28">
        <f>SUM(C6:C32)</f>
        <v>11</v>
      </c>
      <c r="D33" s="28">
        <f>SUM(D6:D32)</f>
        <v>0</v>
      </c>
      <c r="E33" s="28"/>
      <c r="F33" s="28">
        <f>COUNTA(F6:F32)</f>
        <v>7</v>
      </c>
      <c r="G33" s="28">
        <f>SUM(G6:G32)</f>
        <v>25</v>
      </c>
      <c r="H33" s="28">
        <f>SUM(H6:H32)</f>
        <v>0</v>
      </c>
      <c r="I33" s="28"/>
    </row>
    <row r="34" spans="1:9" ht="13.5" customHeight="1" x14ac:dyDescent="0.25"/>
    <row r="36" spans="1:9" ht="17.399999999999999" x14ac:dyDescent="0.25">
      <c r="A36" s="191" t="s">
        <v>43</v>
      </c>
      <c r="B36" s="192"/>
      <c r="C36" s="192"/>
      <c r="D36" s="192"/>
      <c r="E36" s="192"/>
      <c r="F36" s="192"/>
      <c r="I36" s="6"/>
    </row>
    <row r="37" spans="1:9" ht="38.25" customHeight="1" x14ac:dyDescent="0.25">
      <c r="A37" s="17" t="s">
        <v>6</v>
      </c>
      <c r="B37" s="17" t="s">
        <v>1</v>
      </c>
      <c r="C37" s="18" t="s">
        <v>11</v>
      </c>
      <c r="D37" s="18" t="s">
        <v>9</v>
      </c>
      <c r="E37" s="193" t="s">
        <v>10</v>
      </c>
      <c r="F37" s="194"/>
    </row>
    <row r="38" spans="1:9" s="21" customFormat="1" ht="24.75" customHeight="1" x14ac:dyDescent="0.25">
      <c r="A38" s="19" t="s">
        <v>44</v>
      </c>
      <c r="B38" s="20">
        <v>46223</v>
      </c>
      <c r="C38" s="5">
        <v>2</v>
      </c>
      <c r="D38" s="5">
        <v>2</v>
      </c>
      <c r="E38" s="182" t="s">
        <v>45</v>
      </c>
      <c r="F38" s="183"/>
    </row>
    <row r="39" spans="1:9" s="21" customFormat="1" ht="24.75" customHeight="1" x14ac:dyDescent="0.25">
      <c r="A39" s="10" t="s">
        <v>46</v>
      </c>
      <c r="B39" s="20">
        <v>46237</v>
      </c>
      <c r="C39" s="22">
        <v>1</v>
      </c>
      <c r="D39" s="22">
        <v>1</v>
      </c>
      <c r="E39" s="182" t="s">
        <v>47</v>
      </c>
      <c r="F39" s="183"/>
    </row>
    <row r="40" spans="1:9" s="21" customFormat="1" ht="24.75" customHeight="1" x14ac:dyDescent="0.25">
      <c r="A40" s="10"/>
      <c r="B40" s="20"/>
      <c r="C40" s="22"/>
      <c r="D40" s="22"/>
      <c r="E40" s="182"/>
      <c r="F40" s="183"/>
    </row>
    <row r="41" spans="1:9" s="21" customFormat="1" ht="24.75" customHeight="1" x14ac:dyDescent="0.25">
      <c r="A41" s="10"/>
      <c r="B41" s="20"/>
      <c r="C41" s="22"/>
      <c r="D41" s="22">
        <f>SUM(D38:D40)</f>
        <v>3</v>
      </c>
      <c r="E41" s="182"/>
      <c r="F41" s="183"/>
    </row>
    <row r="42" spans="1:9" s="21" customFormat="1" ht="24.75" customHeight="1" x14ac:dyDescent="0.25">
      <c r="A42"/>
      <c r="B42"/>
      <c r="C42"/>
      <c r="D42"/>
      <c r="E42"/>
      <c r="F42"/>
      <c r="G42"/>
    </row>
    <row r="43" spans="1:9" ht="21" customHeight="1" x14ac:dyDescent="0.25">
      <c r="F43"/>
    </row>
    <row r="44" spans="1:9" x14ac:dyDescent="0.25">
      <c r="F44"/>
    </row>
    <row r="45" spans="1:9" x14ac:dyDescent="0.25">
      <c r="F45"/>
    </row>
    <row r="46" spans="1:9" x14ac:dyDescent="0.25">
      <c r="F46"/>
    </row>
    <row r="58" spans="1:5" x14ac:dyDescent="0.25">
      <c r="A58" s="39" t="s">
        <v>60</v>
      </c>
      <c r="B58" s="35">
        <v>1</v>
      </c>
      <c r="C58" s="34">
        <v>0</v>
      </c>
      <c r="D58" s="34" t="s">
        <v>61</v>
      </c>
    </row>
    <row r="59" spans="1:5" ht="17.399999999999999" x14ac:dyDescent="0.3">
      <c r="A59" s="2" t="s">
        <v>62</v>
      </c>
      <c r="B59" s="35">
        <v>1</v>
      </c>
      <c r="C59" s="34">
        <v>0</v>
      </c>
      <c r="D59" s="2" t="s">
        <v>63</v>
      </c>
      <c r="E59" s="4"/>
    </row>
    <row r="60" spans="1:5" ht="17.399999999999999" x14ac:dyDescent="0.3">
      <c r="E60" s="4"/>
    </row>
    <row r="61" spans="1:5" ht="17.399999999999999" x14ac:dyDescent="0.3">
      <c r="A61" s="3"/>
      <c r="E61" s="4"/>
    </row>
    <row r="62" spans="1:5" ht="17.399999999999999" x14ac:dyDescent="0.3">
      <c r="A62" s="3"/>
      <c r="E62" s="4"/>
    </row>
    <row r="63" spans="1:5" ht="19.2" x14ac:dyDescent="0.45">
      <c r="A63" s="9"/>
    </row>
    <row r="65" spans="5:5" ht="17.399999999999999" x14ac:dyDescent="0.3">
      <c r="E65" s="4"/>
    </row>
    <row r="66" spans="5:5" ht="17.399999999999999" x14ac:dyDescent="0.3">
      <c r="E66" s="4"/>
    </row>
    <row r="69" spans="5:5" ht="17.399999999999999" x14ac:dyDescent="0.3">
      <c r="E69" s="4"/>
    </row>
    <row r="70" spans="5:5" ht="17.399999999999999" x14ac:dyDescent="0.3">
      <c r="E70" s="4"/>
    </row>
  </sheetData>
  <mergeCells count="9">
    <mergeCell ref="E39:F39"/>
    <mergeCell ref="E40:F40"/>
    <mergeCell ref="E41:F41"/>
    <mergeCell ref="A1:I1"/>
    <mergeCell ref="A4:E4"/>
    <mergeCell ref="F4:I4"/>
    <mergeCell ref="A36:F36"/>
    <mergeCell ref="E37:F37"/>
    <mergeCell ref="E38:F3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ddb25e-2ccb-44c1-b0c9-a88f32777a9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3DAB5CD05E434EA08191D1F1F581F5" ma:contentTypeVersion="12" ma:contentTypeDescription="Create a new document." ma:contentTypeScope="" ma:versionID="5475a6e6e5300e34ecf90042af537736">
  <xsd:schema xmlns:xsd="http://www.w3.org/2001/XMLSchema" xmlns:xs="http://www.w3.org/2001/XMLSchema" xmlns:p="http://schemas.microsoft.com/office/2006/metadata/properties" xmlns:ns3="76ddb25e-2ccb-44c1-b0c9-a88f32777a93" targetNamespace="http://schemas.microsoft.com/office/2006/metadata/properties" ma:root="true" ma:fieldsID="2e60182ae1b092daccdc8849a03e77fe" ns3:_="">
    <xsd:import namespace="76ddb25e-2ccb-44c1-b0c9-a88f32777a9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ddb25e-2ccb-44c1-b0c9-a88f32777a93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77F676-64FC-49B0-BA6F-0CFFFFAB86D6}">
  <ds:schemaRefs>
    <ds:schemaRef ds:uri="http://schemas.microsoft.com/office/2006/metadata/properties"/>
    <ds:schemaRef ds:uri="http://schemas.microsoft.com/office/infopath/2007/PartnerControls"/>
    <ds:schemaRef ds:uri="76ddb25e-2ccb-44c1-b0c9-a88f32777a93"/>
  </ds:schemaRefs>
</ds:datastoreItem>
</file>

<file path=customXml/itemProps2.xml><?xml version="1.0" encoding="utf-8"?>
<ds:datastoreItem xmlns:ds="http://schemas.openxmlformats.org/officeDocument/2006/customXml" ds:itemID="{18631A5B-3E8A-4EF0-B350-4046A65886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ddb25e-2ccb-44c1-b0c9-a88f32777a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A58500-7E95-40F3-991D-0A368385DD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16-10-26</vt:lpstr>
      <vt:lpstr>15-10-26</vt:lpstr>
      <vt:lpstr>14-10-26</vt:lpstr>
      <vt:lpstr>13-10-26</vt:lpstr>
      <vt:lpstr>12-10-26</vt:lpstr>
      <vt:lpstr>09-10-26</vt:lpstr>
      <vt:lpstr>08-10-26</vt:lpstr>
      <vt:lpstr>07-10-26</vt:lpstr>
      <vt:lpstr>06-10-26</vt:lpstr>
      <vt:lpstr>05-10-26</vt:lpstr>
      <vt:lpstr>02-10-26</vt:lpstr>
      <vt:lpstr>01-10-26</vt:lpstr>
      <vt:lpstr>30-09</vt:lpstr>
      <vt:lpstr>29-09</vt:lpstr>
      <vt:lpstr>28-09</vt:lpstr>
      <vt:lpstr>24-09</vt:lpstr>
      <vt:lpstr>23-09</vt:lpstr>
      <vt:lpstr>22-09</vt:lpstr>
      <vt:lpstr>21-09</vt:lpstr>
      <vt:lpstr>18-09</vt:lpstr>
      <vt:lpstr>17-09</vt:lpstr>
      <vt:lpstr>16-09</vt:lpstr>
      <vt:lpstr>15-09</vt:lpstr>
      <vt:lpstr>10-09</vt:lpstr>
      <vt:lpstr>09-09</vt:lpstr>
      <vt:lpstr>08-09</vt:lpstr>
      <vt:lpstr>07-09</vt:lpstr>
      <vt:lpstr>04-09</vt:lpstr>
      <vt:lpstr>03-09</vt:lpstr>
      <vt:lpstr>02-09</vt:lpstr>
      <vt:lpstr>01-09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Mujeeb Rahman</dc:creator>
  <cp:keywords/>
  <dc:description/>
  <cp:lastModifiedBy>Rakesh Sobha Raghavan</cp:lastModifiedBy>
  <cp:revision/>
  <dcterms:created xsi:type="dcterms:W3CDTF">2025-05-13T05:09:00Z</dcterms:created>
  <dcterms:modified xsi:type="dcterms:W3CDTF">2026-10-17T04:28:10Z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0x010100F73DAB5CD05E434EA08191D1F1F581F5</vt:lpwstr>
  </property>
  <property fmtid="{D5CDD505-2E9C-101B-9397-08002B2CF9AE}" pid="3" name="ICV">
    <vt:lpwstr>B4F532275EA4491B85438E299421E14E_12</vt:lpwstr>
  </property>
  <property fmtid="{D5CDD505-2E9C-101B-9397-08002B2CF9AE}" pid="4" name="KSOProductBuildVer">
    <vt:lpwstr>1033-12.2.0.21931</vt:lpwstr>
  </property>
</Properties>
</file>