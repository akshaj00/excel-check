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LCSPR-DOCUMENT  DAILY REPORT\"/>
    </mc:Choice>
  </mc:AlternateContent>
  <xr:revisionPtr revIDLastSave="0" documentId="13_ncr:1_{157C8D7E-E14D-4104-A22A-B5B526F62056}" xr6:coauthVersionLast="47" xr6:coauthVersionMax="47" xr10:uidLastSave="{00000000-0000-0000-0000-000000000000}"/>
  <bookViews>
    <workbookView xWindow="-108" yWindow="-108" windowWidth="23256" windowHeight="13896" firstSheet="5" activeTab="11" xr2:uid="{88E608F5-CC01-41A1-9351-9CF12770EA3C}"/>
  </bookViews>
  <sheets>
    <sheet name="01.10.2026" sheetId="1" r:id="rId1"/>
    <sheet name="02.10.2026 " sheetId="2" r:id="rId2"/>
    <sheet name="05.10.2026 " sheetId="3" r:id="rId3"/>
    <sheet name="06.10.2026 " sheetId="4" r:id="rId4"/>
    <sheet name="07.10.2026 " sheetId="5" r:id="rId5"/>
    <sheet name="08.10.2026 " sheetId="6" r:id="rId6"/>
    <sheet name="09.10.2026  " sheetId="7" r:id="rId7"/>
    <sheet name="12.10.2026   (" sheetId="8" r:id="rId8"/>
    <sheet name="13.10.2026" sheetId="9" r:id="rId9"/>
    <sheet name="14.10.2026" sheetId="10" r:id="rId10"/>
    <sheet name="15.10.2026" sheetId="11" r:id="rId11"/>
    <sheet name="16.10.2026 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5" i="13" l="1"/>
  <c r="G25" i="13"/>
  <c r="F25" i="13"/>
  <c r="D25" i="13"/>
  <c r="C25" i="13"/>
  <c r="B25" i="13"/>
  <c r="A25" i="13"/>
  <c r="B18" i="11"/>
  <c r="G18" i="11"/>
  <c r="H18" i="11"/>
  <c r="F18" i="11"/>
  <c r="D18" i="11"/>
  <c r="C18" i="11"/>
  <c r="A18" i="11"/>
  <c r="H14" i="10"/>
  <c r="G14" i="10"/>
  <c r="F14" i="10"/>
  <c r="D14" i="10"/>
  <c r="C14" i="10"/>
  <c r="B14" i="10"/>
  <c r="A14" i="10"/>
  <c r="H11" i="9"/>
  <c r="G11" i="9"/>
  <c r="F11" i="9"/>
  <c r="D11" i="9"/>
  <c r="C11" i="9"/>
  <c r="B11" i="9"/>
  <c r="A11" i="9"/>
  <c r="H16" i="8"/>
  <c r="G16" i="8"/>
  <c r="F16" i="8"/>
  <c r="D16" i="8"/>
  <c r="C16" i="8"/>
  <c r="B16" i="8"/>
  <c r="A16" i="8"/>
  <c r="A15" i="7"/>
  <c r="H15" i="7"/>
  <c r="G15" i="7"/>
  <c r="F15" i="7"/>
  <c r="D15" i="7"/>
  <c r="C15" i="7"/>
  <c r="B15" i="7"/>
  <c r="H11" i="6"/>
  <c r="G11" i="6"/>
  <c r="F11" i="6"/>
  <c r="D11" i="6"/>
  <c r="C11" i="6"/>
  <c r="B11" i="6"/>
  <c r="A11" i="6"/>
  <c r="H21" i="5"/>
  <c r="G21" i="5"/>
  <c r="F21" i="5"/>
  <c r="D21" i="5"/>
  <c r="C21" i="5"/>
  <c r="B21" i="5"/>
  <c r="A21" i="5"/>
  <c r="H21" i="4"/>
  <c r="G21" i="4"/>
  <c r="F21" i="4"/>
  <c r="D21" i="4"/>
  <c r="C21" i="4"/>
  <c r="B21" i="4"/>
  <c r="A21" i="4"/>
  <c r="H21" i="3"/>
  <c r="G21" i="3"/>
  <c r="F21" i="3"/>
  <c r="D21" i="3"/>
  <c r="C21" i="3"/>
  <c r="B21" i="3"/>
  <c r="A21" i="3"/>
  <c r="H21" i="2"/>
  <c r="G21" i="2"/>
  <c r="F21" i="2"/>
  <c r="D21" i="2"/>
  <c r="C21" i="2"/>
  <c r="B21" i="2"/>
  <c r="A21" i="2"/>
  <c r="G21" i="1"/>
  <c r="F21" i="1"/>
  <c r="D21" i="1"/>
  <c r="C21" i="1"/>
  <c r="B21" i="1"/>
  <c r="A21" i="1"/>
</calcChain>
</file>

<file path=xl/sharedStrings.xml><?xml version="1.0" encoding="utf-8"?>
<sst xmlns="http://schemas.openxmlformats.org/spreadsheetml/2006/main" count="600" uniqueCount="283">
  <si>
    <t>KPG | RDS | DOCUMENT CONTROLLER DAILY REPORT</t>
  </si>
  <si>
    <t>Date:</t>
  </si>
  <si>
    <t>Project:</t>
  </si>
  <si>
    <t>MLCSPR</t>
  </si>
  <si>
    <t>Incoming  Transmittals</t>
  </si>
  <si>
    <t>Close out</t>
  </si>
  <si>
    <t>Transmittals</t>
  </si>
  <si>
    <t>No. of Drawings</t>
  </si>
  <si>
    <t>No. of Technical data</t>
  </si>
  <si>
    <t>Pending Number of Documents</t>
  </si>
  <si>
    <t>Remarks</t>
  </si>
  <si>
    <t>No. of Documents</t>
  </si>
  <si>
    <t>NXES-TRANSMIT-000100- Nexus Tech Data Sheets - Resubmission</t>
  </si>
  <si>
    <t xml:space="preserve">WORKFLOW IS RESUBMITTED:WF-001256 </t>
  </si>
  <si>
    <t>P &amp; R-TRANSMIT-000123
Stage 2 - Setout Drawings</t>
  </si>
  <si>
    <t>KPTG-TRANSMIT-003586</t>
  </si>
  <si>
    <t>RDSBIM-TRANSMIT-000154 -MLCSPR -INDOOR SPORTS CENTRE LEVEL 02 CONCRETE PROFILE PLAN</t>
  </si>
  <si>
    <t>#707</t>
  </si>
  <si>
    <t>BTWA-TRANSMIT-000100
Re: Stage 2 - Facade Glass</t>
  </si>
  <si>
    <t>KPTG-TRANSMIT-003588</t>
  </si>
  <si>
    <t>Rejected: Revision history of drawing does not match with previous: KPTG-TRANSMIT-003586</t>
  </si>
  <si>
    <t>Highbu-TRANSMIT-000169
Re-transmitting approved sample as request by Kapitol</t>
  </si>
  <si>
    <t>KPTG-SADV-006676</t>
  </si>
  <si>
    <t>BTWA-TRANSMIT-000109
MLC Stage 2 - Internal Frame Type 1</t>
  </si>
  <si>
    <t>WF-001257</t>
  </si>
  <si>
    <t>Highbu-TRANSMIT-000172
Hot water plant submission</t>
  </si>
  <si>
    <t>KPTG-SADV-006677</t>
  </si>
  <si>
    <t>Requested to resubmit-KPTG-SADV-006676</t>
  </si>
  <si>
    <t>MCGC-TRANSMIT-000017
MCGC - LANDSCAPE DRAWING UPDATES</t>
  </si>
  <si>
    <t>KPTG-SADV-006678</t>
  </si>
  <si>
    <t>Highbu-TRANSMIT-000170
Recently approved hydraulic sample resubmitted - KP request</t>
  </si>
  <si>
    <t>WF-001258</t>
  </si>
  <si>
    <t>Auspan-TRANSMIT-000141
Precast shop drawings for construction. Columns on level 2 stage 2. Normal columns.</t>
  </si>
  <si>
    <t>KPTG-TRANSMIT-003589</t>
  </si>
  <si>
    <t>Highbu-TRANSMIT-000171
Resubmission of previous approved samples</t>
  </si>
  <si>
    <t>WF-001259</t>
  </si>
  <si>
    <t>Auspan-TRANSMIT-000146
Precast shop drawings for approval. Stage 2 Premium level 2.</t>
  </si>
  <si>
    <t>KPTG-SADV-006660</t>
  </si>
  <si>
    <t>Rejected:Document number in the covering sheet needs to be updated:KPTG-SADV-006677</t>
  </si>
  <si>
    <t>Auspan-TRANSMIT-000142-  Precast shop drawings for construction. Columns on level 2 stage 2. Normal columns</t>
  </si>
  <si>
    <t>KPTG-TRANSMIT-003591</t>
  </si>
  <si>
    <t>Title Bloc and Drawing status needs to be updated:KPTG-SADV-006678</t>
  </si>
  <si>
    <t>Rejected: Revision date mentioned in the register is incorrect:KPTG-SADV-006660</t>
  </si>
  <si>
    <t>Auspan-TRANSMIT-000147
Re: Precast shop drawings for approval. Stage 2 Premium level 2.</t>
  </si>
  <si>
    <t>#713</t>
  </si>
  <si>
    <t>Pending  Transmittals</t>
  </si>
  <si>
    <t>BTWA-TRANSMIT-000105
Re: MLC Stage 2 - Both colour options</t>
  </si>
  <si>
    <t>28.09.2026</t>
  </si>
  <si>
    <t>Review of one of documents is stil in review:KPTG-TRANSMIT-003559</t>
  </si>
  <si>
    <t>ARCH-TRANSMIT-000199
MLC - SPR - ISC - Drawings update</t>
  </si>
  <si>
    <t>#725</t>
  </si>
  <si>
    <t>NXES-TRANSMIT-000082
Re: Electrical Penetration Layout</t>
  </si>
  <si>
    <t>KPTG-TRANSMIT-003602</t>
  </si>
  <si>
    <t>ARCH-TRANSMIT-000200
MLC - SPR - ISC - Wall drawings updated</t>
  </si>
  <si>
    <t>#715</t>
  </si>
  <si>
    <t>NXES-TRANSMIT-000088
Re: ISC Roof Electrical Layout</t>
  </si>
  <si>
    <t>KPTG-TRANSMIT-003604</t>
  </si>
  <si>
    <t>#717</t>
  </si>
  <si>
    <t>Best.-TRANSMIT-000012
Stage 2 Signage</t>
  </si>
  <si>
    <t>KAPITOL ADVICE AWAITS: KPTG-IntCorr-008940</t>
  </si>
  <si>
    <t>ARCH-TRANSMIT-000201
MLC - SPR - updated GA Drawings</t>
  </si>
  <si>
    <t>#719</t>
  </si>
  <si>
    <t>ARCH-TRANSMIT-000202
MLC - SPR - ISC - updated Facade drawings</t>
  </si>
  <si>
    <t>#721</t>
  </si>
  <si>
    <t>ARCH-TRANSMIT-000203 -MLC - SPR - ISC - Updated CPP-</t>
  </si>
  <si>
    <t>#723</t>
  </si>
  <si>
    <t>Highbu-TRANSMIT-000173
Hot water plant sample</t>
  </si>
  <si>
    <t>WF-001267</t>
  </si>
  <si>
    <t>BTWA-TRANSMIT-000110
Requires confirmation-: MLC Stage 2 - Internal sample submission</t>
  </si>
  <si>
    <t>Kapitol Advice awaits: KPTG-SADV-006686</t>
  </si>
  <si>
    <t>P &amp; R-TRANSMIT-000124
CPEF-01 Carpark Fan IFC</t>
  </si>
  <si>
    <t>WF-001268</t>
  </si>
  <si>
    <t>P &amp; R-TRANSMIT-000125
ISC - Updated MEC Penetrations</t>
  </si>
  <si>
    <t>#729</t>
  </si>
  <si>
    <t>BTWA-TRANSMIT-000104
MLC Stage 2 - Final external glass sample</t>
  </si>
  <si>
    <t>KPTG-TRANSMIT-003610</t>
  </si>
  <si>
    <t>MCGC-TRANSMIT-000018- External Stairs set-out dimensions &amp; RL request.</t>
  </si>
  <si>
    <t>#727</t>
  </si>
  <si>
    <t>NXES-TRANSMIT-000090-Level 02 &amp; 03 Emergency Lighting Calculation</t>
  </si>
  <si>
    <t>KPTG-TRANSMIT-003607</t>
  </si>
  <si>
    <t>NXES-TRANSMIT-000098- PV Solar Shop Drawings</t>
  </si>
  <si>
    <t>KPTG-TRANSMIT-003608</t>
  </si>
  <si>
    <t>Best.-TRANSMIT-000012
Re: Stage 2 Signage</t>
  </si>
  <si>
    <t>KPTG-TRANSMIT-003611</t>
  </si>
  <si>
    <t>P &amp; R-TRANSMIT-000108
Re: Mechanical Shop Drawing Update</t>
  </si>
  <si>
    <t>KPTG-TRANSMIT-003613</t>
  </si>
  <si>
    <t>BTWA-TRANSMIT-000108</t>
  </si>
  <si>
    <t>Kapitol Advice -Awaits-KPTG-IntCorr-008943</t>
  </si>
  <si>
    <t>PROLMC-TRANSMIT-000040 : MLC stage 2 Sample Retransmitted</t>
  </si>
  <si>
    <t>Kapitol Advice awaits: KPTG-IntCorr-008944</t>
  </si>
  <si>
    <t>M.S.-TRANSMIT-000086</t>
  </si>
  <si>
    <t>Review is partially completed: Kapitol Advice awaits: KPTG-IntCorr-008945</t>
  </si>
  <si>
    <t>02.10.2026</t>
  </si>
  <si>
    <t>ARCH-TRANSMIT-000204
MLC - SPR - ISC - Joinery update</t>
  </si>
  <si>
    <t>#731</t>
  </si>
  <si>
    <t>BTWA-TRANSMIT-000108 -MLC Stage 2 - Sample submission</t>
  </si>
  <si>
    <t>KPTG-SADV-006721 (workflow terminated &amp; Resubmitted)</t>
  </si>
  <si>
    <t>WF-001273</t>
  </si>
  <si>
    <t>PROLMC-TRANSMIT-000040 -MLC stage 2 Sample Retransmitted</t>
  </si>
  <si>
    <t>KPTG-SADV-006722 (workflow terminated &amp; resubmitted)</t>
  </si>
  <si>
    <t>WF-001274</t>
  </si>
  <si>
    <t>P &amp; R-TRANSMIT-000126</t>
  </si>
  <si>
    <t>Rejected: same revision still in review: KPTG-SADV-006735</t>
  </si>
  <si>
    <t>Auspan-TRANSMIT-000150 &amp; for approval. Level 3. Premium Precast Panels.</t>
  </si>
  <si>
    <t>WF-001275</t>
  </si>
  <si>
    <t>Auspan-TRANSMIT-000149 Precast shop drawings</t>
  </si>
  <si>
    <t>WF-001275 (Workflow combined)</t>
  </si>
  <si>
    <t>Auspan-TRANSMIT-000150 &amp;Auspan-TRANSMIT-000149 Precast shop drawings for approval. Level 3. Premium Precast Panels</t>
  </si>
  <si>
    <t>#733</t>
  </si>
  <si>
    <t>M.S.-TRANSMIT-000106
Sample sheet for FEK02</t>
  </si>
  <si>
    <t>WF-001276</t>
  </si>
  <si>
    <t>Auspan-TRANSMIT-000148 - Precast shop drawings for construction. Columns on level 2 stage 2. Normal columns.</t>
  </si>
  <si>
    <t>WF-001277</t>
  </si>
  <si>
    <t>05.10.2026</t>
  </si>
  <si>
    <t>Auspan-TRANSMIT-000151-Precast Column Dowel Plans</t>
  </si>
  <si>
    <t>Rejected: Requested to reissue as " For approval:KPTG-SADV-006741</t>
  </si>
  <si>
    <t>KPTG-SADV-006741</t>
  </si>
  <si>
    <t>KYFP-TRANSMIT-000014
Wet Fire penetration drawings</t>
  </si>
  <si>
    <t>Rejected: Document numbering is incorrect: KPTG-SADV-006742</t>
  </si>
  <si>
    <t>KPTG-SADV-006742</t>
  </si>
  <si>
    <t>NXES-TRANSMIT-000101
Electrical Penetration Layout</t>
  </si>
  <si>
    <t>#737</t>
  </si>
  <si>
    <t>P &amp; R-TRANSMIT-000127
Stage 2 MSSB - IFA</t>
  </si>
  <si>
    <t>KPTG-SADV-006744</t>
  </si>
  <si>
    <t>#736</t>
  </si>
  <si>
    <t>ARCH-TRANSMIT-000204
Re: MLC - SPR - ISC - Joinery update</t>
  </si>
  <si>
    <t>KPTG-TRANSMIT-003620</t>
  </si>
  <si>
    <t>Auspan-TRANSMIT-000152-Precast Column Dowel Plans</t>
  </si>
  <si>
    <t>WF-001280</t>
  </si>
  <si>
    <t>AdntCons-TRANSMIT-000018
Re: Latest Dry fire docs</t>
  </si>
  <si>
    <t>KPTG-TRANSMIT-003624</t>
  </si>
  <si>
    <t>Rejected:Incorrect document Numbering-KPTG-SADV-006744</t>
  </si>
  <si>
    <t>M.S.-TRANSMIT-000086
Re: Sample Sheets</t>
  </si>
  <si>
    <t>KPTG-TRANSMIT-003626</t>
  </si>
  <si>
    <t>NXES-TRANSMIT-000102-: Nexus Tech Data Sheets - Resubmission</t>
  </si>
  <si>
    <t>WF-001283</t>
  </si>
  <si>
    <t>P &amp; R-TRANSMIT-000125
Re: ISC - Updated MEC Penetrations</t>
  </si>
  <si>
    <t>KPTG-TRANSMIT-003627</t>
  </si>
  <si>
    <t>NXES-TRANSMIT-000101
Re: Electrical Penetration Layout</t>
  </si>
  <si>
    <t>KPTG-TRANSMIT-003629</t>
  </si>
  <si>
    <t>BTWA-TRANSMIT-000107
MLC Stage 2 - Rev C Shop drawing reissue</t>
  </si>
  <si>
    <t>KPTG-IntCorr-008979</t>
  </si>
  <si>
    <t>Auspan-TRANSMIT-000145
Resubmit precast shop drawings for approval due to architectural design change.</t>
  </si>
  <si>
    <t>workflow terminated:KPTG-SADV-006774</t>
  </si>
  <si>
    <t>07.02.2026</t>
  </si>
  <si>
    <t>ADP-TRANSMIT-000041
ADP MEL3393 - Updated Fire Protection Reg126</t>
  </si>
  <si>
    <t>updated document register, and transmitted to concerned trade partners: KPTG-TRANSMIT-003635</t>
  </si>
  <si>
    <t>Auspan-TRANSMIT-000147
Precast shop drawings for approval. Stage 2 Premium level 2.</t>
  </si>
  <si>
    <t>workflow terminated:KPTG-SADV-006797</t>
  </si>
  <si>
    <t>Fredon T-TRANSMIT-000040
AV Shop Drawings Complete IFC</t>
  </si>
  <si>
    <t>#740</t>
  </si>
  <si>
    <t>KPTG-TRANSMIT-003635</t>
  </si>
  <si>
    <t>Fredon T-TRANSMIT-000039
AV Shop Drawings for Approval</t>
  </si>
  <si>
    <t>#742</t>
  </si>
  <si>
    <t>NXES-TRANSMIT-000087
ISC CONDUIT MARKUP FOR SCOREBOARD SYSTEM</t>
  </si>
  <si>
    <t>KPTG-TRANSMIT-003637</t>
  </si>
  <si>
    <t>P &amp; R-TRANSMIT-000129
IFA Resubmission Pack</t>
  </si>
  <si>
    <t>Rejected: Revisions are not updated:KPTG-SADV-006804</t>
  </si>
  <si>
    <t>NXES-TRANSMIT-000096
Security Layout- As IFA</t>
  </si>
  <si>
    <t>KPTG-TRANSMIT-003638</t>
  </si>
  <si>
    <t>Auspan-TRANSMIT-000153
Precast shop drawings for approval. Premium Precast panels.</t>
  </si>
  <si>
    <t>WF-001287</t>
  </si>
  <si>
    <t>KPTG-SADV-006804</t>
  </si>
  <si>
    <t>Auspan-TRANSMIT-000154-Precast shop drawings for approval. Premium Precast panels.</t>
  </si>
  <si>
    <t>workflow combined WF-001287</t>
  </si>
  <si>
    <t>KPTG-IntCorr-009004</t>
  </si>
  <si>
    <t>BTWA-TRANSMIT-000107- MLC Stage 2 - Rev C Shop drawing reissue</t>
  </si>
  <si>
    <t>WORKFLOW RESUBMITTED#:738</t>
  </si>
  <si>
    <t>ARCH-TRANSMIT-000205
MLC - SPR - ISC - A2700 - Detail Wall section series update</t>
  </si>
  <si>
    <t>#745</t>
  </si>
  <si>
    <t>Workflow Terminated &amp; resubmitted: KPTG-TRANSMIT-003649</t>
  </si>
  <si>
    <t>Workflow Resubmitted: #746</t>
  </si>
  <si>
    <t>Auspan-TRANSMIT-000145-
precast shop drawings for approval due to architectural design change.</t>
  </si>
  <si>
    <t>KPTG-TRANSMIT-003643</t>
  </si>
  <si>
    <t>ECBS-TRANSMIT-000083
MLC Stage 2 - Tech Data</t>
  </si>
  <si>
    <t>WF-001289</t>
  </si>
  <si>
    <t>KPTG-TRANSMIT-003652</t>
  </si>
  <si>
    <t>BTWA-TRANSMIT-000112
MLC Curtain wall - Cast in Calcs - Stage 2</t>
  </si>
  <si>
    <t>Rejected: Incorrect Document Number</t>
  </si>
  <si>
    <t>Rejected: KPTG-SADV-006823</t>
  </si>
  <si>
    <t>BTWA-TRANSMIT-000113--MLC Curtain wall - Cast in Calcs - Stage 2</t>
  </si>
  <si>
    <t>WF-001291</t>
  </si>
  <si>
    <t>Auspan-TRANSMIT-000143
 precast shop drawings for approval. Premium Precast</t>
  </si>
  <si>
    <t>KPTG-TRANSMIT-003650</t>
  </si>
  <si>
    <t>Auspan-TRANSMIT-000155
Precast lid shop drawing for approval. Premium Precast</t>
  </si>
  <si>
    <t>WF-001292</t>
  </si>
  <si>
    <t>Auspan-TRANSMIT-000156
Precast lid shop drawing for approval. Premium Precast</t>
  </si>
  <si>
    <t>WF-001292 workflow combined</t>
  </si>
  <si>
    <t>Auspan-TRANSMIT-000157</t>
  </si>
  <si>
    <t>WF-001294</t>
  </si>
  <si>
    <t>Highbu-TRANSMIT-000167</t>
  </si>
  <si>
    <t>KPTG-TRANSMIT-003654</t>
  </si>
  <si>
    <t>BTWA-TRANSMIT-000110</t>
  </si>
  <si>
    <t>WF-001295</t>
  </si>
  <si>
    <t>ARCH-TRANSMIT-000203</t>
  </si>
  <si>
    <t>KPTG-TRANSMIT-003656</t>
  </si>
  <si>
    <t>BTWA-TRANSMIT-000115</t>
  </si>
  <si>
    <t>#752</t>
  </si>
  <si>
    <t>KPTG-TRANSMIT-003659</t>
  </si>
  <si>
    <t>BTWA-TRANSMIT-000116</t>
  </si>
  <si>
    <t>WF-001298</t>
  </si>
  <si>
    <t>ARCH-TRANSMIT-000205</t>
  </si>
  <si>
    <t>KPTG-TRANSMIT-003662</t>
  </si>
  <si>
    <t>BTWA-TRANSMIT-000113</t>
  </si>
  <si>
    <t>KPTG-TRANSMIT-003664</t>
  </si>
  <si>
    <t>SC-TRANSMIT-000060</t>
  </si>
  <si>
    <t xml:space="preserve">No Stamp-KPTG-IntCorr-009036
</t>
  </si>
  <si>
    <t>Fredon T-TRANSMIT-000040</t>
  </si>
  <si>
    <t>No Stamp - KPTG-IntCorr-009037</t>
  </si>
  <si>
    <t>Auspan-TRANSMIT-000150</t>
  </si>
  <si>
    <t>No Stamp-IntCorr-009038</t>
  </si>
  <si>
    <t>Auspan-TRANSMIT-000158</t>
  </si>
  <si>
    <t>WF-001299</t>
  </si>
  <si>
    <t xml:space="preserve">Terminated-KPTG-TRANSMIT-003666
</t>
  </si>
  <si>
    <t>RDSBIM-TRANSMIT-000155</t>
  </si>
  <si>
    <t>KPTG-IntCorr-009050</t>
  </si>
  <si>
    <t>BTWA-TRANSMIT-000123</t>
  </si>
  <si>
    <t>KPTG-TRANSMIT-003667</t>
  </si>
  <si>
    <t>Auspan-TRANSMIT-000149</t>
  </si>
  <si>
    <t>KPTG-TRANSMIT-003669</t>
  </si>
  <si>
    <t>BTWA-TRANSMIT-000124</t>
  </si>
  <si>
    <t>KPTG-TRANSMIT-003671</t>
  </si>
  <si>
    <t>KPTG-TRANSMIT-003668</t>
  </si>
  <si>
    <t>NXES-TRANSMIT-000103</t>
  </si>
  <si>
    <t>#757</t>
  </si>
  <si>
    <t>ARCH-TRANSMIT-000202</t>
  </si>
  <si>
    <t>#755</t>
  </si>
  <si>
    <t xml:space="preserve">Terminated
</t>
  </si>
  <si>
    <t>ARCH-TRANSMIT-000207</t>
  </si>
  <si>
    <t>KPTG-TRANSMIT-003672</t>
  </si>
  <si>
    <t>KPTG-WTRAN-002364</t>
  </si>
  <si>
    <t>No Stamp, Different status-KPTG-IntCorr-009045</t>
  </si>
  <si>
    <t>Workflow terminated:KPTG-IntCorr-009059</t>
  </si>
  <si>
    <t>BTWA-TRANSMIT-000128
MLC Stage 2 - Thermal calcs</t>
  </si>
  <si>
    <t>WF-001304</t>
  </si>
  <si>
    <t>ARCH-TRANSMIT-000208
MLC - SPR - ISC - Precast Panel elevation</t>
  </si>
  <si>
    <t>#759</t>
  </si>
  <si>
    <t>Highbu-TRANSMIT-000166- HP-PM-SMP-053 - Civil drainage pipework 225mm &amp; 300mm sample submission</t>
  </si>
  <si>
    <t>workflow terminated &amp; Resubmitted: KPTG-IntCorr-009064</t>
  </si>
  <si>
    <t>WF-001306</t>
  </si>
  <si>
    <t>RDSBIM-TRANSMIT-000156- RDS - MLCSPR2 - CPN - IFC-#761</t>
  </si>
  <si>
    <t>#761</t>
  </si>
  <si>
    <t>KPTG-IntCorr-009063
Nexus Technical Submittals</t>
  </si>
  <si>
    <t>WF-001308</t>
  </si>
  <si>
    <t>SC-TRANSMIT-000060- -Indoor Sports IFC-III</t>
  </si>
  <si>
    <t>WF-001309: workflow resubmitted</t>
  </si>
  <si>
    <t>BTWA-TRANSMIT-000128
: MLC Stage 2 - Thermal calcs</t>
  </si>
  <si>
    <t>KPTG-TRANSMIT-003677</t>
  </si>
  <si>
    <t>RDSBIM-TRANSMIT-000155- MLCSPR | INDOOR SPORTS CENTRE LEVEL 03 CONCRETE PROFILE PLAN-#763</t>
  </si>
  <si>
    <t>#763</t>
  </si>
  <si>
    <t>KPTG-TRANSMIT-003680</t>
  </si>
  <si>
    <t>NXES-TRANSMIT-000076
Nexus Tech Data - 123 and 201</t>
  </si>
  <si>
    <t>KPTG-TRANSMIT-003682</t>
  </si>
  <si>
    <t>P &amp; R-TRANSMIT-000113- Updated CPEF-01 &amp; Fan Schedule for IFC</t>
  </si>
  <si>
    <t>KPTG-TRANSMIT-003683</t>
  </si>
  <si>
    <t>P &amp; R-TRANSMIT-000122
P&amp;R Tech Data bug fix up</t>
  </si>
  <si>
    <t>KPTG-TRANSMIT-003685</t>
  </si>
  <si>
    <t>NXES-TRANSMIT-000100
Nexus Tech Data Sheets - Resubmission</t>
  </si>
  <si>
    <t>KPTG-TRANSMIT-003687</t>
  </si>
  <si>
    <t>SC-TRANSMIT-000060 -Indoor Sports IFC-II</t>
  </si>
  <si>
    <t>KPTG-TRANSMIT-003689</t>
  </si>
  <si>
    <t>SC-TRANSMIT-000060 Indoor Sports IFC-IV</t>
  </si>
  <si>
    <t>KPTG-TRANSMIT-003691</t>
  </si>
  <si>
    <t>P &amp; R-TRANSMIT-000118 -VRF STAGE 2 Amended 10.09.26</t>
  </si>
  <si>
    <t>KPTG-TRANSMIT-003693</t>
  </si>
  <si>
    <t>KPTG-TRANSMIT-003695</t>
  </si>
  <si>
    <t>SC-TRANSMIT-000060- Indoor Sports IFC-II</t>
  </si>
  <si>
    <t>KPTG-TRANSMIT-003697</t>
  </si>
  <si>
    <t>SC-TRANSMIT-000060 -Indoor Sports IFC-III</t>
  </si>
  <si>
    <t>KPTG-TRANSMIT-003699</t>
  </si>
  <si>
    <t>ARCH-TRANSMIT-000209
MLC - SPR - ISC - rectified attachments</t>
  </si>
  <si>
    <t>#767</t>
  </si>
  <si>
    <t>ARCH-TRANSMIT-000210
MLC - SPR - ISC - Concrete drawing update</t>
  </si>
  <si>
    <t>#769</t>
  </si>
  <si>
    <t>ARCH-TRANSMIT-000211
MLC - SPR - ISC - A2712 update</t>
  </si>
  <si>
    <t>#771</t>
  </si>
  <si>
    <t>ECBS-TRANSMIT-000085
MLC Stage 2 - Empire Tech Data</t>
  </si>
  <si>
    <t>Transmitted to all trade partners for information:KPTG-TRANSMIT-003673</t>
  </si>
  <si>
    <t>KPTG-TRANSMIT-003673</t>
  </si>
  <si>
    <t>WF-001303</t>
  </si>
  <si>
    <t>KPTG-TRANSMIT-003704</t>
  </si>
  <si>
    <t>ARCH-TRANSMIT-000208
Re: MLC - SPR - ISC - Precast Panel elevation</t>
  </si>
  <si>
    <t>KPTG-TRANSMIT-003706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</si>
</sst>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rgb="FFFFFFFF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theme="1"/>
      <name val="Aptos Narrow"/>
      <family val="2"/>
      <scheme val="minor"/>
    </font>
    <font>
      <sz val="10"/>
      <color rgb="FF242424"/>
      <name val="Aptos Narrow"/>
      <family val="2"/>
    </font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1"/>
      <color rgb="FF73746F"/>
      <name val="Arial"/>
      <family val="2"/>
    </font>
    <font>
      <sz val="10"/>
      <color rgb="FF333333"/>
      <name val="Arial Narrow"/>
      <family val="2"/>
    </font>
    <font>
      <sz val="10"/>
      <color rgb="FF000000"/>
      <name val="Calibri"/>
      <family val="2"/>
    </font>
    <font>
      <b/>
      <sz val="11"/>
      <color theme="0"/>
      <name val="Arial"/>
      <family val="2"/>
    </font>
    <font>
      <b/>
      <sz val="12"/>
      <color theme="0"/>
      <name val="Calibri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  <charset val="134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8"/>
      <name val="Aptos Narrow"/>
      <family val="2"/>
      <scheme val="minor"/>
    </font>
    <font>
      <sz val="11"/>
      <color rgb="FF333333"/>
      <name val="Arial"/>
      <family val="2"/>
    </font>
    <font>
      <sz val="11"/>
      <color theme="1"/>
      <name val="Arial"/>
      <family val="2"/>
    </font>
    <font>
      <sz val="11"/>
      <color rgb="FF333333"/>
      <name val="Arial Narrow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333333"/>
      <name val="Arial Narrow"/>
      <family val="2"/>
    </font>
    <font>
      <sz val="12"/>
      <color rgb="FF333333"/>
      <name val="Arial"/>
      <family val="2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3" fillId="3" borderId="3" xfId="0" applyFont="1" applyFill="1" applyBorder="1" applyAlignment="1">
      <alignment vertical="center"/>
    </xf>
    <xf numFmtId="14" fontId="3" fillId="3" borderId="4" xfId="0" applyNumberFormat="1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9" fillId="0" borderId="14" xfId="0" applyFont="1" applyBorder="1" applyAlignment="1">
      <alignment horizontal="left" vertical="center" wrapText="1"/>
    </xf>
    <xf numFmtId="0" fontId="10" fillId="7" borderId="15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 wrapText="1"/>
    </xf>
    <xf numFmtId="0" fontId="10" fillId="6" borderId="15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left" vertical="center" wrapText="1"/>
    </xf>
    <xf numFmtId="49" fontId="13" fillId="0" borderId="8" xfId="0" applyNumberFormat="1" applyFont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left" wrapText="1"/>
    </xf>
    <xf numFmtId="0" fontId="11" fillId="7" borderId="8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left"/>
    </xf>
    <xf numFmtId="0" fontId="10" fillId="6" borderId="8" xfId="0" applyFont="1" applyFill="1" applyBorder="1" applyAlignment="1">
      <alignment horizontal="center" wrapText="1"/>
    </xf>
    <xf numFmtId="0" fontId="10" fillId="6" borderId="8" xfId="0" applyFont="1" applyFill="1" applyBorder="1" applyAlignment="1">
      <alignment horizontal="center" vertical="center"/>
    </xf>
    <xf numFmtId="0" fontId="8" fillId="0" borderId="8" xfId="0" applyFont="1" applyBorder="1"/>
    <xf numFmtId="0" fontId="10" fillId="7" borderId="8" xfId="0" applyFont="1" applyFill="1" applyBorder="1" applyAlignment="1">
      <alignment horizontal="center"/>
    </xf>
    <xf numFmtId="0" fontId="14" fillId="0" borderId="8" xfId="0" applyFont="1" applyBorder="1" applyAlignment="1">
      <alignment horizontal="center" wrapText="1"/>
    </xf>
    <xf numFmtId="0" fontId="10" fillId="6" borderId="8" xfId="0" applyFont="1" applyFill="1" applyBorder="1" applyAlignment="1">
      <alignment horizontal="center"/>
    </xf>
    <xf numFmtId="0" fontId="5" fillId="0" borderId="8" xfId="0" applyFont="1" applyBorder="1"/>
    <xf numFmtId="0" fontId="1" fillId="8" borderId="11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vertic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2" fillId="7" borderId="11" xfId="0" applyFont="1" applyFill="1" applyBorder="1" applyAlignment="1">
      <alignment vertical="center" wrapText="1"/>
    </xf>
    <xf numFmtId="0" fontId="22" fillId="7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7" borderId="11" xfId="0" applyFont="1" applyFill="1" applyBorder="1" applyAlignment="1">
      <alignment wrapText="1"/>
    </xf>
    <xf numFmtId="0" fontId="23" fillId="0" borderId="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8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7" fillId="10" borderId="8" xfId="0" applyFont="1" applyFill="1" applyBorder="1" applyAlignment="1">
      <alignment horizontal="left" vertical="center" wrapText="1"/>
    </xf>
    <xf numFmtId="0" fontId="9" fillId="10" borderId="14" xfId="0" applyFont="1" applyFill="1" applyBorder="1" applyAlignment="1">
      <alignment horizontal="left" vertical="center" wrapText="1"/>
    </xf>
    <xf numFmtId="0" fontId="10" fillId="10" borderId="15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25" fillId="0" borderId="8" xfId="0" applyFont="1" applyBorder="1" applyAlignment="1">
      <alignment vertical="center" wrapText="1"/>
    </xf>
    <xf numFmtId="49" fontId="27" fillId="0" borderId="8" xfId="0" applyNumberFormat="1" applyFont="1" applyBorder="1" applyAlignment="1">
      <alignment horizontal="center" vertical="center" wrapText="1"/>
    </xf>
    <xf numFmtId="0" fontId="28" fillId="7" borderId="8" xfId="0" applyFont="1" applyFill="1" applyBorder="1" applyAlignment="1">
      <alignment horizontal="center"/>
    </xf>
    <xf numFmtId="0" fontId="29" fillId="6" borderId="8" xfId="0" applyFont="1" applyFill="1" applyBorder="1" applyAlignment="1">
      <alignment horizontal="center" wrapText="1"/>
    </xf>
    <xf numFmtId="0" fontId="29" fillId="6" borderId="8" xfId="0" applyFont="1" applyFill="1" applyBorder="1" applyAlignment="1">
      <alignment horizontal="left" wrapText="1"/>
    </xf>
    <xf numFmtId="0" fontId="28" fillId="7" borderId="8" xfId="0" applyFont="1" applyFill="1" applyBorder="1" applyAlignment="1">
      <alignment horizontal="center" vertical="center"/>
    </xf>
    <xf numFmtId="0" fontId="29" fillId="6" borderId="8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49" fontId="26" fillId="0" borderId="8" xfId="0" applyNumberFormat="1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22" fillId="7" borderId="14" xfId="0" applyFont="1" applyFill="1" applyBorder="1" applyAlignment="1">
      <alignment vertical="center" wrapText="1"/>
    </xf>
    <xf numFmtId="0" fontId="22" fillId="0" borderId="14" xfId="0" applyFont="1" applyBorder="1" applyAlignment="1">
      <alignment horizontal="center" vertical="center"/>
    </xf>
    <xf numFmtId="0" fontId="0" fillId="0" borderId="14" xfId="0" applyBorder="1"/>
    <xf numFmtId="14" fontId="3" fillId="3" borderId="14" xfId="0" applyNumberFormat="1" applyFont="1" applyFill="1" applyBorder="1" applyAlignment="1">
      <alignment horizontal="left" vertical="center"/>
    </xf>
    <xf numFmtId="0" fontId="22" fillId="7" borderId="24" xfId="0" applyFont="1" applyFill="1" applyBorder="1" applyAlignment="1">
      <alignment vertical="center" wrapText="1"/>
    </xf>
    <xf numFmtId="0" fontId="22" fillId="7" borderId="24" xfId="0" applyFont="1" applyFill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0" fillId="0" borderId="24" xfId="0" applyBorder="1"/>
    <xf numFmtId="14" fontId="3" fillId="3" borderId="24" xfId="0" applyNumberFormat="1" applyFont="1" applyFill="1" applyBorder="1" applyAlignment="1">
      <alignment horizontal="left" vertical="center"/>
    </xf>
    <xf numFmtId="49" fontId="29" fillId="6" borderId="8" xfId="0" applyNumberFormat="1" applyFont="1" applyFill="1" applyBorder="1" applyAlignment="1">
      <alignment horizontal="center" vertical="center"/>
    </xf>
    <xf numFmtId="49" fontId="30" fillId="6" borderId="8" xfId="0" applyNumberFormat="1" applyFont="1" applyFill="1" applyBorder="1" applyAlignment="1">
      <alignment horizontal="center" vertical="center" wrapText="1"/>
    </xf>
    <xf numFmtId="49" fontId="31" fillId="0" borderId="8" xfId="0" applyNumberFormat="1" applyFont="1" applyBorder="1" applyAlignment="1">
      <alignment horizontal="left" vertical="center" wrapText="1"/>
    </xf>
    <xf numFmtId="49" fontId="31" fillId="0" borderId="8" xfId="0" applyNumberFormat="1" applyFont="1" applyBorder="1" applyAlignment="1">
      <alignment vertical="top" wrapText="1"/>
    </xf>
    <xf numFmtId="49" fontId="0" fillId="0" borderId="8" xfId="0" applyNumberForma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49" fontId="32" fillId="0" borderId="0" xfId="0" applyNumberFormat="1" applyFont="1" applyAlignment="1">
      <alignment vertical="center" wrapText="1"/>
    </xf>
    <xf numFmtId="49" fontId="32" fillId="0" borderId="8" xfId="0" applyNumberFormat="1" applyFont="1" applyBorder="1" applyAlignment="1">
      <alignment vertical="center" wrapText="1"/>
    </xf>
    <xf numFmtId="49" fontId="33" fillId="6" borderId="8" xfId="0" applyNumberFormat="1" applyFont="1" applyFill="1" applyBorder="1" applyAlignment="1">
      <alignment horizontal="left" wrapText="1"/>
    </xf>
    <xf numFmtId="0" fontId="25" fillId="0" borderId="0" xfId="0" applyFont="1"/>
    <xf numFmtId="0" fontId="30" fillId="6" borderId="8" xfId="0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23" fillId="0" borderId="8" xfId="0" applyFont="1" applyBorder="1" applyAlignment="1">
      <alignment wrapText="1"/>
    </xf>
    <xf numFmtId="0" fontId="5" fillId="0" borderId="8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23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5BE0-27EB-4D78-8BD5-1ADFEA17EEB2}">
  <dimension ref="A2:I27"/>
  <sheetViews>
    <sheetView topLeftCell="A6" workbookViewId="0">
      <selection activeCell="F14" sqref="F14"/>
    </sheetView>
  </sheetViews>
  <sheetFormatPr defaultRowHeight="14.4" x14ac:dyDescent="0.3"/>
  <cols>
    <col min="1" max="1" width="30.109375" customWidth="1"/>
    <col min="2" max="2" width="12.33203125" customWidth="1"/>
    <col min="3" max="3" width="13.6640625" customWidth="1"/>
    <col min="4" max="4" width="13.44140625" customWidth="1"/>
    <col min="5" max="5" width="27" customWidth="1"/>
    <col min="6" max="6" width="19.33203125" customWidth="1"/>
    <col min="7" max="7" width="15.33203125" customWidth="1"/>
    <col min="8" max="8" width="17.5546875" customWidth="1"/>
    <col min="9" max="9" width="18.109375" customWidth="1"/>
  </cols>
  <sheetData>
    <row r="2" spans="1:9" ht="17.399999999999999" x14ac:dyDescent="0.3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9" ht="15.6" x14ac:dyDescent="0.3">
      <c r="A3" s="1" t="s">
        <v>1</v>
      </c>
      <c r="B3" s="2">
        <v>46296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114"/>
      <c r="B4" s="115"/>
      <c r="C4" s="115"/>
      <c r="D4" s="115"/>
      <c r="E4" s="115"/>
      <c r="F4" s="115"/>
      <c r="G4" s="115"/>
      <c r="H4" s="115"/>
      <c r="I4" s="116"/>
    </row>
    <row r="5" spans="1:9" ht="15.6" x14ac:dyDescent="0.3">
      <c r="A5" s="117" t="s">
        <v>4</v>
      </c>
      <c r="B5" s="117"/>
      <c r="C5" s="117"/>
      <c r="D5" s="117"/>
      <c r="E5" s="117"/>
      <c r="F5" s="118" t="s">
        <v>5</v>
      </c>
      <c r="G5" s="118"/>
      <c r="H5" s="118"/>
      <c r="I5" s="118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52.8" x14ac:dyDescent="0.3">
      <c r="A7" s="12" t="s">
        <v>12</v>
      </c>
      <c r="B7" s="12">
        <v>0</v>
      </c>
      <c r="C7" s="12">
        <v>15</v>
      </c>
      <c r="D7" s="12">
        <v>0</v>
      </c>
      <c r="E7" s="13" t="s">
        <v>13</v>
      </c>
      <c r="F7" s="14" t="s">
        <v>14</v>
      </c>
      <c r="G7" s="12">
        <v>6</v>
      </c>
      <c r="H7" s="15">
        <v>0</v>
      </c>
      <c r="I7" s="16" t="s">
        <v>15</v>
      </c>
    </row>
    <row r="8" spans="1:9" ht="55.2" x14ac:dyDescent="0.3">
      <c r="A8" s="12" t="s">
        <v>16</v>
      </c>
      <c r="B8" s="12">
        <v>7</v>
      </c>
      <c r="C8" s="12">
        <v>0</v>
      </c>
      <c r="D8" s="12">
        <v>0</v>
      </c>
      <c r="E8" s="13" t="s">
        <v>17</v>
      </c>
      <c r="F8" s="17" t="s">
        <v>18</v>
      </c>
      <c r="G8" s="18">
        <v>3</v>
      </c>
      <c r="H8" s="19">
        <v>0</v>
      </c>
      <c r="I8" s="20" t="s">
        <v>19</v>
      </c>
    </row>
    <row r="9" spans="1:9" ht="69" x14ac:dyDescent="0.3">
      <c r="A9" s="12" t="s">
        <v>14</v>
      </c>
      <c r="B9" s="12">
        <v>6</v>
      </c>
      <c r="C9" s="12">
        <v>0</v>
      </c>
      <c r="D9" s="12">
        <v>0</v>
      </c>
      <c r="E9" s="12" t="s">
        <v>20</v>
      </c>
      <c r="F9" s="21" t="s">
        <v>21</v>
      </c>
      <c r="G9" s="22">
        <v>1</v>
      </c>
      <c r="H9" s="22">
        <v>0</v>
      </c>
      <c r="I9" s="23" t="s">
        <v>22</v>
      </c>
    </row>
    <row r="10" spans="1:9" ht="55.2" x14ac:dyDescent="0.3">
      <c r="A10" s="12" t="s">
        <v>23</v>
      </c>
      <c r="B10" s="12">
        <v>0</v>
      </c>
      <c r="C10" s="12">
        <v>1</v>
      </c>
      <c r="D10" s="12">
        <v>0</v>
      </c>
      <c r="E10" s="57" t="s">
        <v>24</v>
      </c>
      <c r="F10" s="21" t="s">
        <v>25</v>
      </c>
      <c r="G10" s="22">
        <v>1</v>
      </c>
      <c r="H10" s="22">
        <v>0</v>
      </c>
      <c r="I10" s="23" t="s">
        <v>26</v>
      </c>
    </row>
    <row r="11" spans="1:9" ht="55.2" x14ac:dyDescent="0.3">
      <c r="A11" s="24" t="s">
        <v>21</v>
      </c>
      <c r="B11" s="12">
        <v>0</v>
      </c>
      <c r="C11" s="12">
        <v>1</v>
      </c>
      <c r="D11" s="12">
        <v>0</v>
      </c>
      <c r="E11" s="13" t="s">
        <v>27</v>
      </c>
      <c r="F11" s="25" t="s">
        <v>28</v>
      </c>
      <c r="G11" s="26">
        <v>8</v>
      </c>
      <c r="H11" s="26">
        <v>0</v>
      </c>
      <c r="I11" s="27" t="s">
        <v>29</v>
      </c>
    </row>
    <row r="12" spans="1:9" ht="96.6" x14ac:dyDescent="0.3">
      <c r="A12" s="24" t="s">
        <v>30</v>
      </c>
      <c r="B12" s="12">
        <v>0</v>
      </c>
      <c r="C12" s="12">
        <v>1</v>
      </c>
      <c r="D12" s="12">
        <v>0</v>
      </c>
      <c r="E12" s="13" t="s">
        <v>31</v>
      </c>
      <c r="F12" s="25" t="s">
        <v>32</v>
      </c>
      <c r="G12" s="26">
        <v>13</v>
      </c>
      <c r="H12" s="26">
        <v>0</v>
      </c>
      <c r="I12" s="28" t="s">
        <v>33</v>
      </c>
    </row>
    <row r="13" spans="1:9" ht="69" x14ac:dyDescent="0.3">
      <c r="A13" s="24" t="s">
        <v>34</v>
      </c>
      <c r="B13" s="12">
        <v>0</v>
      </c>
      <c r="C13" s="12">
        <v>1</v>
      </c>
      <c r="D13" s="12">
        <v>0</v>
      </c>
      <c r="E13" s="13" t="s">
        <v>35</v>
      </c>
      <c r="F13" s="25" t="s">
        <v>36</v>
      </c>
      <c r="G13" s="26">
        <v>24</v>
      </c>
      <c r="H13" s="26">
        <v>0</v>
      </c>
      <c r="I13" s="28" t="s">
        <v>37</v>
      </c>
    </row>
    <row r="14" spans="1:9" ht="82.8" x14ac:dyDescent="0.3">
      <c r="A14" s="24" t="s">
        <v>25</v>
      </c>
      <c r="B14" s="12">
        <v>0</v>
      </c>
      <c r="C14" s="12">
        <v>1</v>
      </c>
      <c r="D14" s="12">
        <v>0</v>
      </c>
      <c r="E14" s="13" t="s">
        <v>38</v>
      </c>
      <c r="F14" s="25" t="s">
        <v>39</v>
      </c>
      <c r="G14" s="26">
        <v>1</v>
      </c>
      <c r="H14" s="26">
        <v>0</v>
      </c>
      <c r="I14" s="28" t="s">
        <v>40</v>
      </c>
    </row>
    <row r="15" spans="1:9" ht="41.4" x14ac:dyDescent="0.3">
      <c r="A15" s="24" t="s">
        <v>28</v>
      </c>
      <c r="B15" s="12">
        <v>8</v>
      </c>
      <c r="C15" s="12">
        <v>0</v>
      </c>
      <c r="D15" s="12">
        <v>0</v>
      </c>
      <c r="E15" s="13" t="s">
        <v>41</v>
      </c>
      <c r="F15" s="25"/>
      <c r="G15" s="26"/>
      <c r="H15" s="26"/>
      <c r="I15" s="28"/>
    </row>
    <row r="16" spans="1:9" ht="41.4" x14ac:dyDescent="0.3">
      <c r="A16" s="24" t="s">
        <v>36</v>
      </c>
      <c r="B16" s="12">
        <v>24</v>
      </c>
      <c r="C16" s="12">
        <v>0</v>
      </c>
      <c r="D16" s="12">
        <v>0</v>
      </c>
      <c r="E16" s="13" t="s">
        <v>42</v>
      </c>
      <c r="F16" s="25"/>
      <c r="G16" s="26"/>
      <c r="H16" s="26"/>
      <c r="I16" s="28"/>
    </row>
    <row r="17" spans="1:9" ht="41.4" x14ac:dyDescent="0.3">
      <c r="A17" s="24" t="s">
        <v>43</v>
      </c>
      <c r="B17" s="12">
        <v>1</v>
      </c>
      <c r="C17" s="12">
        <v>0</v>
      </c>
      <c r="D17" s="12">
        <v>0</v>
      </c>
      <c r="E17" s="13" t="s">
        <v>44</v>
      </c>
      <c r="F17" s="25"/>
      <c r="G17" s="26"/>
      <c r="H17" s="26"/>
      <c r="I17" s="28"/>
    </row>
    <row r="18" spans="1:9" x14ac:dyDescent="0.3">
      <c r="A18" s="24"/>
      <c r="B18" s="12"/>
      <c r="C18" s="12"/>
      <c r="D18" s="12"/>
      <c r="E18" s="13"/>
      <c r="F18" s="25"/>
      <c r="G18" s="26"/>
      <c r="H18" s="26"/>
      <c r="I18" s="28"/>
    </row>
    <row r="19" spans="1:9" x14ac:dyDescent="0.3">
      <c r="A19" s="24"/>
      <c r="B19" s="12"/>
      <c r="C19" s="12"/>
      <c r="D19" s="12"/>
      <c r="E19" s="13"/>
      <c r="F19" s="25"/>
      <c r="G19" s="22"/>
      <c r="H19" s="22"/>
      <c r="I19" s="29"/>
    </row>
    <row r="20" spans="1:9" x14ac:dyDescent="0.3">
      <c r="A20" s="30"/>
      <c r="B20" s="31"/>
      <c r="C20" s="26"/>
      <c r="D20" s="26"/>
      <c r="E20" s="32"/>
      <c r="F20" s="33"/>
      <c r="G20" s="26"/>
      <c r="H20" s="26"/>
      <c r="I20" s="34"/>
    </row>
    <row r="21" spans="1:9" ht="17.399999999999999" x14ac:dyDescent="0.3">
      <c r="A21" s="35">
        <f>COUNTA(A7:A20)</f>
        <v>11</v>
      </c>
      <c r="B21" s="36">
        <f>SUM(B7:B20)</f>
        <v>46</v>
      </c>
      <c r="C21" s="36">
        <f>SUM(C7:C20)</f>
        <v>20</v>
      </c>
      <c r="D21" s="36">
        <f>SUM(D7:D20)</f>
        <v>0</v>
      </c>
      <c r="E21" s="37"/>
      <c r="F21" s="38">
        <f>COUNTA(F7:F20)</f>
        <v>8</v>
      </c>
      <c r="G21" s="39">
        <f>SUM(G7:G20)</f>
        <v>57</v>
      </c>
      <c r="H21" s="39"/>
      <c r="I21" s="40"/>
    </row>
    <row r="22" spans="1:9" ht="15.6" x14ac:dyDescent="0.3">
      <c r="I22" s="41"/>
    </row>
    <row r="23" spans="1:9" ht="15" x14ac:dyDescent="0.3">
      <c r="A23" s="42"/>
      <c r="B23" s="43"/>
      <c r="C23" s="43"/>
      <c r="D23" s="42"/>
      <c r="E23" s="42"/>
      <c r="F23" s="42"/>
      <c r="G23" s="42"/>
      <c r="H23" s="42"/>
      <c r="I23" s="42"/>
    </row>
    <row r="24" spans="1:9" ht="15.6" x14ac:dyDescent="0.3">
      <c r="A24" s="119" t="s">
        <v>45</v>
      </c>
      <c r="B24" s="120"/>
      <c r="C24" s="120"/>
      <c r="D24" s="120"/>
      <c r="E24" s="121"/>
      <c r="F24" s="122"/>
      <c r="G24" s="42"/>
      <c r="H24" s="42"/>
      <c r="I24" s="42"/>
    </row>
    <row r="25" spans="1:9" ht="39.6" x14ac:dyDescent="0.3">
      <c r="A25" s="44" t="s">
        <v>6</v>
      </c>
      <c r="B25" s="45" t="s">
        <v>1</v>
      </c>
      <c r="C25" s="46" t="s">
        <v>11</v>
      </c>
      <c r="D25" s="47" t="s">
        <v>9</v>
      </c>
      <c r="E25" s="125" t="s">
        <v>10</v>
      </c>
      <c r="F25" s="125"/>
      <c r="G25" s="48"/>
      <c r="H25" s="48"/>
      <c r="I25" s="48"/>
    </row>
    <row r="26" spans="1:9" ht="43.2" x14ac:dyDescent="0.3">
      <c r="A26" s="54" t="s">
        <v>46</v>
      </c>
      <c r="B26" s="51" t="s">
        <v>47</v>
      </c>
      <c r="C26" s="52">
        <v>1</v>
      </c>
      <c r="D26" s="53">
        <v>1</v>
      </c>
      <c r="E26" s="124" t="s">
        <v>48</v>
      </c>
      <c r="F26" s="124"/>
      <c r="G26" s="49"/>
      <c r="H26" s="49"/>
      <c r="I26" s="49"/>
    </row>
    <row r="27" spans="1:9" ht="15" x14ac:dyDescent="0.3">
      <c r="A27" s="50"/>
      <c r="B27" s="51"/>
      <c r="C27" s="52"/>
      <c r="D27" s="53"/>
      <c r="E27" s="55"/>
      <c r="F27" s="56"/>
      <c r="G27" s="49"/>
      <c r="H27" s="49"/>
      <c r="I27" s="49"/>
    </row>
  </sheetData>
  <mergeCells count="7">
    <mergeCell ref="E26:F26"/>
    <mergeCell ref="A2:I2"/>
    <mergeCell ref="A4:I4"/>
    <mergeCell ref="A5:E5"/>
    <mergeCell ref="F5:I5"/>
    <mergeCell ref="A24:F24"/>
    <mergeCell ref="E25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B663-AD35-4C1E-88C2-BA495E6B6E87}">
  <dimension ref="A2:I27"/>
  <sheetViews>
    <sheetView topLeftCell="A5" workbookViewId="0">
      <selection activeCell="I12" sqref="I12"/>
    </sheetView>
  </sheetViews>
  <sheetFormatPr defaultRowHeight="14.4" x14ac:dyDescent="0.3"/>
  <cols>
    <col min="1" max="1" width="30.109375" customWidth="1"/>
    <col min="2" max="2" width="12.33203125" customWidth="1"/>
    <col min="3" max="3" width="13.6640625" customWidth="1"/>
    <col min="4" max="4" width="13.44140625" customWidth="1"/>
    <col min="5" max="5" width="27" customWidth="1"/>
    <col min="6" max="6" width="19.33203125" customWidth="1"/>
    <col min="7" max="7" width="15.33203125" customWidth="1"/>
    <col min="8" max="8" width="17.5546875" customWidth="1"/>
    <col min="9" max="9" width="18.109375" customWidth="1"/>
  </cols>
  <sheetData>
    <row r="2" spans="1:9" ht="17.399999999999999" x14ac:dyDescent="0.3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9" ht="15.6" x14ac:dyDescent="0.3">
      <c r="A3" s="1" t="s">
        <v>1</v>
      </c>
      <c r="B3" s="2">
        <v>46297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114"/>
      <c r="B4" s="115"/>
      <c r="C4" s="115"/>
      <c r="D4" s="115"/>
      <c r="E4" s="115"/>
      <c r="F4" s="115"/>
      <c r="G4" s="115"/>
      <c r="H4" s="115"/>
      <c r="I4" s="116"/>
    </row>
    <row r="5" spans="1:9" ht="15.6" x14ac:dyDescent="0.3">
      <c r="A5" s="117" t="s">
        <v>4</v>
      </c>
      <c r="B5" s="117"/>
      <c r="C5" s="117"/>
      <c r="D5" s="117"/>
      <c r="E5" s="117"/>
      <c r="F5" s="118" t="s">
        <v>5</v>
      </c>
      <c r="G5" s="118"/>
      <c r="H5" s="118"/>
      <c r="I5" s="118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52.8" x14ac:dyDescent="0.3">
      <c r="A7" s="12" t="s">
        <v>49</v>
      </c>
      <c r="B7" s="12">
        <v>5</v>
      </c>
      <c r="C7" s="12">
        <v>0</v>
      </c>
      <c r="D7" s="12">
        <v>0</v>
      </c>
      <c r="E7" s="13" t="s">
        <v>50</v>
      </c>
      <c r="F7" s="14" t="s">
        <v>51</v>
      </c>
      <c r="G7" s="12">
        <v>3</v>
      </c>
      <c r="H7" s="15">
        <v>0</v>
      </c>
      <c r="I7" s="16" t="s">
        <v>52</v>
      </c>
    </row>
    <row r="8" spans="1:9" ht="55.2" x14ac:dyDescent="0.3">
      <c r="A8" s="12" t="s">
        <v>53</v>
      </c>
      <c r="B8" s="12">
        <v>4</v>
      </c>
      <c r="C8" s="12">
        <v>0</v>
      </c>
      <c r="D8" s="12">
        <v>0</v>
      </c>
      <c r="E8" s="13" t="s">
        <v>54</v>
      </c>
      <c r="F8" s="17" t="s">
        <v>55</v>
      </c>
      <c r="G8" s="18">
        <v>3</v>
      </c>
      <c r="H8" s="19">
        <v>0</v>
      </c>
      <c r="I8" s="20" t="s">
        <v>56</v>
      </c>
    </row>
    <row r="9" spans="1:9" ht="41.4" x14ac:dyDescent="0.3">
      <c r="A9" s="12" t="s">
        <v>28</v>
      </c>
      <c r="B9" s="12">
        <v>8</v>
      </c>
      <c r="C9" s="12">
        <v>0</v>
      </c>
      <c r="D9" s="12">
        <v>0</v>
      </c>
      <c r="E9" s="12" t="s">
        <v>57</v>
      </c>
      <c r="F9" s="21" t="s">
        <v>58</v>
      </c>
      <c r="G9" s="22">
        <v>0</v>
      </c>
      <c r="H9" s="22">
        <v>99</v>
      </c>
      <c r="I9" s="23" t="s">
        <v>59</v>
      </c>
    </row>
    <row r="10" spans="1:9" ht="39.6" x14ac:dyDescent="0.3">
      <c r="A10" s="12" t="s">
        <v>60</v>
      </c>
      <c r="B10" s="12">
        <v>6</v>
      </c>
      <c r="C10" s="12">
        <v>0</v>
      </c>
      <c r="D10" s="12">
        <v>0</v>
      </c>
      <c r="E10" s="57" t="s">
        <v>61</v>
      </c>
      <c r="F10" s="21"/>
      <c r="G10" s="22"/>
      <c r="H10" s="22"/>
      <c r="I10" s="23"/>
    </row>
    <row r="11" spans="1:9" ht="41.4" x14ac:dyDescent="0.3">
      <c r="A11" s="24" t="s">
        <v>62</v>
      </c>
      <c r="B11" s="12">
        <v>4</v>
      </c>
      <c r="C11" s="12">
        <v>0</v>
      </c>
      <c r="D11" s="12">
        <v>0</v>
      </c>
      <c r="E11" s="13" t="s">
        <v>63</v>
      </c>
      <c r="F11" s="25"/>
      <c r="G11" s="26"/>
      <c r="H11" s="26"/>
      <c r="I11" s="27"/>
    </row>
    <row r="12" spans="1:9" ht="27.6" x14ac:dyDescent="0.3">
      <c r="A12" s="24" t="s">
        <v>64</v>
      </c>
      <c r="B12" s="12">
        <v>3</v>
      </c>
      <c r="C12" s="12">
        <v>0</v>
      </c>
      <c r="D12" s="12">
        <v>0</v>
      </c>
      <c r="E12" s="13" t="s">
        <v>65</v>
      </c>
      <c r="F12" s="25"/>
      <c r="G12" s="26"/>
      <c r="H12" s="26"/>
      <c r="I12" s="28"/>
    </row>
    <row r="13" spans="1:9" ht="27.6" x14ac:dyDescent="0.3">
      <c r="A13" s="24" t="s">
        <v>66</v>
      </c>
      <c r="B13" s="12">
        <v>0</v>
      </c>
      <c r="C13" s="12">
        <v>1</v>
      </c>
      <c r="D13" s="12">
        <v>0</v>
      </c>
      <c r="E13" s="13" t="s">
        <v>67</v>
      </c>
      <c r="F13" s="25"/>
      <c r="G13" s="26"/>
      <c r="H13" s="26"/>
      <c r="I13" s="28"/>
    </row>
    <row r="14" spans="1:9" ht="41.4" x14ac:dyDescent="0.3">
      <c r="A14" s="24" t="s">
        <v>68</v>
      </c>
      <c r="B14" s="12">
        <v>0</v>
      </c>
      <c r="C14" s="12">
        <v>6</v>
      </c>
      <c r="D14" s="12">
        <v>6</v>
      </c>
      <c r="E14" s="13" t="s">
        <v>69</v>
      </c>
      <c r="F14" s="25"/>
      <c r="G14" s="26"/>
      <c r="H14" s="26"/>
      <c r="I14" s="28"/>
    </row>
    <row r="15" spans="1:9" ht="27.6" x14ac:dyDescent="0.3">
      <c r="A15" s="24" t="s">
        <v>70</v>
      </c>
      <c r="B15" s="12">
        <v>0</v>
      </c>
      <c r="C15" s="12">
        <v>1</v>
      </c>
      <c r="D15" s="12">
        <v>0</v>
      </c>
      <c r="E15" s="13" t="s">
        <v>71</v>
      </c>
      <c r="F15" s="25"/>
      <c r="G15" s="26"/>
      <c r="H15" s="26"/>
      <c r="I15" s="28"/>
    </row>
    <row r="16" spans="1:9" x14ac:dyDescent="0.3">
      <c r="A16" s="24"/>
      <c r="B16" s="12"/>
      <c r="C16" s="12"/>
      <c r="D16" s="12"/>
      <c r="E16" s="13"/>
      <c r="F16" s="25"/>
      <c r="G16" s="26"/>
      <c r="H16" s="26"/>
      <c r="I16" s="28"/>
    </row>
    <row r="17" spans="1:9" x14ac:dyDescent="0.3">
      <c r="A17" s="24"/>
      <c r="B17" s="12"/>
      <c r="C17" s="12"/>
      <c r="D17" s="12"/>
      <c r="E17" s="13"/>
      <c r="F17" s="25"/>
      <c r="G17" s="26"/>
      <c r="H17" s="26"/>
      <c r="I17" s="28"/>
    </row>
    <row r="18" spans="1:9" x14ac:dyDescent="0.3">
      <c r="A18" s="24"/>
      <c r="B18" s="12"/>
      <c r="C18" s="12"/>
      <c r="D18" s="12"/>
      <c r="E18" s="13"/>
      <c r="F18" s="25"/>
      <c r="G18" s="26"/>
      <c r="H18" s="26"/>
      <c r="I18" s="28"/>
    </row>
    <row r="19" spans="1:9" x14ac:dyDescent="0.3">
      <c r="A19" s="24"/>
      <c r="B19" s="12"/>
      <c r="C19" s="12"/>
      <c r="D19" s="12"/>
      <c r="E19" s="13"/>
      <c r="F19" s="25"/>
      <c r="G19" s="22"/>
      <c r="H19" s="22"/>
      <c r="I19" s="29"/>
    </row>
    <row r="20" spans="1:9" x14ac:dyDescent="0.3">
      <c r="A20" s="30"/>
      <c r="B20" s="31"/>
      <c r="C20" s="26"/>
      <c r="D20" s="26"/>
      <c r="E20" s="32"/>
      <c r="F20" s="33"/>
      <c r="G20" s="26"/>
      <c r="H20" s="26"/>
      <c r="I20" s="34"/>
    </row>
    <row r="21" spans="1:9" ht="17.399999999999999" x14ac:dyDescent="0.3">
      <c r="A21" s="35">
        <f>COUNTA(A7:A20)</f>
        <v>9</v>
      </c>
      <c r="B21" s="36">
        <f>SUM(B7:B20)</f>
        <v>30</v>
      </c>
      <c r="C21" s="36">
        <f>SUM(C7:C20)</f>
        <v>8</v>
      </c>
      <c r="D21" s="36">
        <f>SUM(D7:D20)</f>
        <v>6</v>
      </c>
      <c r="E21" s="37"/>
      <c r="F21" s="38">
        <f>COUNTA(F7:F20)</f>
        <v>3</v>
      </c>
      <c r="G21" s="39">
        <f>SUM(G7:G20)</f>
        <v>6</v>
      </c>
      <c r="H21" s="39">
        <f>SUM(H7:H20)</f>
        <v>99</v>
      </c>
      <c r="I21" s="40"/>
    </row>
    <row r="22" spans="1:9" ht="15.6" x14ac:dyDescent="0.3">
      <c r="I22" s="41"/>
    </row>
    <row r="23" spans="1:9" ht="15" x14ac:dyDescent="0.3">
      <c r="A23" s="42"/>
      <c r="B23" s="43"/>
      <c r="C23" s="43"/>
      <c r="D23" s="42"/>
      <c r="E23" s="42"/>
      <c r="F23" s="42"/>
      <c r="G23" s="42"/>
      <c r="H23" s="42"/>
      <c r="I23" s="42"/>
    </row>
    <row r="24" spans="1:9" ht="15.6" x14ac:dyDescent="0.3">
      <c r="A24" s="119" t="s">
        <v>45</v>
      </c>
      <c r="B24" s="120"/>
      <c r="C24" s="120"/>
      <c r="D24" s="120"/>
      <c r="E24" s="121"/>
      <c r="F24" s="122"/>
      <c r="G24" s="42"/>
      <c r="H24" s="42"/>
      <c r="I24" s="42"/>
    </row>
    <row r="25" spans="1:9" ht="39.6" x14ac:dyDescent="0.3">
      <c r="A25" s="44" t="s">
        <v>6</v>
      </c>
      <c r="B25" s="45" t="s">
        <v>1</v>
      </c>
      <c r="C25" s="46" t="s">
        <v>11</v>
      </c>
      <c r="D25" s="47" t="s">
        <v>9</v>
      </c>
      <c r="E25" s="125" t="s">
        <v>10</v>
      </c>
      <c r="F25" s="125"/>
      <c r="G25" s="48"/>
      <c r="H25" s="48"/>
      <c r="I25" s="48"/>
    </row>
    <row r="26" spans="1:9" ht="43.2" x14ac:dyDescent="0.3">
      <c r="A26" s="54" t="s">
        <v>46</v>
      </c>
      <c r="B26" s="51" t="s">
        <v>47</v>
      </c>
      <c r="C26" s="52">
        <v>1</v>
      </c>
      <c r="D26" s="53">
        <v>1</v>
      </c>
      <c r="E26" s="124" t="s">
        <v>48</v>
      </c>
      <c r="F26" s="124"/>
      <c r="G26" s="49"/>
      <c r="H26" s="49"/>
      <c r="I26" s="49"/>
    </row>
    <row r="27" spans="1:9" ht="15" x14ac:dyDescent="0.3">
      <c r="A27" s="50"/>
      <c r="B27" s="51"/>
      <c r="C27" s="52"/>
      <c r="D27" s="53"/>
      <c r="E27" s="55"/>
      <c r="F27" s="56"/>
      <c r="G27" s="49"/>
      <c r="H27" s="49"/>
      <c r="I27" s="49"/>
    </row>
  </sheetData>
  <mergeCells count="7">
    <mergeCell ref="E26:F26"/>
    <mergeCell ref="A2:I2"/>
    <mergeCell ref="A4:I4"/>
    <mergeCell ref="A5:E5"/>
    <mergeCell ref="F5:I5"/>
    <mergeCell ref="A24:F24"/>
    <mergeCell ref="E25:F25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ABA5-59ED-4D6B-9E82-76449D10A06E}">
  <dimension ref="A2:I26"/>
  <sheetViews>
    <sheetView topLeftCell="A6" workbookViewId="0">
      <selection activeCell="I14" sqref="I14"/>
    </sheetView>
  </sheetViews>
  <sheetFormatPr defaultRowHeight="14.4" x14ac:dyDescent="0.3"/>
  <cols>
    <col min="1" max="1" width="30.109375" customWidth="1"/>
    <col min="2" max="2" width="12.33203125" customWidth="1"/>
    <col min="3" max="3" width="13.6640625" customWidth="1"/>
    <col min="4" max="4" width="13.44140625" customWidth="1"/>
    <col min="5" max="5" width="27" customWidth="1"/>
    <col min="6" max="6" width="19.33203125" customWidth="1"/>
    <col min="7" max="7" width="15.33203125" customWidth="1"/>
    <col min="8" max="8" width="17.5546875" customWidth="1"/>
    <col min="9" max="9" width="25" customWidth="1"/>
  </cols>
  <sheetData>
    <row r="2" spans="1:9" ht="17.399999999999999" x14ac:dyDescent="0.3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9" ht="15.6" x14ac:dyDescent="0.3">
      <c r="A3" s="1" t="s">
        <v>1</v>
      </c>
      <c r="B3" s="2">
        <v>46300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114"/>
      <c r="B4" s="115"/>
      <c r="C4" s="115"/>
      <c r="D4" s="115"/>
      <c r="E4" s="115"/>
      <c r="F4" s="115"/>
      <c r="G4" s="115"/>
      <c r="H4" s="115"/>
      <c r="I4" s="116"/>
    </row>
    <row r="5" spans="1:9" ht="15.6" x14ac:dyDescent="0.3">
      <c r="A5" s="117" t="s">
        <v>4</v>
      </c>
      <c r="B5" s="117"/>
      <c r="C5" s="117"/>
      <c r="D5" s="117"/>
      <c r="E5" s="117"/>
      <c r="F5" s="118" t="s">
        <v>5</v>
      </c>
      <c r="G5" s="118"/>
      <c r="H5" s="118"/>
      <c r="I5" s="118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52.8" x14ac:dyDescent="0.3">
      <c r="A7" s="12" t="s">
        <v>72</v>
      </c>
      <c r="B7" s="12">
        <v>2</v>
      </c>
      <c r="C7" s="12">
        <v>0</v>
      </c>
      <c r="D7" s="12">
        <v>0</v>
      </c>
      <c r="E7" s="13" t="s">
        <v>73</v>
      </c>
      <c r="F7" s="14" t="s">
        <v>74</v>
      </c>
      <c r="G7" s="12">
        <v>1</v>
      </c>
      <c r="H7" s="15">
        <v>0</v>
      </c>
      <c r="I7" s="16" t="s">
        <v>75</v>
      </c>
    </row>
    <row r="8" spans="1:9" ht="55.2" x14ac:dyDescent="0.3">
      <c r="A8" s="12" t="s">
        <v>76</v>
      </c>
      <c r="B8" s="12">
        <v>1</v>
      </c>
      <c r="C8" s="12">
        <v>0</v>
      </c>
      <c r="D8" s="12">
        <v>0</v>
      </c>
      <c r="E8" s="13" t="s">
        <v>77</v>
      </c>
      <c r="F8" s="17" t="s">
        <v>78</v>
      </c>
      <c r="G8" s="18">
        <v>2</v>
      </c>
      <c r="H8" s="19">
        <v>0</v>
      </c>
      <c r="I8" s="20" t="s">
        <v>79</v>
      </c>
    </row>
    <row r="9" spans="1:9" ht="41.4" x14ac:dyDescent="0.3">
      <c r="A9" s="12"/>
      <c r="B9" s="12"/>
      <c r="C9" s="12"/>
      <c r="D9" s="12"/>
      <c r="E9" s="12"/>
      <c r="F9" s="21" t="s">
        <v>80</v>
      </c>
      <c r="G9" s="22">
        <v>5</v>
      </c>
      <c r="H9" s="22">
        <v>0</v>
      </c>
      <c r="I9" s="23" t="s">
        <v>81</v>
      </c>
    </row>
    <row r="10" spans="1:9" ht="41.4" x14ac:dyDescent="0.3">
      <c r="A10" s="12"/>
      <c r="B10" s="12"/>
      <c r="C10" s="12"/>
      <c r="D10" s="12"/>
      <c r="E10" s="57"/>
      <c r="F10" s="21" t="s">
        <v>82</v>
      </c>
      <c r="G10" s="22">
        <v>99</v>
      </c>
      <c r="H10" s="22">
        <v>0</v>
      </c>
      <c r="I10" s="23" t="s">
        <v>83</v>
      </c>
    </row>
    <row r="11" spans="1:9" ht="55.2" x14ac:dyDescent="0.3">
      <c r="A11" s="24"/>
      <c r="B11" s="12"/>
      <c r="C11" s="12"/>
      <c r="D11" s="12"/>
      <c r="E11" s="13"/>
      <c r="F11" s="25" t="s">
        <v>84</v>
      </c>
      <c r="G11" s="26">
        <v>5</v>
      </c>
      <c r="H11" s="26">
        <v>0</v>
      </c>
      <c r="I11" s="27" t="s">
        <v>85</v>
      </c>
    </row>
    <row r="12" spans="1:9" ht="27.6" x14ac:dyDescent="0.3">
      <c r="A12" s="24"/>
      <c r="B12" s="12"/>
      <c r="C12" s="12"/>
      <c r="D12" s="12"/>
      <c r="E12" s="13"/>
      <c r="F12" s="25" t="s">
        <v>86</v>
      </c>
      <c r="G12" s="26">
        <v>0</v>
      </c>
      <c r="H12" s="26">
        <v>4</v>
      </c>
      <c r="I12" s="28" t="s">
        <v>87</v>
      </c>
    </row>
    <row r="13" spans="1:9" ht="41.4" x14ac:dyDescent="0.3">
      <c r="A13" s="24"/>
      <c r="B13" s="12"/>
      <c r="C13" s="12"/>
      <c r="D13" s="12"/>
      <c r="E13" s="13"/>
      <c r="F13" s="25" t="s">
        <v>88</v>
      </c>
      <c r="G13" s="26">
        <v>0</v>
      </c>
      <c r="H13" s="26">
        <v>1</v>
      </c>
      <c r="I13" s="28" t="s">
        <v>89</v>
      </c>
    </row>
    <row r="14" spans="1:9" ht="47.4" customHeight="1" x14ac:dyDescent="0.3">
      <c r="A14" s="24"/>
      <c r="B14" s="12"/>
      <c r="C14" s="12"/>
      <c r="D14" s="12"/>
      <c r="E14" s="13"/>
      <c r="F14" s="25" t="s">
        <v>90</v>
      </c>
      <c r="G14" s="26">
        <v>0</v>
      </c>
      <c r="H14" s="26">
        <v>22</v>
      </c>
      <c r="I14" s="28" t="s">
        <v>91</v>
      </c>
    </row>
    <row r="15" spans="1:9" x14ac:dyDescent="0.3">
      <c r="A15" s="24"/>
      <c r="B15" s="12"/>
      <c r="C15" s="12"/>
      <c r="D15" s="12"/>
      <c r="E15" s="13"/>
      <c r="F15" s="25"/>
      <c r="G15" s="26"/>
      <c r="H15" s="26"/>
      <c r="I15" s="28"/>
    </row>
    <row r="16" spans="1:9" x14ac:dyDescent="0.3">
      <c r="A16" s="24"/>
      <c r="B16" s="12"/>
      <c r="C16" s="12"/>
      <c r="D16" s="12"/>
      <c r="E16" s="13"/>
      <c r="F16" s="25"/>
      <c r="G16" s="26"/>
      <c r="H16" s="26"/>
      <c r="I16" s="28"/>
    </row>
    <row r="17" spans="1:9" x14ac:dyDescent="0.3">
      <c r="A17" s="24"/>
      <c r="B17" s="12"/>
      <c r="C17" s="12"/>
      <c r="D17" s="12"/>
      <c r="E17" s="13"/>
      <c r="F17" s="25"/>
      <c r="G17" s="26"/>
      <c r="H17" s="26"/>
      <c r="I17" s="28"/>
    </row>
    <row r="18" spans="1:9" x14ac:dyDescent="0.3">
      <c r="A18" s="24"/>
      <c r="B18" s="12"/>
      <c r="C18" s="12"/>
      <c r="D18" s="12"/>
      <c r="E18" s="13"/>
      <c r="F18" s="25"/>
      <c r="G18" s="26"/>
      <c r="H18" s="26"/>
      <c r="I18" s="28"/>
    </row>
    <row r="19" spans="1:9" x14ac:dyDescent="0.3">
      <c r="A19" s="24"/>
      <c r="B19" s="12"/>
      <c r="C19" s="12"/>
      <c r="D19" s="12"/>
      <c r="E19" s="13"/>
      <c r="F19" s="25"/>
      <c r="G19" s="22"/>
      <c r="H19" s="22"/>
      <c r="I19" s="29"/>
    </row>
    <row r="20" spans="1:9" x14ac:dyDescent="0.3">
      <c r="A20" s="30"/>
      <c r="B20" s="31"/>
      <c r="C20" s="26"/>
      <c r="D20" s="26"/>
      <c r="E20" s="32"/>
      <c r="F20" s="33"/>
      <c r="G20" s="26"/>
      <c r="H20" s="26"/>
      <c r="I20" s="34"/>
    </row>
    <row r="21" spans="1:9" ht="17.399999999999999" x14ac:dyDescent="0.3">
      <c r="A21" s="35">
        <f>COUNTA(A7:A20)</f>
        <v>2</v>
      </c>
      <c r="B21" s="36">
        <f>SUM(B7:B20)</f>
        <v>3</v>
      </c>
      <c r="C21" s="36">
        <f>SUM(C7:C20)</f>
        <v>0</v>
      </c>
      <c r="D21" s="36">
        <f>SUM(D7:D20)</f>
        <v>0</v>
      </c>
      <c r="E21" s="37"/>
      <c r="F21" s="38">
        <f>COUNTA(F7:F20)</f>
        <v>8</v>
      </c>
      <c r="G21" s="39">
        <f>SUM(G7:G20)</f>
        <v>112</v>
      </c>
      <c r="H21" s="39">
        <f>SUM(H7:H20)</f>
        <v>27</v>
      </c>
      <c r="I21" s="40"/>
    </row>
    <row r="22" spans="1:9" ht="15.6" x14ac:dyDescent="0.3">
      <c r="I22" s="41"/>
    </row>
    <row r="23" spans="1:9" ht="15" x14ac:dyDescent="0.3">
      <c r="A23" s="42"/>
      <c r="B23" s="43"/>
      <c r="C23" s="43"/>
      <c r="D23" s="42"/>
      <c r="E23" s="42"/>
      <c r="F23" s="42"/>
      <c r="G23" s="42"/>
      <c r="H23" s="42"/>
      <c r="I23" s="42"/>
    </row>
    <row r="24" spans="1:9" ht="15.6" x14ac:dyDescent="0.3">
      <c r="A24" s="119" t="s">
        <v>45</v>
      </c>
      <c r="B24" s="120"/>
      <c r="C24" s="120"/>
      <c r="D24" s="120"/>
      <c r="E24" s="121"/>
      <c r="F24" s="122"/>
      <c r="G24" s="42"/>
      <c r="H24" s="42"/>
      <c r="I24" s="42"/>
    </row>
    <row r="25" spans="1:9" ht="39.6" x14ac:dyDescent="0.3">
      <c r="A25" s="44" t="s">
        <v>6</v>
      </c>
      <c r="B25" s="45" t="s">
        <v>1</v>
      </c>
      <c r="C25" s="46" t="s">
        <v>11</v>
      </c>
      <c r="D25" s="47" t="s">
        <v>9</v>
      </c>
      <c r="E25" s="125" t="s">
        <v>10</v>
      </c>
      <c r="F25" s="125"/>
      <c r="G25" s="48"/>
      <c r="H25" s="48"/>
      <c r="I25" s="48"/>
    </row>
    <row r="26" spans="1:9" ht="43.2" x14ac:dyDescent="0.3">
      <c r="A26" s="50" t="s">
        <v>68</v>
      </c>
      <c r="B26" s="51" t="s">
        <v>92</v>
      </c>
      <c r="C26" s="52">
        <v>6</v>
      </c>
      <c r="D26" s="53">
        <v>6</v>
      </c>
      <c r="E26" s="126" t="s">
        <v>69</v>
      </c>
      <c r="F26" s="127"/>
      <c r="G26" s="49"/>
      <c r="H26" s="49"/>
      <c r="I26" s="49"/>
    </row>
  </sheetData>
  <mergeCells count="7">
    <mergeCell ref="E26:F26"/>
    <mergeCell ref="A2:I2"/>
    <mergeCell ref="A4:I4"/>
    <mergeCell ref="A5:E5"/>
    <mergeCell ref="F5:I5"/>
    <mergeCell ref="A24:F24"/>
    <mergeCell ref="E25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9227-CC1E-4800-BBCF-8FF91042BAE7}">
  <dimension ref="A2:I27"/>
  <sheetViews>
    <sheetView topLeftCell="A13" workbookViewId="0">
      <selection activeCell="A15" sqref="A15"/>
    </sheetView>
  </sheetViews>
  <sheetFormatPr defaultRowHeight="14.4" x14ac:dyDescent="0.3"/>
  <cols>
    <col min="1" max="1" width="30.109375" customWidth="1"/>
    <col min="2" max="2" width="12.33203125" customWidth="1"/>
    <col min="3" max="3" width="13.6640625" customWidth="1"/>
    <col min="4" max="4" width="13.44140625" customWidth="1"/>
    <col min="5" max="5" width="34.6640625" customWidth="1"/>
    <col min="6" max="6" width="19.33203125" customWidth="1"/>
    <col min="7" max="7" width="15.33203125" customWidth="1"/>
    <col min="8" max="8" width="17.5546875" customWidth="1"/>
    <col min="9" max="9" width="25" customWidth="1"/>
  </cols>
  <sheetData>
    <row r="2" spans="1:9" ht="17.399999999999999" x14ac:dyDescent="0.3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9" ht="15.6" x14ac:dyDescent="0.3">
      <c r="A3" s="1" t="s">
        <v>1</v>
      </c>
      <c r="B3" s="2">
        <v>46301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114"/>
      <c r="B4" s="115"/>
      <c r="C4" s="115"/>
      <c r="D4" s="115"/>
      <c r="E4" s="115"/>
      <c r="F4" s="115"/>
      <c r="G4" s="115"/>
      <c r="H4" s="115"/>
      <c r="I4" s="116"/>
    </row>
    <row r="5" spans="1:9" ht="15.6" x14ac:dyDescent="0.3">
      <c r="A5" s="117" t="s">
        <v>4</v>
      </c>
      <c r="B5" s="117"/>
      <c r="C5" s="117"/>
      <c r="D5" s="117"/>
      <c r="E5" s="117"/>
      <c r="F5" s="118" t="s">
        <v>5</v>
      </c>
      <c r="G5" s="118"/>
      <c r="H5" s="118"/>
      <c r="I5" s="118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39.6" x14ac:dyDescent="0.3">
      <c r="A7" s="12" t="s">
        <v>93</v>
      </c>
      <c r="B7" s="12">
        <v>5</v>
      </c>
      <c r="C7" s="12">
        <v>0</v>
      </c>
      <c r="D7" s="12">
        <v>0</v>
      </c>
      <c r="E7" s="13" t="s">
        <v>94</v>
      </c>
      <c r="F7" s="14" t="s">
        <v>95</v>
      </c>
      <c r="G7" s="12">
        <v>4</v>
      </c>
      <c r="H7" s="15">
        <v>0</v>
      </c>
      <c r="I7" s="16" t="s">
        <v>96</v>
      </c>
    </row>
    <row r="8" spans="1:9" ht="41.4" x14ac:dyDescent="0.3">
      <c r="A8" s="12" t="s">
        <v>95</v>
      </c>
      <c r="B8" s="12">
        <v>0</v>
      </c>
      <c r="C8" s="12">
        <v>4</v>
      </c>
      <c r="D8" s="12">
        <v>0</v>
      </c>
      <c r="E8" s="12" t="s">
        <v>97</v>
      </c>
      <c r="F8" s="17" t="s">
        <v>98</v>
      </c>
      <c r="G8" s="18">
        <v>1</v>
      </c>
      <c r="H8" s="19">
        <v>0</v>
      </c>
      <c r="I8" s="20" t="s">
        <v>99</v>
      </c>
    </row>
    <row r="9" spans="1:9" ht="27.6" x14ac:dyDescent="0.3">
      <c r="A9" s="12" t="s">
        <v>98</v>
      </c>
      <c r="B9" s="12">
        <v>0</v>
      </c>
      <c r="C9" s="12">
        <v>1</v>
      </c>
      <c r="D9" s="12">
        <v>0</v>
      </c>
      <c r="E9" s="57" t="s">
        <v>100</v>
      </c>
      <c r="F9" s="21" t="s">
        <v>101</v>
      </c>
      <c r="G9" s="22">
        <v>1</v>
      </c>
      <c r="H9" s="22">
        <v>0</v>
      </c>
      <c r="I9" s="23" t="s">
        <v>102</v>
      </c>
    </row>
    <row r="10" spans="1:9" ht="41.4" x14ac:dyDescent="0.3">
      <c r="A10" s="24" t="s">
        <v>103</v>
      </c>
      <c r="B10" s="12">
        <v>5</v>
      </c>
      <c r="C10" s="12">
        <v>0</v>
      </c>
      <c r="D10" s="12">
        <v>0</v>
      </c>
      <c r="E10" s="13" t="s">
        <v>104</v>
      </c>
      <c r="F10" s="21"/>
      <c r="G10" s="22"/>
      <c r="H10" s="22"/>
      <c r="I10" s="23"/>
    </row>
    <row r="11" spans="1:9" ht="27.6" x14ac:dyDescent="0.3">
      <c r="A11" s="24" t="s">
        <v>105</v>
      </c>
      <c r="B11" s="12">
        <v>6</v>
      </c>
      <c r="C11" s="12">
        <v>0</v>
      </c>
      <c r="D11" s="12">
        <v>0</v>
      </c>
      <c r="E11" s="13" t="s">
        <v>106</v>
      </c>
      <c r="F11" s="25"/>
      <c r="G11" s="26"/>
      <c r="H11" s="26"/>
      <c r="I11" s="27"/>
    </row>
    <row r="12" spans="1:9" ht="55.2" x14ac:dyDescent="0.3">
      <c r="A12" s="24" t="s">
        <v>107</v>
      </c>
      <c r="B12" s="12">
        <v>3</v>
      </c>
      <c r="C12" s="12">
        <v>0</v>
      </c>
      <c r="D12" s="12">
        <v>0</v>
      </c>
      <c r="E12" s="13" t="s">
        <v>108</v>
      </c>
      <c r="F12" s="25"/>
      <c r="G12" s="26"/>
      <c r="H12" s="26"/>
      <c r="I12" s="28"/>
    </row>
    <row r="13" spans="1:9" ht="27.6" x14ac:dyDescent="0.3">
      <c r="A13" s="24" t="s">
        <v>109</v>
      </c>
      <c r="B13" s="12">
        <v>0</v>
      </c>
      <c r="C13" s="12">
        <v>1</v>
      </c>
      <c r="D13" s="12">
        <v>0</v>
      </c>
      <c r="E13" s="13" t="s">
        <v>110</v>
      </c>
      <c r="F13" s="25"/>
      <c r="G13" s="26"/>
      <c r="H13" s="26"/>
      <c r="I13" s="28"/>
    </row>
    <row r="14" spans="1:9" ht="47.4" customHeight="1" x14ac:dyDescent="0.3">
      <c r="A14" s="59" t="s">
        <v>101</v>
      </c>
      <c r="B14" s="59">
        <v>0</v>
      </c>
      <c r="C14" s="59">
        <v>1</v>
      </c>
      <c r="D14" s="59">
        <v>0</v>
      </c>
      <c r="E14" s="61" t="s">
        <v>102</v>
      </c>
      <c r="F14" s="60"/>
      <c r="G14" s="22"/>
      <c r="H14" s="22"/>
      <c r="I14" s="60"/>
    </row>
    <row r="15" spans="1:9" ht="41.4" x14ac:dyDescent="0.3">
      <c r="A15" s="24" t="s">
        <v>111</v>
      </c>
      <c r="B15" s="12">
        <v>4</v>
      </c>
      <c r="C15" s="12">
        <v>0</v>
      </c>
      <c r="D15" s="12">
        <v>0</v>
      </c>
      <c r="E15" s="62" t="s">
        <v>112</v>
      </c>
      <c r="F15" s="25"/>
      <c r="G15" s="26"/>
      <c r="H15" s="26"/>
      <c r="I15" s="28"/>
    </row>
    <row r="16" spans="1:9" x14ac:dyDescent="0.3">
      <c r="A16" s="24"/>
      <c r="B16" s="12"/>
      <c r="C16" s="12"/>
      <c r="D16" s="12"/>
      <c r="E16" s="13"/>
      <c r="F16" s="25"/>
      <c r="G16" s="26"/>
      <c r="H16" s="26"/>
      <c r="I16" s="28"/>
    </row>
    <row r="17" spans="1:9" x14ac:dyDescent="0.3">
      <c r="A17" s="24"/>
      <c r="B17" s="12"/>
      <c r="C17" s="12"/>
      <c r="D17" s="12"/>
      <c r="E17" s="13"/>
      <c r="F17" s="25"/>
      <c r="G17" s="26"/>
      <c r="H17" s="26"/>
      <c r="I17" s="28"/>
    </row>
    <row r="18" spans="1:9" x14ac:dyDescent="0.3">
      <c r="A18" s="24"/>
      <c r="B18" s="12"/>
      <c r="C18" s="12"/>
      <c r="D18" s="12"/>
      <c r="E18" s="13"/>
      <c r="F18" s="25"/>
      <c r="G18" s="26"/>
      <c r="H18" s="26"/>
      <c r="I18" s="28"/>
    </row>
    <row r="19" spans="1:9" x14ac:dyDescent="0.3">
      <c r="A19" s="24"/>
      <c r="B19" s="12"/>
      <c r="C19" s="12"/>
      <c r="D19" s="12"/>
      <c r="E19" s="13"/>
      <c r="F19" s="25"/>
      <c r="G19" s="22"/>
      <c r="H19" s="22"/>
      <c r="I19" s="29"/>
    </row>
    <row r="20" spans="1:9" x14ac:dyDescent="0.3">
      <c r="A20" s="30"/>
      <c r="B20" s="31"/>
      <c r="C20" s="26"/>
      <c r="D20" s="26"/>
      <c r="E20" s="32"/>
      <c r="F20" s="33"/>
      <c r="G20" s="26"/>
      <c r="H20" s="26"/>
      <c r="I20" s="34"/>
    </row>
    <row r="21" spans="1:9" ht="17.399999999999999" x14ac:dyDescent="0.3">
      <c r="A21" s="35">
        <f>COUNTA(A7:A20)</f>
        <v>9</v>
      </c>
      <c r="B21" s="36">
        <f>SUM(B7:B20)</f>
        <v>23</v>
      </c>
      <c r="C21" s="36">
        <f>SUM(C7:C20)</f>
        <v>7</v>
      </c>
      <c r="D21" s="36">
        <f>SUM(D7:D20)</f>
        <v>0</v>
      </c>
      <c r="E21" s="37"/>
      <c r="F21" s="38">
        <f>COUNTA(F7:F20)</f>
        <v>3</v>
      </c>
      <c r="G21" s="39">
        <f>SUM(G7:G20)</f>
        <v>6</v>
      </c>
      <c r="H21" s="39">
        <f>SUM(H7:H20)</f>
        <v>0</v>
      </c>
      <c r="I21" s="40"/>
    </row>
    <row r="22" spans="1:9" ht="15.6" x14ac:dyDescent="0.3">
      <c r="I22" s="41"/>
    </row>
    <row r="23" spans="1:9" ht="15" x14ac:dyDescent="0.3">
      <c r="A23" s="42"/>
      <c r="B23" s="43"/>
      <c r="C23" s="43"/>
      <c r="D23" s="42"/>
      <c r="E23" s="42"/>
      <c r="F23" s="42"/>
      <c r="G23" s="42"/>
      <c r="H23" s="42"/>
      <c r="I23" s="42"/>
    </row>
    <row r="24" spans="1:9" ht="15.6" x14ac:dyDescent="0.3">
      <c r="A24" s="119" t="s">
        <v>45</v>
      </c>
      <c r="B24" s="120"/>
      <c r="C24" s="120"/>
      <c r="D24" s="120"/>
      <c r="E24" s="121"/>
      <c r="F24" s="122"/>
      <c r="G24" s="42"/>
      <c r="H24" s="42"/>
      <c r="I24" s="42"/>
    </row>
    <row r="25" spans="1:9" ht="39.6" x14ac:dyDescent="0.3">
      <c r="A25" s="44" t="s">
        <v>6</v>
      </c>
      <c r="B25" s="45" t="s">
        <v>1</v>
      </c>
      <c r="C25" s="46" t="s">
        <v>11</v>
      </c>
      <c r="D25" s="47" t="s">
        <v>9</v>
      </c>
      <c r="E25" s="125" t="s">
        <v>10</v>
      </c>
      <c r="F25" s="125"/>
      <c r="G25" s="48"/>
      <c r="H25" s="48"/>
      <c r="I25" s="48"/>
    </row>
    <row r="26" spans="1:9" ht="43.2" x14ac:dyDescent="0.3">
      <c r="A26" s="50" t="s">
        <v>68</v>
      </c>
      <c r="B26" s="51" t="s">
        <v>92</v>
      </c>
      <c r="C26" s="52">
        <v>6</v>
      </c>
      <c r="D26" s="53">
        <v>6</v>
      </c>
      <c r="E26" s="126" t="s">
        <v>69</v>
      </c>
      <c r="F26" s="127"/>
      <c r="G26" s="49"/>
      <c r="H26" s="49"/>
      <c r="I26" s="49"/>
    </row>
    <row r="27" spans="1:9" ht="41.4" customHeight="1" x14ac:dyDescent="0.3">
      <c r="A27" s="58" t="s">
        <v>90</v>
      </c>
      <c r="B27" s="58" t="s">
        <v>113</v>
      </c>
      <c r="C27" s="63">
        <v>22</v>
      </c>
      <c r="D27" s="63">
        <v>22</v>
      </c>
      <c r="E27" s="128" t="s">
        <v>91</v>
      </c>
      <c r="F27" s="128"/>
    </row>
  </sheetData>
  <mergeCells count="8">
    <mergeCell ref="E27:F27"/>
    <mergeCell ref="E26:F26"/>
    <mergeCell ref="A2:I2"/>
    <mergeCell ref="A4:I4"/>
    <mergeCell ref="A5:E5"/>
    <mergeCell ref="F5:I5"/>
    <mergeCell ref="A24:F24"/>
    <mergeCell ref="E25:F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F620-F17D-422C-B522-01FC2907C4A4}">
  <dimension ref="A2:I27"/>
  <sheetViews>
    <sheetView topLeftCell="A7" workbookViewId="0">
      <selection activeCell="F15" sqref="F15"/>
    </sheetView>
  </sheetViews>
  <sheetFormatPr defaultRowHeight="14.4" x14ac:dyDescent="0.3"/>
  <cols>
    <col min="1" max="1" width="30.109375" customWidth="1"/>
    <col min="2" max="2" width="12.33203125" customWidth="1"/>
    <col min="3" max="3" width="13.6640625" customWidth="1"/>
    <col min="4" max="4" width="13.44140625" customWidth="1"/>
    <col min="5" max="5" width="34.6640625" customWidth="1"/>
    <col min="6" max="6" width="19.33203125" customWidth="1"/>
    <col min="7" max="7" width="15.33203125" customWidth="1"/>
    <col min="8" max="8" width="17.5546875" customWidth="1"/>
    <col min="9" max="9" width="25" customWidth="1"/>
  </cols>
  <sheetData>
    <row r="2" spans="1:9" ht="17.399999999999999" x14ac:dyDescent="0.3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9" ht="15.6" x14ac:dyDescent="0.3">
      <c r="A3" s="1" t="s">
        <v>1</v>
      </c>
      <c r="B3" s="2">
        <v>46301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114"/>
      <c r="B4" s="115"/>
      <c r="C4" s="115"/>
      <c r="D4" s="115"/>
      <c r="E4" s="115"/>
      <c r="F4" s="115"/>
      <c r="G4" s="115"/>
      <c r="H4" s="115"/>
      <c r="I4" s="116"/>
    </row>
    <row r="5" spans="1:9" ht="15.6" x14ac:dyDescent="0.3">
      <c r="A5" s="117" t="s">
        <v>4</v>
      </c>
      <c r="B5" s="117"/>
      <c r="C5" s="117"/>
      <c r="D5" s="117"/>
      <c r="E5" s="117"/>
      <c r="F5" s="118" t="s">
        <v>5</v>
      </c>
      <c r="G5" s="118"/>
      <c r="H5" s="118"/>
      <c r="I5" s="118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39.6" x14ac:dyDescent="0.3">
      <c r="A7" s="12" t="s">
        <v>114</v>
      </c>
      <c r="B7" s="12">
        <v>1</v>
      </c>
      <c r="C7" s="12">
        <v>0</v>
      </c>
      <c r="D7" s="12">
        <v>0</v>
      </c>
      <c r="E7" s="13" t="s">
        <v>115</v>
      </c>
      <c r="F7" s="66" t="s">
        <v>114</v>
      </c>
      <c r="G7" s="12">
        <v>1</v>
      </c>
      <c r="H7" s="15">
        <v>0</v>
      </c>
      <c r="I7" s="64" t="s">
        <v>116</v>
      </c>
    </row>
    <row r="8" spans="1:9" ht="55.2" x14ac:dyDescent="0.3">
      <c r="A8" s="12" t="s">
        <v>117</v>
      </c>
      <c r="B8" s="12">
        <v>2</v>
      </c>
      <c r="C8" s="12">
        <v>0</v>
      </c>
      <c r="D8" s="12">
        <v>0</v>
      </c>
      <c r="E8" s="12" t="s">
        <v>118</v>
      </c>
      <c r="F8" s="67" t="s">
        <v>117</v>
      </c>
      <c r="G8" s="18">
        <v>2</v>
      </c>
      <c r="H8" s="19">
        <v>0</v>
      </c>
      <c r="I8" s="17" t="s">
        <v>119</v>
      </c>
    </row>
    <row r="9" spans="1:9" ht="41.4" x14ac:dyDescent="0.3">
      <c r="A9" s="12" t="s">
        <v>120</v>
      </c>
      <c r="B9" s="12">
        <v>2</v>
      </c>
      <c r="C9" s="12">
        <v>0</v>
      </c>
      <c r="D9" s="12">
        <v>0</v>
      </c>
      <c r="E9" s="57" t="s">
        <v>121</v>
      </c>
      <c r="F9" s="68" t="s">
        <v>122</v>
      </c>
      <c r="G9" s="22">
        <v>2</v>
      </c>
      <c r="H9" s="22">
        <v>0</v>
      </c>
      <c r="I9" s="23" t="s">
        <v>123</v>
      </c>
    </row>
    <row r="10" spans="1:9" ht="55.2" x14ac:dyDescent="0.3">
      <c r="A10" s="24" t="s">
        <v>120</v>
      </c>
      <c r="B10" s="12">
        <v>1</v>
      </c>
      <c r="C10" s="12">
        <v>0</v>
      </c>
      <c r="D10" s="12">
        <v>0</v>
      </c>
      <c r="E10" s="13" t="s">
        <v>124</v>
      </c>
      <c r="F10" s="21" t="s">
        <v>125</v>
      </c>
      <c r="G10" s="22">
        <v>5</v>
      </c>
      <c r="H10" s="22">
        <v>0</v>
      </c>
      <c r="I10" s="23" t="s">
        <v>126</v>
      </c>
    </row>
    <row r="11" spans="1:9" ht="41.4" x14ac:dyDescent="0.3">
      <c r="A11" s="24" t="s">
        <v>127</v>
      </c>
      <c r="B11" s="12">
        <v>1</v>
      </c>
      <c r="C11" s="12">
        <v>0</v>
      </c>
      <c r="D11" s="12">
        <v>0</v>
      </c>
      <c r="E11" s="13" t="s">
        <v>128</v>
      </c>
      <c r="F11" s="25" t="s">
        <v>129</v>
      </c>
      <c r="G11" s="26">
        <v>3</v>
      </c>
      <c r="H11" s="26">
        <v>0</v>
      </c>
      <c r="I11" s="27" t="s">
        <v>130</v>
      </c>
    </row>
    <row r="12" spans="1:9" ht="27.6" x14ac:dyDescent="0.3">
      <c r="A12" s="24" t="s">
        <v>122</v>
      </c>
      <c r="B12" s="12">
        <v>0</v>
      </c>
      <c r="C12" s="12">
        <v>2</v>
      </c>
      <c r="D12" s="12">
        <v>0</v>
      </c>
      <c r="E12" s="13" t="s">
        <v>131</v>
      </c>
      <c r="F12" s="25" t="s">
        <v>132</v>
      </c>
      <c r="G12" s="26">
        <v>22</v>
      </c>
      <c r="H12" s="26">
        <v>0</v>
      </c>
      <c r="I12" s="25" t="s">
        <v>133</v>
      </c>
    </row>
    <row r="13" spans="1:9" ht="55.2" x14ac:dyDescent="0.3">
      <c r="A13" s="24" t="s">
        <v>134</v>
      </c>
      <c r="B13" s="12">
        <v>0</v>
      </c>
      <c r="C13" s="12">
        <v>3</v>
      </c>
      <c r="D13" s="12">
        <v>0</v>
      </c>
      <c r="E13" s="13" t="s">
        <v>135</v>
      </c>
      <c r="F13" s="25" t="s">
        <v>136</v>
      </c>
      <c r="G13" s="26">
        <v>2</v>
      </c>
      <c r="H13" s="26">
        <v>0</v>
      </c>
      <c r="I13" s="25" t="s">
        <v>137</v>
      </c>
    </row>
    <row r="14" spans="1:9" ht="47.4" customHeight="1" x14ac:dyDescent="0.3">
      <c r="A14" s="59"/>
      <c r="B14" s="59"/>
      <c r="C14" s="59"/>
      <c r="D14" s="59"/>
      <c r="E14" s="61"/>
      <c r="F14" s="23" t="s">
        <v>138</v>
      </c>
      <c r="G14" s="22">
        <v>2</v>
      </c>
      <c r="H14" s="22">
        <v>0</v>
      </c>
      <c r="I14" s="23" t="s">
        <v>139</v>
      </c>
    </row>
    <row r="15" spans="1:9" ht="55.2" x14ac:dyDescent="0.3">
      <c r="A15" s="24"/>
      <c r="B15" s="12"/>
      <c r="C15" s="12"/>
      <c r="D15" s="12"/>
      <c r="E15" s="62"/>
      <c r="F15" s="23" t="s">
        <v>140</v>
      </c>
      <c r="G15" s="22">
        <v>0</v>
      </c>
      <c r="H15" s="22">
        <v>26</v>
      </c>
      <c r="I15" s="23" t="s">
        <v>141</v>
      </c>
    </row>
    <row r="16" spans="1:9" x14ac:dyDescent="0.3">
      <c r="A16" s="24"/>
      <c r="B16" s="12"/>
      <c r="C16" s="12"/>
      <c r="D16" s="12"/>
      <c r="E16" s="13"/>
      <c r="F16" s="25"/>
      <c r="G16" s="26"/>
      <c r="H16" s="26"/>
      <c r="I16" s="28"/>
    </row>
    <row r="17" spans="1:9" x14ac:dyDescent="0.3">
      <c r="A17" s="24"/>
      <c r="B17" s="12"/>
      <c r="C17" s="12"/>
      <c r="D17" s="12"/>
      <c r="E17" s="13"/>
      <c r="F17" s="25"/>
      <c r="G17" s="26"/>
      <c r="H17" s="26"/>
      <c r="I17" s="28"/>
    </row>
    <row r="18" spans="1:9" x14ac:dyDescent="0.3">
      <c r="A18" s="24"/>
      <c r="B18" s="12"/>
      <c r="C18" s="12"/>
      <c r="D18" s="12"/>
      <c r="E18" s="13"/>
      <c r="F18" s="25"/>
      <c r="G18" s="26"/>
      <c r="H18" s="26"/>
      <c r="I18" s="28"/>
    </row>
    <row r="19" spans="1:9" x14ac:dyDescent="0.3">
      <c r="A19" s="24"/>
      <c r="B19" s="12"/>
      <c r="C19" s="12"/>
      <c r="D19" s="12"/>
      <c r="E19" s="13"/>
      <c r="F19" s="25"/>
      <c r="G19" s="22"/>
      <c r="H19" s="22"/>
      <c r="I19" s="29"/>
    </row>
    <row r="20" spans="1:9" x14ac:dyDescent="0.3">
      <c r="A20" s="30"/>
      <c r="B20" s="31"/>
      <c r="C20" s="26"/>
      <c r="D20" s="26"/>
      <c r="E20" s="32"/>
      <c r="F20" s="33"/>
      <c r="G20" s="26"/>
      <c r="H20" s="26"/>
      <c r="I20" s="34"/>
    </row>
    <row r="21" spans="1:9" ht="17.399999999999999" x14ac:dyDescent="0.3">
      <c r="A21" s="35">
        <f>COUNTA(A7:A20)</f>
        <v>7</v>
      </c>
      <c r="B21" s="36">
        <f>SUM(B7:B20)</f>
        <v>7</v>
      </c>
      <c r="C21" s="36">
        <f>SUM(C7:C20)</f>
        <v>5</v>
      </c>
      <c r="D21" s="36">
        <f>SUM(D7:D20)</f>
        <v>0</v>
      </c>
      <c r="E21" s="37"/>
      <c r="F21" s="38">
        <f>COUNTA(F7:F20)</f>
        <v>9</v>
      </c>
      <c r="G21" s="39">
        <f>SUM(G7:G20)</f>
        <v>39</v>
      </c>
      <c r="H21" s="39">
        <f>SUM(H7:H20)</f>
        <v>26</v>
      </c>
      <c r="I21" s="40"/>
    </row>
    <row r="22" spans="1:9" ht="15.6" x14ac:dyDescent="0.3">
      <c r="I22" s="41"/>
    </row>
    <row r="23" spans="1:9" ht="15" x14ac:dyDescent="0.3">
      <c r="A23" s="42"/>
      <c r="B23" s="43"/>
      <c r="C23" s="43"/>
      <c r="D23" s="42"/>
      <c r="E23" s="42"/>
      <c r="F23" s="42"/>
      <c r="G23" s="42"/>
      <c r="H23" s="42"/>
      <c r="I23" s="42"/>
    </row>
    <row r="24" spans="1:9" ht="15.6" x14ac:dyDescent="0.3">
      <c r="A24" s="119" t="s">
        <v>45</v>
      </c>
      <c r="B24" s="120"/>
      <c r="C24" s="120"/>
      <c r="D24" s="120"/>
      <c r="E24" s="121"/>
      <c r="F24" s="122"/>
      <c r="G24" s="42"/>
      <c r="H24" s="42"/>
      <c r="I24" s="42"/>
    </row>
    <row r="25" spans="1:9" ht="39.6" x14ac:dyDescent="0.3">
      <c r="A25" s="44" t="s">
        <v>6</v>
      </c>
      <c r="B25" s="45" t="s">
        <v>1</v>
      </c>
      <c r="C25" s="46" t="s">
        <v>11</v>
      </c>
      <c r="D25" s="47" t="s">
        <v>9</v>
      </c>
      <c r="E25" s="125" t="s">
        <v>10</v>
      </c>
      <c r="F25" s="125"/>
      <c r="G25" s="48"/>
      <c r="H25" s="48"/>
      <c r="I25" s="48"/>
    </row>
    <row r="26" spans="1:9" ht="43.2" x14ac:dyDescent="0.3">
      <c r="A26" s="50" t="s">
        <v>68</v>
      </c>
      <c r="B26" s="51" t="s">
        <v>92</v>
      </c>
      <c r="C26" s="52">
        <v>6</v>
      </c>
      <c r="D26" s="53">
        <v>6</v>
      </c>
      <c r="E26" s="126" t="s">
        <v>69</v>
      </c>
      <c r="F26" s="127"/>
      <c r="G26" s="49"/>
      <c r="H26" s="49"/>
      <c r="I26" s="49"/>
    </row>
    <row r="27" spans="1:9" ht="41.4" customHeight="1" x14ac:dyDescent="0.3">
      <c r="A27" s="58"/>
      <c r="B27" s="58"/>
      <c r="C27" s="63"/>
      <c r="D27" s="63"/>
      <c r="E27" s="128"/>
      <c r="F27" s="128"/>
    </row>
  </sheetData>
  <mergeCells count="8">
    <mergeCell ref="E26:F26"/>
    <mergeCell ref="E27:F27"/>
    <mergeCell ref="A2:I2"/>
    <mergeCell ref="A4:I4"/>
    <mergeCell ref="A5:E5"/>
    <mergeCell ref="F5:I5"/>
    <mergeCell ref="A24:F24"/>
    <mergeCell ref="E25:F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1CB9-9FC7-45DF-95A2-748F264F589C}">
  <dimension ref="A2:I17"/>
  <sheetViews>
    <sheetView workbookViewId="0">
      <selection activeCell="H7" sqref="H7"/>
    </sheetView>
  </sheetViews>
  <sheetFormatPr defaultRowHeight="14.4" x14ac:dyDescent="0.3"/>
  <cols>
    <col min="1" max="1" width="30.109375" customWidth="1"/>
    <col min="2" max="2" width="12.33203125" customWidth="1"/>
    <col min="3" max="3" width="13.6640625" customWidth="1"/>
    <col min="4" max="4" width="13.44140625" customWidth="1"/>
    <col min="5" max="5" width="34.6640625" customWidth="1"/>
    <col min="6" max="6" width="19.33203125" customWidth="1"/>
    <col min="7" max="7" width="15.33203125" customWidth="1"/>
    <col min="8" max="8" width="17.5546875" customWidth="1"/>
    <col min="9" max="9" width="25" customWidth="1"/>
  </cols>
  <sheetData>
    <row r="2" spans="1:9" ht="17.399999999999999" x14ac:dyDescent="0.3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9" ht="15.6" x14ac:dyDescent="0.3">
      <c r="A3" s="1" t="s">
        <v>1</v>
      </c>
      <c r="B3" s="2">
        <v>46303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114"/>
      <c r="B4" s="115"/>
      <c r="C4" s="115"/>
      <c r="D4" s="115"/>
      <c r="E4" s="115"/>
      <c r="F4" s="115"/>
      <c r="G4" s="115"/>
      <c r="H4" s="115"/>
      <c r="I4" s="116"/>
    </row>
    <row r="5" spans="1:9" ht="15.6" x14ac:dyDescent="0.3">
      <c r="A5" s="117" t="s">
        <v>4</v>
      </c>
      <c r="B5" s="117"/>
      <c r="C5" s="117"/>
      <c r="D5" s="117"/>
      <c r="E5" s="117"/>
      <c r="F5" s="118" t="s">
        <v>5</v>
      </c>
      <c r="G5" s="118"/>
      <c r="H5" s="118"/>
      <c r="I5" s="118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92.4" x14ac:dyDescent="0.3">
      <c r="A7" s="12">
        <v>0</v>
      </c>
      <c r="B7" s="12">
        <v>0</v>
      </c>
      <c r="C7" s="12">
        <v>0</v>
      </c>
      <c r="D7" s="12">
        <v>0</v>
      </c>
      <c r="E7" s="13">
        <v>0</v>
      </c>
      <c r="F7" s="14" t="s">
        <v>142</v>
      </c>
      <c r="G7" s="12">
        <v>2</v>
      </c>
      <c r="H7" s="15">
        <v>0</v>
      </c>
      <c r="I7" s="64" t="s">
        <v>143</v>
      </c>
    </row>
    <row r="8" spans="1:9" x14ac:dyDescent="0.3">
      <c r="A8" s="24"/>
      <c r="B8" s="12"/>
      <c r="C8" s="12"/>
      <c r="D8" s="12"/>
      <c r="E8" s="13"/>
      <c r="F8" s="25"/>
      <c r="G8" s="26"/>
      <c r="H8" s="26"/>
      <c r="I8" s="28"/>
    </row>
    <row r="9" spans="1:9" x14ac:dyDescent="0.3">
      <c r="A9" s="24"/>
      <c r="B9" s="12"/>
      <c r="C9" s="12"/>
      <c r="D9" s="12"/>
      <c r="E9" s="13"/>
      <c r="F9" s="25"/>
      <c r="G9" s="22"/>
      <c r="H9" s="22"/>
      <c r="I9" s="29"/>
    </row>
    <row r="10" spans="1:9" x14ac:dyDescent="0.3">
      <c r="A10" s="30"/>
      <c r="B10" s="31"/>
      <c r="C10" s="26"/>
      <c r="D10" s="26"/>
      <c r="E10" s="32"/>
      <c r="F10" s="33"/>
      <c r="G10" s="26"/>
      <c r="H10" s="26"/>
      <c r="I10" s="34"/>
    </row>
    <row r="11" spans="1:9" ht="17.399999999999999" x14ac:dyDescent="0.3">
      <c r="A11" s="35">
        <f>COUNTA(A7:A10)</f>
        <v>1</v>
      </c>
      <c r="B11" s="36">
        <f>SUM(B7:B10)</f>
        <v>0</v>
      </c>
      <c r="C11" s="36">
        <f>SUM(C7:C10)</f>
        <v>0</v>
      </c>
      <c r="D11" s="36">
        <f>SUM(D7:D10)</f>
        <v>0</v>
      </c>
      <c r="E11" s="37"/>
      <c r="F11" s="38">
        <f>COUNTA(F7:F10)</f>
        <v>1</v>
      </c>
      <c r="G11" s="39">
        <f>SUM(G7:G10)</f>
        <v>2</v>
      </c>
      <c r="H11" s="39">
        <f>SUM(H7:H10)</f>
        <v>0</v>
      </c>
      <c r="I11" s="40"/>
    </row>
    <row r="12" spans="1:9" ht="15.6" x14ac:dyDescent="0.3">
      <c r="I12" s="41"/>
    </row>
    <row r="13" spans="1:9" ht="15" x14ac:dyDescent="0.3">
      <c r="A13" s="42"/>
      <c r="B13" s="43"/>
      <c r="C13" s="43"/>
      <c r="D13" s="42"/>
      <c r="E13" s="42"/>
      <c r="F13" s="42"/>
      <c r="G13" s="42"/>
      <c r="H13" s="42"/>
      <c r="I13" s="42"/>
    </row>
    <row r="14" spans="1:9" ht="15.6" x14ac:dyDescent="0.3">
      <c r="A14" s="119" t="s">
        <v>45</v>
      </c>
      <c r="B14" s="120"/>
      <c r="C14" s="120"/>
      <c r="D14" s="120"/>
      <c r="E14" s="121"/>
      <c r="F14" s="122"/>
      <c r="G14" s="42"/>
      <c r="H14" s="42"/>
      <c r="I14" s="42"/>
    </row>
    <row r="15" spans="1:9" ht="39.6" x14ac:dyDescent="0.3">
      <c r="A15" s="44" t="s">
        <v>6</v>
      </c>
      <c r="B15" s="45" t="s">
        <v>1</v>
      </c>
      <c r="C15" s="46" t="s">
        <v>11</v>
      </c>
      <c r="D15" s="47" t="s">
        <v>9</v>
      </c>
      <c r="E15" s="125" t="s">
        <v>10</v>
      </c>
      <c r="F15" s="125"/>
      <c r="G15" s="48"/>
      <c r="H15" s="48"/>
      <c r="I15" s="48"/>
    </row>
    <row r="16" spans="1:9" ht="43.2" x14ac:dyDescent="0.3">
      <c r="A16" s="50" t="s">
        <v>68</v>
      </c>
      <c r="B16" s="51" t="s">
        <v>92</v>
      </c>
      <c r="C16" s="52">
        <v>6</v>
      </c>
      <c r="D16" s="53">
        <v>6</v>
      </c>
      <c r="E16" s="126" t="s">
        <v>69</v>
      </c>
      <c r="F16" s="127"/>
      <c r="G16" s="49"/>
      <c r="H16" s="49"/>
      <c r="I16" s="49"/>
    </row>
    <row r="17" spans="1:6" ht="41.4" customHeight="1" x14ac:dyDescent="0.3">
      <c r="A17" s="65" t="s">
        <v>140</v>
      </c>
      <c r="B17" s="58" t="s">
        <v>144</v>
      </c>
      <c r="C17" s="63">
        <v>26</v>
      </c>
      <c r="D17" s="63">
        <v>26</v>
      </c>
      <c r="E17" s="128" t="s">
        <v>141</v>
      </c>
      <c r="F17" s="128"/>
    </row>
  </sheetData>
  <mergeCells count="8">
    <mergeCell ref="E16:F16"/>
    <mergeCell ref="E17:F17"/>
    <mergeCell ref="A2:I2"/>
    <mergeCell ref="A4:I4"/>
    <mergeCell ref="A5:E5"/>
    <mergeCell ref="F5:I5"/>
    <mergeCell ref="A14:F14"/>
    <mergeCell ref="E15:F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BDED-E8C9-4D22-A1E3-35569FFDB66F}">
  <dimension ref="A2:I20"/>
  <sheetViews>
    <sheetView topLeftCell="A7" workbookViewId="0">
      <selection activeCell="F12" sqref="F12"/>
    </sheetView>
  </sheetViews>
  <sheetFormatPr defaultRowHeight="14.4" x14ac:dyDescent="0.3"/>
  <cols>
    <col min="1" max="1" width="38.109375" customWidth="1"/>
    <col min="2" max="2" width="12.33203125" customWidth="1"/>
    <col min="3" max="3" width="13.6640625" customWidth="1"/>
    <col min="4" max="4" width="13.44140625" customWidth="1"/>
    <col min="5" max="5" width="34.6640625" customWidth="1"/>
    <col min="6" max="6" width="35" customWidth="1"/>
    <col min="7" max="7" width="15.33203125" customWidth="1"/>
    <col min="8" max="8" width="17.5546875" customWidth="1"/>
    <col min="9" max="9" width="25" customWidth="1"/>
  </cols>
  <sheetData>
    <row r="2" spans="1:9" ht="17.399999999999999" x14ac:dyDescent="0.3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9" ht="15.6" x14ac:dyDescent="0.3">
      <c r="A3" s="1" t="s">
        <v>1</v>
      </c>
      <c r="B3" s="2">
        <v>46304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114"/>
      <c r="B4" s="115"/>
      <c r="C4" s="115"/>
      <c r="D4" s="115"/>
      <c r="E4" s="115"/>
      <c r="F4" s="115"/>
      <c r="G4" s="115"/>
      <c r="H4" s="115"/>
      <c r="I4" s="116"/>
    </row>
    <row r="5" spans="1:9" ht="15.6" x14ac:dyDescent="0.3">
      <c r="A5" s="117" t="s">
        <v>4</v>
      </c>
      <c r="B5" s="117"/>
      <c r="C5" s="117"/>
      <c r="D5" s="117"/>
      <c r="E5" s="117"/>
      <c r="F5" s="118" t="s">
        <v>5</v>
      </c>
      <c r="G5" s="118"/>
      <c r="H5" s="118"/>
      <c r="I5" s="118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60" customHeight="1" x14ac:dyDescent="0.3">
      <c r="A7" s="83" t="s">
        <v>145</v>
      </c>
      <c r="B7" s="71">
        <v>0</v>
      </c>
      <c r="C7" s="71">
        <v>1</v>
      </c>
      <c r="D7" s="71">
        <v>0</v>
      </c>
      <c r="E7" s="72" t="s">
        <v>146</v>
      </c>
      <c r="F7" s="70" t="s">
        <v>147</v>
      </c>
      <c r="G7" s="71">
        <v>1</v>
      </c>
      <c r="H7" s="73">
        <v>0</v>
      </c>
      <c r="I7" s="74" t="s">
        <v>148</v>
      </c>
    </row>
    <row r="8" spans="1:9" ht="60" customHeight="1" x14ac:dyDescent="0.3">
      <c r="A8" s="83" t="s">
        <v>149</v>
      </c>
      <c r="B8" s="71">
        <v>7</v>
      </c>
      <c r="C8" s="71">
        <v>0</v>
      </c>
      <c r="D8" s="71">
        <v>0</v>
      </c>
      <c r="E8" s="72" t="s">
        <v>150</v>
      </c>
      <c r="F8" s="75" t="s">
        <v>145</v>
      </c>
      <c r="G8" s="71">
        <v>1</v>
      </c>
      <c r="H8" s="73">
        <v>0</v>
      </c>
      <c r="I8" s="74" t="s">
        <v>151</v>
      </c>
    </row>
    <row r="9" spans="1:9" ht="60" customHeight="1" x14ac:dyDescent="0.3">
      <c r="A9" s="82" t="s">
        <v>152</v>
      </c>
      <c r="B9" s="71">
        <v>4</v>
      </c>
      <c r="C9" s="71">
        <v>0</v>
      </c>
      <c r="D9" s="71">
        <v>0</v>
      </c>
      <c r="E9" s="72" t="s">
        <v>153</v>
      </c>
      <c r="F9" s="75" t="s">
        <v>154</v>
      </c>
      <c r="G9" s="71">
        <v>1</v>
      </c>
      <c r="H9" s="73">
        <v>0</v>
      </c>
      <c r="I9" s="74" t="s">
        <v>155</v>
      </c>
    </row>
    <row r="10" spans="1:9" ht="60" customHeight="1" x14ac:dyDescent="0.3">
      <c r="A10" s="82" t="s">
        <v>156</v>
      </c>
      <c r="B10" s="71">
        <v>8</v>
      </c>
      <c r="C10" s="71">
        <v>0</v>
      </c>
      <c r="D10" s="71">
        <v>0</v>
      </c>
      <c r="E10" s="72" t="s">
        <v>157</v>
      </c>
      <c r="F10" s="75" t="s">
        <v>158</v>
      </c>
      <c r="G10" s="71">
        <v>4</v>
      </c>
      <c r="H10" s="73">
        <v>0</v>
      </c>
      <c r="I10" s="74" t="s">
        <v>159</v>
      </c>
    </row>
    <row r="11" spans="1:9" ht="60" customHeight="1" x14ac:dyDescent="0.3">
      <c r="A11" s="82" t="s">
        <v>160</v>
      </c>
      <c r="B11" s="71">
        <v>24</v>
      </c>
      <c r="C11" s="71">
        <v>0</v>
      </c>
      <c r="D11" s="71">
        <v>0</v>
      </c>
      <c r="E11" s="72" t="s">
        <v>161</v>
      </c>
      <c r="F11" s="75" t="s">
        <v>156</v>
      </c>
      <c r="G11" s="71">
        <v>8</v>
      </c>
      <c r="H11" s="73">
        <v>0</v>
      </c>
      <c r="I11" s="74" t="s">
        <v>162</v>
      </c>
    </row>
    <row r="12" spans="1:9" ht="60" customHeight="1" x14ac:dyDescent="0.3">
      <c r="A12" s="84" t="s">
        <v>163</v>
      </c>
      <c r="B12" s="71">
        <v>1</v>
      </c>
      <c r="C12" s="71">
        <v>0</v>
      </c>
      <c r="D12" s="71">
        <v>0</v>
      </c>
      <c r="E12" s="72" t="s">
        <v>164</v>
      </c>
      <c r="F12" s="69" t="s">
        <v>140</v>
      </c>
      <c r="G12" s="77">
        <v>26</v>
      </c>
      <c r="H12" s="77">
        <v>0</v>
      </c>
      <c r="I12" s="78" t="s">
        <v>165</v>
      </c>
    </row>
    <row r="13" spans="1:9" ht="36" customHeight="1" x14ac:dyDescent="0.3">
      <c r="A13" s="76" t="s">
        <v>166</v>
      </c>
      <c r="B13" s="71">
        <v>26</v>
      </c>
      <c r="C13" s="71">
        <v>0</v>
      </c>
      <c r="D13" s="71">
        <v>0</v>
      </c>
      <c r="E13" s="72" t="s">
        <v>167</v>
      </c>
      <c r="F13" s="79"/>
      <c r="G13" s="80"/>
      <c r="H13" s="80"/>
      <c r="I13" s="81"/>
    </row>
    <row r="14" spans="1:9" x14ac:dyDescent="0.3">
      <c r="A14" s="30"/>
      <c r="B14" s="31"/>
      <c r="C14" s="26"/>
      <c r="D14" s="26"/>
      <c r="E14" s="32"/>
      <c r="F14" s="33"/>
      <c r="G14" s="26"/>
      <c r="H14" s="26"/>
      <c r="I14" s="34"/>
    </row>
    <row r="15" spans="1:9" ht="17.399999999999999" x14ac:dyDescent="0.3">
      <c r="A15" s="35">
        <f>COUNTA(A7:A14)</f>
        <v>7</v>
      </c>
      <c r="B15" s="36">
        <f>SUM(B7:B14)</f>
        <v>70</v>
      </c>
      <c r="C15" s="36">
        <f>SUM(C7:C14)</f>
        <v>1</v>
      </c>
      <c r="D15" s="36">
        <f>SUM(D7:D14)</f>
        <v>0</v>
      </c>
      <c r="E15" s="37"/>
      <c r="F15" s="38">
        <f>COUNTA(F7:F14)</f>
        <v>6</v>
      </c>
      <c r="G15" s="39">
        <f>SUM(G7:G14)</f>
        <v>41</v>
      </c>
      <c r="H15" s="39">
        <f>SUM(H7:H14)</f>
        <v>0</v>
      </c>
      <c r="I15" s="40"/>
    </row>
    <row r="16" spans="1:9" ht="15.6" x14ac:dyDescent="0.3">
      <c r="I16" s="41"/>
    </row>
    <row r="17" spans="1:9" ht="15" x14ac:dyDescent="0.3">
      <c r="A17" s="42"/>
      <c r="B17" s="43"/>
      <c r="C17" s="43"/>
      <c r="D17" s="42"/>
      <c r="E17" s="42"/>
      <c r="F17" s="42"/>
      <c r="G17" s="42"/>
      <c r="H17" s="42"/>
      <c r="I17" s="42"/>
    </row>
    <row r="18" spans="1:9" ht="15.6" x14ac:dyDescent="0.3">
      <c r="A18" s="119" t="s">
        <v>45</v>
      </c>
      <c r="B18" s="120"/>
      <c r="C18" s="120"/>
      <c r="D18" s="120"/>
      <c r="E18" s="121"/>
      <c r="F18" s="122"/>
      <c r="G18" s="42"/>
      <c r="H18" s="42"/>
      <c r="I18" s="42"/>
    </row>
    <row r="19" spans="1:9" ht="39.6" x14ac:dyDescent="0.3">
      <c r="A19" s="44" t="s">
        <v>6</v>
      </c>
      <c r="B19" s="45" t="s">
        <v>1</v>
      </c>
      <c r="C19" s="46" t="s">
        <v>11</v>
      </c>
      <c r="D19" s="47" t="s">
        <v>9</v>
      </c>
      <c r="E19" s="125" t="s">
        <v>10</v>
      </c>
      <c r="F19" s="125"/>
      <c r="G19" s="48"/>
      <c r="H19" s="48"/>
      <c r="I19" s="48"/>
    </row>
    <row r="20" spans="1:9" ht="43.2" x14ac:dyDescent="0.3">
      <c r="A20" s="50" t="s">
        <v>68</v>
      </c>
      <c r="B20" s="51" t="s">
        <v>92</v>
      </c>
      <c r="C20" s="52">
        <v>6</v>
      </c>
      <c r="D20" s="53">
        <v>6</v>
      </c>
      <c r="E20" s="126" t="s">
        <v>69</v>
      </c>
      <c r="F20" s="127"/>
      <c r="G20" s="49"/>
      <c r="H20" s="49"/>
      <c r="I20" s="49"/>
    </row>
  </sheetData>
  <mergeCells count="7">
    <mergeCell ref="E20:F20"/>
    <mergeCell ref="A2:I2"/>
    <mergeCell ref="A4:I4"/>
    <mergeCell ref="A5:E5"/>
    <mergeCell ref="F5:I5"/>
    <mergeCell ref="A18:F18"/>
    <mergeCell ref="E19:F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057-3CF3-46AA-B35E-FD9BC49EE347}">
  <dimension ref="A2:I21"/>
  <sheetViews>
    <sheetView topLeftCell="A7" workbookViewId="0">
      <selection activeCell="A9" sqref="A9"/>
    </sheetView>
  </sheetViews>
  <sheetFormatPr defaultRowHeight="14.4" x14ac:dyDescent="0.3"/>
  <cols>
    <col min="1" max="1" width="38.109375" customWidth="1"/>
    <col min="2" max="2" width="12.33203125" customWidth="1"/>
    <col min="3" max="3" width="13.6640625" customWidth="1"/>
    <col min="4" max="4" width="13.44140625" customWidth="1"/>
    <col min="5" max="5" width="34.6640625" customWidth="1"/>
    <col min="6" max="6" width="35" customWidth="1"/>
    <col min="7" max="7" width="15.33203125" customWidth="1"/>
    <col min="8" max="8" width="17.5546875" customWidth="1"/>
    <col min="9" max="9" width="25" customWidth="1"/>
  </cols>
  <sheetData>
    <row r="2" spans="1:9" ht="17.399999999999999" x14ac:dyDescent="0.3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9" ht="15.6" x14ac:dyDescent="0.3">
      <c r="A3" s="1" t="s">
        <v>1</v>
      </c>
      <c r="B3" s="2">
        <v>46307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114"/>
      <c r="B4" s="115"/>
      <c r="C4" s="115"/>
      <c r="D4" s="115"/>
      <c r="E4" s="115"/>
      <c r="F4" s="115"/>
      <c r="G4" s="115"/>
      <c r="H4" s="115"/>
      <c r="I4" s="116"/>
    </row>
    <row r="5" spans="1:9" ht="15.6" x14ac:dyDescent="0.3">
      <c r="A5" s="117" t="s">
        <v>4</v>
      </c>
      <c r="B5" s="117"/>
      <c r="C5" s="117"/>
      <c r="D5" s="117"/>
      <c r="E5" s="117"/>
      <c r="F5" s="118" t="s">
        <v>5</v>
      </c>
      <c r="G5" s="118"/>
      <c r="H5" s="118"/>
      <c r="I5" s="118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60" customHeight="1" x14ac:dyDescent="0.3">
      <c r="A7" s="82" t="s">
        <v>168</v>
      </c>
      <c r="B7" s="71">
        <v>3</v>
      </c>
      <c r="C7" s="71">
        <v>0</v>
      </c>
      <c r="D7" s="71">
        <v>0</v>
      </c>
      <c r="E7" s="72" t="s">
        <v>169</v>
      </c>
      <c r="F7" s="70" t="s">
        <v>140</v>
      </c>
      <c r="G7" s="71">
        <v>26</v>
      </c>
      <c r="H7" s="73">
        <v>0</v>
      </c>
      <c r="I7" s="74" t="s">
        <v>170</v>
      </c>
    </row>
    <row r="8" spans="1:9" ht="60" customHeight="1" x14ac:dyDescent="0.3">
      <c r="A8" s="82" t="s">
        <v>140</v>
      </c>
      <c r="B8" s="71">
        <v>26</v>
      </c>
      <c r="C8" s="71">
        <v>0</v>
      </c>
      <c r="D8" s="71">
        <v>0</v>
      </c>
      <c r="E8" s="72" t="s">
        <v>171</v>
      </c>
      <c r="F8" s="75" t="s">
        <v>172</v>
      </c>
      <c r="G8" s="71">
        <v>12</v>
      </c>
      <c r="H8" s="73">
        <v>0</v>
      </c>
      <c r="I8" s="74" t="s">
        <v>173</v>
      </c>
    </row>
    <row r="9" spans="1:9" ht="60" customHeight="1" x14ac:dyDescent="0.3">
      <c r="A9" s="82" t="s">
        <v>174</v>
      </c>
      <c r="B9" s="71">
        <v>0</v>
      </c>
      <c r="C9" s="71">
        <v>12</v>
      </c>
      <c r="D9" s="71">
        <v>0</v>
      </c>
      <c r="E9" s="72" t="s">
        <v>175</v>
      </c>
      <c r="F9" s="75" t="s">
        <v>140</v>
      </c>
      <c r="G9" s="71">
        <v>26</v>
      </c>
      <c r="H9" s="73">
        <v>0</v>
      </c>
      <c r="I9" s="74" t="s">
        <v>176</v>
      </c>
    </row>
    <row r="10" spans="1:9" ht="60" customHeight="1" x14ac:dyDescent="0.3">
      <c r="A10" s="82" t="s">
        <v>177</v>
      </c>
      <c r="B10" s="71">
        <v>0</v>
      </c>
      <c r="C10" s="71">
        <v>1</v>
      </c>
      <c r="D10" s="71">
        <v>0</v>
      </c>
      <c r="E10" s="72" t="s">
        <v>178</v>
      </c>
      <c r="F10" s="75" t="s">
        <v>177</v>
      </c>
      <c r="G10" s="71">
        <v>1</v>
      </c>
      <c r="H10" s="73">
        <v>0</v>
      </c>
      <c r="I10" s="74" t="s">
        <v>179</v>
      </c>
    </row>
    <row r="11" spans="1:9" ht="60" customHeight="1" x14ac:dyDescent="0.3">
      <c r="A11" s="82" t="s">
        <v>180</v>
      </c>
      <c r="B11" s="71">
        <v>0</v>
      </c>
      <c r="C11" s="71">
        <v>1</v>
      </c>
      <c r="D11" s="71">
        <v>0</v>
      </c>
      <c r="E11" s="72" t="s">
        <v>181</v>
      </c>
      <c r="F11" s="75" t="s">
        <v>182</v>
      </c>
      <c r="G11" s="71">
        <v>12</v>
      </c>
      <c r="H11" s="73">
        <v>0</v>
      </c>
      <c r="I11" s="74" t="s">
        <v>183</v>
      </c>
    </row>
    <row r="12" spans="1:9" ht="60" customHeight="1" x14ac:dyDescent="0.3">
      <c r="A12" s="84" t="s">
        <v>184</v>
      </c>
      <c r="B12" s="71">
        <v>1</v>
      </c>
      <c r="C12" s="71">
        <v>0</v>
      </c>
      <c r="D12" s="71">
        <v>0</v>
      </c>
      <c r="E12" s="72" t="s">
        <v>185</v>
      </c>
      <c r="F12" s="69"/>
      <c r="G12" s="77"/>
      <c r="H12" s="77"/>
      <c r="I12" s="78"/>
    </row>
    <row r="13" spans="1:9" ht="60" customHeight="1" x14ac:dyDescent="0.3">
      <c r="A13" s="84" t="s">
        <v>186</v>
      </c>
      <c r="B13" s="71">
        <v>1</v>
      </c>
      <c r="C13" s="71">
        <v>0</v>
      </c>
      <c r="D13" s="71">
        <v>0</v>
      </c>
      <c r="E13" s="85" t="s">
        <v>187</v>
      </c>
      <c r="F13" s="69"/>
      <c r="G13" s="77"/>
      <c r="H13" s="77"/>
      <c r="I13" s="78"/>
    </row>
    <row r="14" spans="1:9" ht="36" customHeight="1" x14ac:dyDescent="0.3">
      <c r="A14" s="76"/>
      <c r="B14" s="71"/>
      <c r="C14" s="71"/>
      <c r="D14" s="71"/>
      <c r="E14" s="72"/>
      <c r="F14" s="79"/>
      <c r="G14" s="80"/>
      <c r="H14" s="80"/>
      <c r="I14" s="81"/>
    </row>
    <row r="15" spans="1:9" x14ac:dyDescent="0.3">
      <c r="A15" s="30"/>
      <c r="B15" s="31"/>
      <c r="C15" s="26"/>
      <c r="D15" s="26"/>
      <c r="E15" s="32"/>
      <c r="F15" s="33"/>
      <c r="G15" s="26"/>
      <c r="H15" s="26"/>
      <c r="I15" s="34"/>
    </row>
    <row r="16" spans="1:9" ht="17.399999999999999" x14ac:dyDescent="0.3">
      <c r="A16" s="35">
        <f>COUNTA(A7:A15)</f>
        <v>7</v>
      </c>
      <c r="B16" s="36">
        <f>SUM(B7:B15)</f>
        <v>31</v>
      </c>
      <c r="C16" s="36">
        <f>SUM(C7:C15)</f>
        <v>14</v>
      </c>
      <c r="D16" s="36">
        <f>SUM(D7:D15)</f>
        <v>0</v>
      </c>
      <c r="E16" s="37"/>
      <c r="F16" s="38">
        <f>COUNTA(F7:F15)</f>
        <v>5</v>
      </c>
      <c r="G16" s="39">
        <f>SUM(G7:G15)</f>
        <v>77</v>
      </c>
      <c r="H16" s="39">
        <f>SUM(H7:H15)</f>
        <v>0</v>
      </c>
      <c r="I16" s="40"/>
    </row>
    <row r="17" spans="1:9" ht="15.6" x14ac:dyDescent="0.3">
      <c r="I17" s="41"/>
    </row>
    <row r="18" spans="1:9" ht="15" x14ac:dyDescent="0.3">
      <c r="A18" s="42"/>
      <c r="B18" s="43"/>
      <c r="C18" s="43"/>
      <c r="D18" s="42"/>
      <c r="E18" s="42"/>
      <c r="F18" s="42"/>
      <c r="G18" s="42"/>
      <c r="H18" s="42"/>
      <c r="I18" s="42"/>
    </row>
    <row r="19" spans="1:9" ht="15.6" x14ac:dyDescent="0.3">
      <c r="A19" s="119" t="s">
        <v>45</v>
      </c>
      <c r="B19" s="120"/>
      <c r="C19" s="120"/>
      <c r="D19" s="120"/>
      <c r="E19" s="121"/>
      <c r="F19" s="122"/>
      <c r="G19" s="42"/>
      <c r="H19" s="42"/>
      <c r="I19" s="42"/>
    </row>
    <row r="20" spans="1:9" ht="39.6" x14ac:dyDescent="0.3">
      <c r="A20" s="44" t="s">
        <v>6</v>
      </c>
      <c r="B20" s="45" t="s">
        <v>1</v>
      </c>
      <c r="C20" s="46" t="s">
        <v>11</v>
      </c>
      <c r="D20" s="47" t="s">
        <v>9</v>
      </c>
      <c r="E20" s="125" t="s">
        <v>10</v>
      </c>
      <c r="F20" s="125"/>
      <c r="G20" s="48"/>
      <c r="H20" s="48"/>
      <c r="I20" s="48"/>
    </row>
    <row r="21" spans="1:9" ht="43.2" x14ac:dyDescent="0.3">
      <c r="A21" s="50" t="s">
        <v>68</v>
      </c>
      <c r="B21" s="51" t="s">
        <v>92</v>
      </c>
      <c r="C21" s="52">
        <v>6</v>
      </c>
      <c r="D21" s="53">
        <v>6</v>
      </c>
      <c r="E21" s="126" t="s">
        <v>69</v>
      </c>
      <c r="F21" s="127"/>
      <c r="G21" s="49"/>
      <c r="H21" s="49"/>
      <c r="I21" s="49"/>
    </row>
  </sheetData>
  <mergeCells count="7">
    <mergeCell ref="E21:F21"/>
    <mergeCell ref="A2:I2"/>
    <mergeCell ref="A4:I4"/>
    <mergeCell ref="A5:E5"/>
    <mergeCell ref="F5:I5"/>
    <mergeCell ref="A19:F19"/>
    <mergeCell ref="E20:F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8198-D528-4A90-942D-3B5D92CD9EB1}">
  <dimension ref="A2:I16"/>
  <sheetViews>
    <sheetView workbookViewId="0">
      <selection activeCell="A9" sqref="A9"/>
    </sheetView>
  </sheetViews>
  <sheetFormatPr defaultRowHeight="14.4" x14ac:dyDescent="0.3"/>
  <cols>
    <col min="1" max="1" width="38.109375" customWidth="1"/>
    <col min="2" max="2" width="12.33203125" customWidth="1"/>
    <col min="3" max="3" width="13.6640625" customWidth="1"/>
    <col min="4" max="4" width="13.44140625" customWidth="1"/>
    <col min="5" max="5" width="34.6640625" customWidth="1"/>
    <col min="6" max="6" width="35" customWidth="1"/>
    <col min="7" max="7" width="15.33203125" customWidth="1"/>
    <col min="8" max="8" width="17.5546875" customWidth="1"/>
    <col min="9" max="9" width="25" customWidth="1"/>
  </cols>
  <sheetData>
    <row r="2" spans="1:9" ht="17.399999999999999" x14ac:dyDescent="0.3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9" ht="15.6" x14ac:dyDescent="0.3">
      <c r="A3" s="1" t="s">
        <v>1</v>
      </c>
      <c r="B3" s="2">
        <v>46308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114"/>
      <c r="B4" s="115"/>
      <c r="C4" s="115"/>
      <c r="D4" s="115"/>
      <c r="E4" s="115"/>
      <c r="F4" s="115"/>
      <c r="G4" s="115"/>
      <c r="H4" s="115"/>
      <c r="I4" s="116"/>
    </row>
    <row r="5" spans="1:9" ht="15.6" x14ac:dyDescent="0.3">
      <c r="A5" s="117" t="s">
        <v>4</v>
      </c>
      <c r="B5" s="117"/>
      <c r="C5" s="117"/>
      <c r="D5" s="117"/>
      <c r="E5" s="117"/>
      <c r="F5" s="118" t="s">
        <v>5</v>
      </c>
      <c r="G5" s="118"/>
      <c r="H5" s="118"/>
      <c r="I5" s="118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60" customHeight="1" x14ac:dyDescent="0.3">
      <c r="A7" s="82" t="s">
        <v>188</v>
      </c>
      <c r="B7" s="71">
        <v>12</v>
      </c>
      <c r="C7" s="71">
        <v>0</v>
      </c>
      <c r="D7" s="71">
        <v>0</v>
      </c>
      <c r="E7" s="72" t="s">
        <v>189</v>
      </c>
      <c r="F7" s="70" t="s">
        <v>190</v>
      </c>
      <c r="G7" s="71">
        <v>3</v>
      </c>
      <c r="H7" s="73">
        <v>0</v>
      </c>
      <c r="I7" s="74" t="s">
        <v>191</v>
      </c>
    </row>
    <row r="8" spans="1:9" ht="60" customHeight="1" x14ac:dyDescent="0.3">
      <c r="A8" s="82" t="s">
        <v>192</v>
      </c>
      <c r="B8" s="71">
        <v>0</v>
      </c>
      <c r="C8" s="71">
        <v>1</v>
      </c>
      <c r="D8" s="71">
        <v>0</v>
      </c>
      <c r="E8" s="72" t="s">
        <v>193</v>
      </c>
      <c r="F8" s="75" t="s">
        <v>194</v>
      </c>
      <c r="G8" s="71">
        <v>3</v>
      </c>
      <c r="H8" s="73">
        <v>0</v>
      </c>
      <c r="I8" s="74" t="s">
        <v>195</v>
      </c>
    </row>
    <row r="9" spans="1:9" ht="36" customHeight="1" x14ac:dyDescent="0.3">
      <c r="A9" s="76"/>
      <c r="B9" s="71"/>
      <c r="C9" s="71"/>
      <c r="D9" s="71"/>
      <c r="E9" s="72"/>
      <c r="F9" s="79"/>
      <c r="G9" s="80"/>
      <c r="H9" s="80"/>
      <c r="I9" s="81"/>
    </row>
    <row r="10" spans="1:9" x14ac:dyDescent="0.3">
      <c r="A10" s="30"/>
      <c r="B10" s="31"/>
      <c r="C10" s="26"/>
      <c r="D10" s="26"/>
      <c r="E10" s="32"/>
      <c r="F10" s="33"/>
      <c r="G10" s="26"/>
      <c r="H10" s="26"/>
      <c r="I10" s="34"/>
    </row>
    <row r="11" spans="1:9" ht="17.399999999999999" x14ac:dyDescent="0.3">
      <c r="A11" s="35">
        <f>COUNTA(A7:A10)</f>
        <v>2</v>
      </c>
      <c r="B11" s="36">
        <f>SUM(B7:B10)</f>
        <v>12</v>
      </c>
      <c r="C11" s="36">
        <f>SUM(C7:C10)</f>
        <v>1</v>
      </c>
      <c r="D11" s="36">
        <f>SUM(D7:D10)</f>
        <v>0</v>
      </c>
      <c r="E11" s="37"/>
      <c r="F11" s="38">
        <f>COUNTA(F7:F10)</f>
        <v>2</v>
      </c>
      <c r="G11" s="39">
        <f>SUM(G7:G10)</f>
        <v>6</v>
      </c>
      <c r="H11" s="39">
        <f>SUM(H7:H10)</f>
        <v>0</v>
      </c>
      <c r="I11" s="40"/>
    </row>
    <row r="12" spans="1:9" ht="15.6" x14ac:dyDescent="0.3">
      <c r="I12" s="41"/>
    </row>
    <row r="13" spans="1:9" ht="15" x14ac:dyDescent="0.3">
      <c r="A13" s="42"/>
      <c r="B13" s="43"/>
      <c r="C13" s="43"/>
      <c r="D13" s="42"/>
      <c r="E13" s="42"/>
      <c r="F13" s="42"/>
      <c r="G13" s="42"/>
      <c r="H13" s="42"/>
      <c r="I13" s="42"/>
    </row>
    <row r="14" spans="1:9" ht="15.6" x14ac:dyDescent="0.3">
      <c r="A14" s="119" t="s">
        <v>45</v>
      </c>
      <c r="B14" s="120"/>
      <c r="C14" s="120"/>
      <c r="D14" s="120"/>
      <c r="E14" s="121"/>
      <c r="F14" s="122"/>
      <c r="G14" s="42"/>
      <c r="H14" s="42"/>
      <c r="I14" s="42"/>
    </row>
    <row r="15" spans="1:9" ht="39.6" x14ac:dyDescent="0.3">
      <c r="A15" s="44" t="s">
        <v>6</v>
      </c>
      <c r="B15" s="45" t="s">
        <v>1</v>
      </c>
      <c r="C15" s="46" t="s">
        <v>11</v>
      </c>
      <c r="D15" s="47" t="s">
        <v>9</v>
      </c>
      <c r="E15" s="125" t="s">
        <v>10</v>
      </c>
      <c r="F15" s="125"/>
      <c r="G15" s="48"/>
      <c r="H15" s="48"/>
      <c r="I15" s="48"/>
    </row>
    <row r="16" spans="1:9" ht="43.2" x14ac:dyDescent="0.3">
      <c r="A16" s="50" t="s">
        <v>68</v>
      </c>
      <c r="B16" s="51" t="s">
        <v>92</v>
      </c>
      <c r="C16" s="52">
        <v>6</v>
      </c>
      <c r="D16" s="53">
        <v>6</v>
      </c>
      <c r="E16" s="126" t="s">
        <v>69</v>
      </c>
      <c r="F16" s="127"/>
      <c r="G16" s="49"/>
      <c r="H16" s="49"/>
      <c r="I16" s="49"/>
    </row>
  </sheetData>
  <mergeCells count="7">
    <mergeCell ref="E16:F16"/>
    <mergeCell ref="A2:I2"/>
    <mergeCell ref="A4:I4"/>
    <mergeCell ref="A5:E5"/>
    <mergeCell ref="F5:I5"/>
    <mergeCell ref="A14:F14"/>
    <mergeCell ref="E15:F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BEB4-8720-4216-B23D-C0AAEC32373E}">
  <dimension ref="A2:I22"/>
  <sheetViews>
    <sheetView topLeftCell="A8" workbookViewId="0">
      <selection activeCell="M19" sqref="M19"/>
    </sheetView>
  </sheetViews>
  <sheetFormatPr defaultRowHeight="14.4" x14ac:dyDescent="0.3"/>
  <cols>
    <col min="1" max="1" width="38.109375" customWidth="1"/>
    <col min="2" max="2" width="12.33203125" customWidth="1"/>
    <col min="3" max="3" width="13.6640625" customWidth="1"/>
    <col min="4" max="4" width="13.44140625" customWidth="1"/>
    <col min="5" max="5" width="34.6640625" customWidth="1"/>
    <col min="6" max="6" width="35" customWidth="1"/>
    <col min="7" max="7" width="15.33203125" customWidth="1"/>
    <col min="8" max="8" width="17.5546875" customWidth="1"/>
    <col min="9" max="9" width="25" customWidth="1"/>
  </cols>
  <sheetData>
    <row r="2" spans="1:9" ht="17.399999999999999" x14ac:dyDescent="0.3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9" ht="15.6" x14ac:dyDescent="0.3">
      <c r="A3" s="1" t="s">
        <v>1</v>
      </c>
      <c r="B3" s="2">
        <v>46309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114"/>
      <c r="B4" s="115"/>
      <c r="C4" s="115"/>
      <c r="D4" s="115"/>
      <c r="E4" s="115"/>
      <c r="F4" s="115"/>
      <c r="G4" s="115"/>
      <c r="H4" s="115"/>
      <c r="I4" s="116"/>
    </row>
    <row r="5" spans="1:9" ht="15.6" x14ac:dyDescent="0.3">
      <c r="A5" s="117" t="s">
        <v>4</v>
      </c>
      <c r="B5" s="117"/>
      <c r="C5" s="117"/>
      <c r="D5" s="117"/>
      <c r="E5" s="117"/>
      <c r="F5" s="118" t="s">
        <v>5</v>
      </c>
      <c r="G5" s="118"/>
      <c r="H5" s="118"/>
      <c r="I5" s="118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60" customHeight="1" x14ac:dyDescent="0.3">
      <c r="A7" s="82" t="s">
        <v>196</v>
      </c>
      <c r="B7" s="71">
        <v>7</v>
      </c>
      <c r="C7" s="71">
        <v>0</v>
      </c>
      <c r="D7" s="71">
        <v>0</v>
      </c>
      <c r="E7" s="72" t="s">
        <v>197</v>
      </c>
      <c r="F7" s="70" t="s">
        <v>190</v>
      </c>
      <c r="G7" s="71">
        <v>5</v>
      </c>
      <c r="H7" s="73">
        <v>0</v>
      </c>
      <c r="I7" s="74" t="s">
        <v>198</v>
      </c>
    </row>
    <row r="8" spans="1:9" ht="42.75" customHeight="1" x14ac:dyDescent="0.3">
      <c r="A8" s="82" t="s">
        <v>199</v>
      </c>
      <c r="B8" s="71">
        <v>0</v>
      </c>
      <c r="C8" s="71">
        <v>1</v>
      </c>
      <c r="D8" s="71">
        <v>0</v>
      </c>
      <c r="E8" s="72" t="s">
        <v>200</v>
      </c>
      <c r="F8" s="75" t="s">
        <v>201</v>
      </c>
      <c r="G8" s="71">
        <v>3</v>
      </c>
      <c r="H8" s="73">
        <v>0</v>
      </c>
      <c r="I8" s="74" t="s">
        <v>202</v>
      </c>
    </row>
    <row r="9" spans="1:9" ht="36" customHeight="1" x14ac:dyDescent="0.3">
      <c r="A9" s="82"/>
      <c r="B9" s="71"/>
      <c r="C9" s="71"/>
      <c r="D9" s="71"/>
      <c r="E9" s="72"/>
      <c r="F9" s="75" t="s">
        <v>203</v>
      </c>
      <c r="G9" s="71">
        <v>1</v>
      </c>
      <c r="H9" s="73">
        <v>0</v>
      </c>
      <c r="I9" s="74" t="s">
        <v>204</v>
      </c>
    </row>
    <row r="10" spans="1:9" ht="36" customHeight="1" x14ac:dyDescent="0.3">
      <c r="A10" s="76"/>
      <c r="B10" s="71"/>
      <c r="C10" s="71"/>
      <c r="D10" s="71"/>
      <c r="E10" s="72"/>
      <c r="F10" s="79"/>
      <c r="G10" s="80"/>
      <c r="H10" s="80"/>
      <c r="I10" s="81"/>
    </row>
    <row r="11" spans="1:9" ht="36" customHeight="1" x14ac:dyDescent="0.3">
      <c r="A11" s="76"/>
      <c r="B11" s="71"/>
      <c r="C11" s="71"/>
      <c r="D11" s="71"/>
      <c r="E11" s="72"/>
      <c r="F11" s="79"/>
      <c r="G11" s="80"/>
      <c r="H11" s="80"/>
      <c r="I11" s="81"/>
    </row>
    <row r="12" spans="1:9" ht="36" customHeight="1" x14ac:dyDescent="0.3">
      <c r="A12" s="76"/>
      <c r="B12" s="71"/>
      <c r="C12" s="71"/>
      <c r="D12" s="71"/>
      <c r="E12" s="72"/>
      <c r="F12" s="79"/>
      <c r="G12" s="80"/>
      <c r="H12" s="80"/>
      <c r="I12" s="81"/>
    </row>
    <row r="13" spans="1:9" x14ac:dyDescent="0.3">
      <c r="A13" s="30"/>
      <c r="B13" s="31"/>
      <c r="C13" s="26"/>
      <c r="D13" s="26"/>
      <c r="E13" s="32"/>
      <c r="F13" s="33"/>
      <c r="G13" s="26"/>
      <c r="H13" s="26"/>
      <c r="I13" s="34"/>
    </row>
    <row r="14" spans="1:9" ht="17.399999999999999" x14ac:dyDescent="0.3">
      <c r="A14" s="35">
        <f>COUNTA(A7:A13)</f>
        <v>2</v>
      </c>
      <c r="B14" s="36">
        <f>SUM(B7:B13)</f>
        <v>7</v>
      </c>
      <c r="C14" s="36">
        <f>SUM(C7:C13)</f>
        <v>1</v>
      </c>
      <c r="D14" s="36">
        <f>SUM(D7:D13)</f>
        <v>0</v>
      </c>
      <c r="E14" s="37"/>
      <c r="F14" s="38">
        <f>COUNTA(F7:F13)</f>
        <v>3</v>
      </c>
      <c r="G14" s="39">
        <f>SUM(G7:G13)</f>
        <v>9</v>
      </c>
      <c r="H14" s="39">
        <f>SUM(H7:H13)</f>
        <v>0</v>
      </c>
      <c r="I14" s="40"/>
    </row>
    <row r="15" spans="1:9" ht="15.6" x14ac:dyDescent="0.3">
      <c r="I15" s="41"/>
    </row>
    <row r="16" spans="1:9" ht="15" x14ac:dyDescent="0.3">
      <c r="A16" s="42"/>
      <c r="B16" s="43"/>
      <c r="C16" s="43"/>
      <c r="D16" s="42"/>
      <c r="E16" s="42"/>
      <c r="F16" s="42"/>
      <c r="G16" s="42"/>
      <c r="H16" s="42"/>
      <c r="I16" s="42"/>
    </row>
    <row r="17" spans="1:9" ht="15.6" x14ac:dyDescent="0.3">
      <c r="A17" s="119" t="s">
        <v>45</v>
      </c>
      <c r="B17" s="120"/>
      <c r="C17" s="120"/>
      <c r="D17" s="120"/>
      <c r="E17" s="121"/>
      <c r="F17" s="122"/>
      <c r="G17" s="42"/>
      <c r="H17" s="42"/>
      <c r="I17" s="42"/>
    </row>
    <row r="18" spans="1:9" ht="39.6" x14ac:dyDescent="0.3">
      <c r="A18" s="44" t="s">
        <v>6</v>
      </c>
      <c r="B18" s="45" t="s">
        <v>1</v>
      </c>
      <c r="C18" s="46" t="s">
        <v>11</v>
      </c>
      <c r="D18" s="47" t="s">
        <v>9</v>
      </c>
      <c r="E18" s="123" t="s">
        <v>10</v>
      </c>
      <c r="F18" s="123"/>
      <c r="G18" s="48"/>
      <c r="H18" s="48"/>
      <c r="I18" s="48"/>
    </row>
    <row r="19" spans="1:9" ht="43.2" x14ac:dyDescent="0.3">
      <c r="A19" s="90" t="s">
        <v>68</v>
      </c>
      <c r="B19" s="91" t="s">
        <v>92</v>
      </c>
      <c r="C19" s="92">
        <v>6</v>
      </c>
      <c r="D19" s="92">
        <v>6</v>
      </c>
      <c r="E19" s="107" t="s">
        <v>69</v>
      </c>
      <c r="F19" s="107"/>
      <c r="G19" s="49"/>
      <c r="H19" s="49"/>
      <c r="I19" s="49"/>
    </row>
    <row r="20" spans="1:9" ht="42" customHeight="1" x14ac:dyDescent="0.3">
      <c r="A20" s="86" t="s">
        <v>205</v>
      </c>
      <c r="B20" s="89">
        <v>46309</v>
      </c>
      <c r="C20" s="87">
        <v>117</v>
      </c>
      <c r="D20" s="87">
        <v>117</v>
      </c>
      <c r="E20" s="129" t="s">
        <v>206</v>
      </c>
      <c r="F20" s="129"/>
      <c r="G20" s="49"/>
      <c r="H20" s="49"/>
      <c r="I20" s="49"/>
    </row>
    <row r="21" spans="1:9" ht="15.6" x14ac:dyDescent="0.3">
      <c r="A21" s="88" t="s">
        <v>207</v>
      </c>
      <c r="B21" s="89">
        <v>46309</v>
      </c>
      <c r="C21" s="88">
        <v>7</v>
      </c>
      <c r="D21" s="88">
        <v>7</v>
      </c>
      <c r="E21" s="130" t="s">
        <v>208</v>
      </c>
      <c r="F21" s="131"/>
    </row>
    <row r="22" spans="1:9" ht="15.6" x14ac:dyDescent="0.3">
      <c r="A22" s="88" t="s">
        <v>209</v>
      </c>
      <c r="B22" s="89">
        <v>46309</v>
      </c>
      <c r="C22" s="88">
        <v>9</v>
      </c>
      <c r="D22" s="88">
        <v>9</v>
      </c>
      <c r="E22" s="110" t="s">
        <v>210</v>
      </c>
      <c r="F22" s="111"/>
    </row>
  </sheetData>
  <mergeCells count="10">
    <mergeCell ref="E22:F22"/>
    <mergeCell ref="E20:F20"/>
    <mergeCell ref="E21:F21"/>
    <mergeCell ref="E19:F19"/>
    <mergeCell ref="A2:I2"/>
    <mergeCell ref="A4:I4"/>
    <mergeCell ref="A5:E5"/>
    <mergeCell ref="F5:I5"/>
    <mergeCell ref="A17:F17"/>
    <mergeCell ref="E18:F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AD27-1A58-4857-B6AF-C73DAC637673}">
  <dimension ref="A2:I26"/>
  <sheetViews>
    <sheetView topLeftCell="A7" workbookViewId="0">
      <selection activeCell="A8" sqref="A8"/>
    </sheetView>
  </sheetViews>
  <sheetFormatPr defaultRowHeight="14.4" x14ac:dyDescent="0.3"/>
  <cols>
    <col min="1" max="1" width="38.109375" customWidth="1"/>
    <col min="2" max="2" width="12.33203125" customWidth="1"/>
    <col min="3" max="3" width="13.6640625" customWidth="1"/>
    <col min="4" max="4" width="13.44140625" customWidth="1"/>
    <col min="5" max="5" width="34.6640625" customWidth="1"/>
    <col min="6" max="6" width="35" customWidth="1"/>
    <col min="7" max="7" width="15.33203125" customWidth="1"/>
    <col min="8" max="8" width="17.5546875" customWidth="1"/>
    <col min="9" max="9" width="26.5546875" customWidth="1"/>
  </cols>
  <sheetData>
    <row r="2" spans="1:9" ht="17.399999999999999" x14ac:dyDescent="0.3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9" ht="15.6" x14ac:dyDescent="0.3">
      <c r="A3" s="1" t="s">
        <v>1</v>
      </c>
      <c r="B3" s="2">
        <v>46310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114"/>
      <c r="B4" s="115"/>
      <c r="C4" s="115"/>
      <c r="D4" s="115"/>
      <c r="E4" s="115"/>
      <c r="F4" s="115"/>
      <c r="G4" s="115"/>
      <c r="H4" s="115"/>
      <c r="I4" s="116"/>
    </row>
    <row r="5" spans="1:9" ht="15.6" x14ac:dyDescent="0.3">
      <c r="A5" s="117" t="s">
        <v>4</v>
      </c>
      <c r="B5" s="117"/>
      <c r="C5" s="117"/>
      <c r="D5" s="117"/>
      <c r="E5" s="117"/>
      <c r="F5" s="118" t="s">
        <v>5</v>
      </c>
      <c r="G5" s="118"/>
      <c r="H5" s="118"/>
      <c r="I5" s="118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60" customHeight="1" x14ac:dyDescent="0.3">
      <c r="A7" s="82" t="s">
        <v>211</v>
      </c>
      <c r="B7" s="71">
        <v>14</v>
      </c>
      <c r="C7" s="71">
        <v>0</v>
      </c>
      <c r="D7" s="71">
        <v>0</v>
      </c>
      <c r="E7" s="72" t="s">
        <v>212</v>
      </c>
      <c r="F7" s="70" t="s">
        <v>199</v>
      </c>
      <c r="G7" s="71">
        <v>1</v>
      </c>
      <c r="H7" s="73">
        <v>0</v>
      </c>
      <c r="I7" s="74" t="s">
        <v>213</v>
      </c>
    </row>
    <row r="8" spans="1:9" ht="42.75" customHeight="1" x14ac:dyDescent="0.3">
      <c r="A8" s="82" t="s">
        <v>214</v>
      </c>
      <c r="B8" s="71">
        <v>5</v>
      </c>
      <c r="C8" s="71">
        <v>0</v>
      </c>
      <c r="D8" s="71">
        <v>5</v>
      </c>
      <c r="E8" s="72" t="s">
        <v>215</v>
      </c>
      <c r="F8" s="75" t="s">
        <v>216</v>
      </c>
      <c r="G8" s="71">
        <v>1</v>
      </c>
      <c r="H8" s="73">
        <v>0</v>
      </c>
      <c r="I8" s="74" t="s">
        <v>217</v>
      </c>
    </row>
    <row r="9" spans="1:9" ht="36" customHeight="1" x14ac:dyDescent="0.3">
      <c r="A9" s="82" t="s">
        <v>216</v>
      </c>
      <c r="B9" s="71">
        <v>0</v>
      </c>
      <c r="C9" s="71">
        <v>1</v>
      </c>
      <c r="D9" s="71">
        <v>0</v>
      </c>
      <c r="E9" s="72" t="s">
        <v>217</v>
      </c>
      <c r="F9" s="75" t="s">
        <v>218</v>
      </c>
      <c r="G9" s="71">
        <v>5</v>
      </c>
      <c r="H9" s="73">
        <v>0</v>
      </c>
      <c r="I9" s="74" t="s">
        <v>219</v>
      </c>
    </row>
    <row r="10" spans="1:9" ht="36" customHeight="1" x14ac:dyDescent="0.3">
      <c r="A10" s="76" t="s">
        <v>220</v>
      </c>
      <c r="B10" s="71">
        <v>0</v>
      </c>
      <c r="C10" s="71">
        <v>1</v>
      </c>
      <c r="D10" s="71">
        <v>0</v>
      </c>
      <c r="E10" s="72" t="s">
        <v>221</v>
      </c>
      <c r="F10" s="79" t="s">
        <v>209</v>
      </c>
      <c r="G10" s="80">
        <v>4</v>
      </c>
      <c r="H10" s="80">
        <v>0</v>
      </c>
      <c r="I10" s="81" t="s">
        <v>222</v>
      </c>
    </row>
    <row r="11" spans="1:9" ht="36" customHeight="1" x14ac:dyDescent="0.3">
      <c r="A11" s="76" t="s">
        <v>223</v>
      </c>
      <c r="B11" s="71">
        <v>4</v>
      </c>
      <c r="C11" s="71">
        <v>0</v>
      </c>
      <c r="D11" s="71">
        <v>0</v>
      </c>
      <c r="E11" s="72" t="s">
        <v>224</v>
      </c>
      <c r="F11" s="79" t="s">
        <v>220</v>
      </c>
      <c r="G11" s="71">
        <v>1</v>
      </c>
      <c r="H11" s="71">
        <v>0</v>
      </c>
      <c r="I11" s="72" t="s">
        <v>221</v>
      </c>
    </row>
    <row r="12" spans="1:9" ht="36" customHeight="1" x14ac:dyDescent="0.3">
      <c r="A12" s="76" t="s">
        <v>225</v>
      </c>
      <c r="B12" s="71">
        <v>2</v>
      </c>
      <c r="C12" s="71">
        <v>0</v>
      </c>
      <c r="D12" s="71">
        <v>0</v>
      </c>
      <c r="E12" s="72" t="s">
        <v>226</v>
      </c>
      <c r="F12" s="79" t="s">
        <v>225</v>
      </c>
      <c r="G12" s="71">
        <v>4</v>
      </c>
      <c r="H12" s="71">
        <v>0</v>
      </c>
      <c r="I12" s="72" t="s">
        <v>227</v>
      </c>
    </row>
    <row r="13" spans="1:9" ht="36" customHeight="1" x14ac:dyDescent="0.3">
      <c r="A13" s="76" t="s">
        <v>228</v>
      </c>
      <c r="B13" s="71">
        <v>7</v>
      </c>
      <c r="C13" s="71">
        <v>0</v>
      </c>
      <c r="D13" s="71">
        <v>0</v>
      </c>
      <c r="E13" s="72" t="s">
        <v>229</v>
      </c>
      <c r="F13" s="79" t="s">
        <v>228</v>
      </c>
      <c r="G13" s="71">
        <v>7</v>
      </c>
      <c r="H13" s="71">
        <v>0</v>
      </c>
      <c r="I13" s="72" t="s">
        <v>229</v>
      </c>
    </row>
    <row r="14" spans="1:9" ht="36" customHeight="1" x14ac:dyDescent="0.3">
      <c r="A14" s="76"/>
      <c r="B14" s="71"/>
      <c r="C14" s="71"/>
      <c r="D14" s="71"/>
      <c r="E14" s="72"/>
      <c r="F14" s="79"/>
      <c r="G14" s="71"/>
      <c r="H14" s="71"/>
      <c r="I14" s="72"/>
    </row>
    <row r="15" spans="1:9" ht="36" customHeight="1" x14ac:dyDescent="0.3">
      <c r="A15" s="76"/>
      <c r="B15" s="71"/>
      <c r="C15" s="71"/>
      <c r="D15" s="71"/>
      <c r="E15" s="72"/>
      <c r="F15" s="79"/>
      <c r="G15" s="80"/>
      <c r="H15" s="80"/>
      <c r="I15" s="81"/>
    </row>
    <row r="16" spans="1:9" ht="36" customHeight="1" x14ac:dyDescent="0.3">
      <c r="A16" s="76"/>
      <c r="B16" s="71"/>
      <c r="C16" s="71"/>
      <c r="D16" s="71"/>
      <c r="E16" s="72"/>
      <c r="F16" s="79"/>
      <c r="G16" s="80"/>
      <c r="H16" s="80"/>
      <c r="I16" s="81"/>
    </row>
    <row r="17" spans="1:9" x14ac:dyDescent="0.3">
      <c r="A17" s="30"/>
      <c r="B17" s="31"/>
      <c r="C17" s="26"/>
      <c r="D17" s="26"/>
      <c r="E17" s="32"/>
      <c r="F17" s="33"/>
      <c r="G17" s="26"/>
      <c r="H17" s="26"/>
      <c r="I17" s="34"/>
    </row>
    <row r="18" spans="1:9" ht="17.399999999999999" x14ac:dyDescent="0.3">
      <c r="A18" s="35">
        <f>COUNTA(A7:A17)</f>
        <v>7</v>
      </c>
      <c r="B18" s="36">
        <f>SUM(B7:B17)</f>
        <v>32</v>
      </c>
      <c r="C18" s="36">
        <f>SUM(C7:C17)</f>
        <v>2</v>
      </c>
      <c r="D18" s="36">
        <f>SUM(D7:D17)</f>
        <v>5</v>
      </c>
      <c r="E18" s="37"/>
      <c r="F18" s="38">
        <f>COUNTA(F7:F17)</f>
        <v>7</v>
      </c>
      <c r="G18" s="39">
        <f>SUM(G7:G17)</f>
        <v>23</v>
      </c>
      <c r="H18" s="39">
        <f>SUM(H7:H17)</f>
        <v>0</v>
      </c>
      <c r="I18" s="40"/>
    </row>
    <row r="19" spans="1:9" ht="15.6" x14ac:dyDescent="0.3">
      <c r="I19" s="41"/>
    </row>
    <row r="20" spans="1:9" ht="15" x14ac:dyDescent="0.3">
      <c r="A20" s="42"/>
      <c r="B20" s="43"/>
      <c r="C20" s="43"/>
      <c r="D20" s="42"/>
      <c r="E20" s="42"/>
      <c r="F20" s="42"/>
      <c r="G20" s="42"/>
      <c r="H20" s="42"/>
      <c r="I20" s="42"/>
    </row>
    <row r="21" spans="1:9" ht="15.6" x14ac:dyDescent="0.3">
      <c r="A21" s="119" t="s">
        <v>45</v>
      </c>
      <c r="B21" s="120"/>
      <c r="C21" s="120"/>
      <c r="D21" s="120"/>
      <c r="E21" s="121"/>
      <c r="F21" s="122"/>
      <c r="G21" s="42"/>
      <c r="H21" s="42"/>
      <c r="I21" s="42"/>
    </row>
    <row r="22" spans="1:9" ht="39.6" x14ac:dyDescent="0.3">
      <c r="A22" s="44" t="s">
        <v>6</v>
      </c>
      <c r="B22" s="45" t="s">
        <v>1</v>
      </c>
      <c r="C22" s="46" t="s">
        <v>11</v>
      </c>
      <c r="D22" s="47" t="s">
        <v>9</v>
      </c>
      <c r="E22" s="123" t="s">
        <v>10</v>
      </c>
      <c r="F22" s="123"/>
      <c r="G22" s="48"/>
      <c r="H22" s="48"/>
      <c r="I22" s="48"/>
    </row>
    <row r="23" spans="1:9" ht="43.2" x14ac:dyDescent="0.3">
      <c r="A23" s="90" t="s">
        <v>68</v>
      </c>
      <c r="B23" s="91" t="s">
        <v>92</v>
      </c>
      <c r="C23" s="92">
        <v>6</v>
      </c>
      <c r="D23" s="92">
        <v>6</v>
      </c>
      <c r="E23" s="107" t="s">
        <v>69</v>
      </c>
      <c r="F23" s="107"/>
      <c r="G23" s="49"/>
      <c r="H23" s="49"/>
      <c r="I23" s="49"/>
    </row>
    <row r="24" spans="1:9" ht="42" customHeight="1" x14ac:dyDescent="0.3">
      <c r="A24" s="86" t="s">
        <v>205</v>
      </c>
      <c r="B24" s="89">
        <v>46309</v>
      </c>
      <c r="C24" s="87">
        <v>117</v>
      </c>
      <c r="D24" s="87">
        <v>117</v>
      </c>
      <c r="E24" s="129" t="s">
        <v>206</v>
      </c>
      <c r="F24" s="129"/>
      <c r="G24" s="49"/>
      <c r="H24" s="49"/>
      <c r="I24" s="49"/>
    </row>
    <row r="25" spans="1:9" ht="15.6" x14ac:dyDescent="0.3">
      <c r="A25" s="93" t="s">
        <v>207</v>
      </c>
      <c r="B25" s="94">
        <v>46309</v>
      </c>
      <c r="C25" s="93">
        <v>7</v>
      </c>
      <c r="D25" s="93">
        <v>7</v>
      </c>
      <c r="E25" s="108" t="s">
        <v>208</v>
      </c>
      <c r="F25" s="109"/>
    </row>
    <row r="26" spans="1:9" ht="15.6" x14ac:dyDescent="0.3">
      <c r="A26" s="88" t="s">
        <v>230</v>
      </c>
      <c r="B26" s="89">
        <v>46310</v>
      </c>
      <c r="C26" s="88">
        <v>4</v>
      </c>
      <c r="D26" s="88">
        <v>4</v>
      </c>
      <c r="E26" s="110" t="s">
        <v>231</v>
      </c>
      <c r="F26" s="111"/>
    </row>
  </sheetData>
  <mergeCells count="10">
    <mergeCell ref="A2:I2"/>
    <mergeCell ref="A4:I4"/>
    <mergeCell ref="A5:E5"/>
    <mergeCell ref="F5:I5"/>
    <mergeCell ref="A21:F21"/>
    <mergeCell ref="E26:F26"/>
    <mergeCell ref="E23:F23"/>
    <mergeCell ref="E24:F24"/>
    <mergeCell ref="E25:F25"/>
    <mergeCell ref="E22:F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5695-7AEF-4A1B-A764-C61196DEE51F}">
  <dimension ref="A2:I32"/>
  <sheetViews>
    <sheetView tabSelected="1" workbookViewId="0">
      <selection activeCell="H30" sqref="H30"/>
    </sheetView>
  </sheetViews>
  <sheetFormatPr defaultRowHeight="14.4" x14ac:dyDescent="0.3"/>
  <cols>
    <col min="1" max="1" width="38.109375" customWidth="1"/>
    <col min="2" max="2" width="12.33203125" customWidth="1"/>
    <col min="3" max="3" width="13.6640625" customWidth="1"/>
    <col min="4" max="4" width="13.44140625" customWidth="1"/>
    <col min="5" max="5" width="34.6640625" customWidth="1"/>
    <col min="6" max="6" width="35" customWidth="1"/>
    <col min="7" max="7" width="15.33203125" customWidth="1"/>
    <col min="8" max="8" width="17.5546875" customWidth="1"/>
    <col min="9" max="9" width="26.5546875" customWidth="1"/>
  </cols>
  <sheetData>
    <row r="2" spans="1:9" ht="17.399999999999999" x14ac:dyDescent="0.3">
      <c r="A2" s="112" t="s">
        <v>0</v>
      </c>
      <c r="B2" s="113"/>
      <c r="C2" s="113"/>
      <c r="D2" s="113"/>
      <c r="E2" s="113"/>
      <c r="F2" s="113"/>
      <c r="G2" s="113"/>
      <c r="H2" s="113"/>
      <c r="I2" s="113"/>
    </row>
    <row r="3" spans="1:9" ht="15.6" x14ac:dyDescent="0.3">
      <c r="A3" s="1" t="s">
        <v>1</v>
      </c>
      <c r="B3" s="2">
        <v>46311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114"/>
      <c r="B4" s="115"/>
      <c r="C4" s="115"/>
      <c r="D4" s="115"/>
      <c r="E4" s="115"/>
      <c r="F4" s="115"/>
      <c r="G4" s="115"/>
      <c r="H4" s="115"/>
      <c r="I4" s="116"/>
    </row>
    <row r="5" spans="1:9" ht="15.6" x14ac:dyDescent="0.3">
      <c r="A5" s="117" t="s">
        <v>4</v>
      </c>
      <c r="B5" s="117"/>
      <c r="C5" s="117"/>
      <c r="D5" s="117"/>
      <c r="E5" s="117"/>
      <c r="F5" s="118" t="s">
        <v>5</v>
      </c>
      <c r="G5" s="118"/>
      <c r="H5" s="118"/>
      <c r="I5" s="118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60" customHeight="1" x14ac:dyDescent="0.3">
      <c r="A7" s="82" t="s">
        <v>276</v>
      </c>
      <c r="B7" s="71">
        <v>0</v>
      </c>
      <c r="C7" s="71">
        <v>9</v>
      </c>
      <c r="D7" s="71">
        <v>0</v>
      </c>
      <c r="E7" s="72" t="s">
        <v>277</v>
      </c>
      <c r="F7" s="102" t="s">
        <v>174</v>
      </c>
      <c r="G7" s="71">
        <v>12</v>
      </c>
      <c r="H7" s="73">
        <v>0</v>
      </c>
      <c r="I7" s="99" t="s">
        <v>232</v>
      </c>
    </row>
    <row r="8" spans="1:9" ht="42.75" customHeight="1" x14ac:dyDescent="0.3">
      <c r="A8" s="82" t="s">
        <v>276</v>
      </c>
      <c r="B8" s="71">
        <v>0</v>
      </c>
      <c r="C8" s="71">
        <v>2</v>
      </c>
      <c r="D8" s="71">
        <v>0</v>
      </c>
      <c r="E8" s="106" t="s">
        <v>279</v>
      </c>
      <c r="F8" s="103" t="s">
        <v>237</v>
      </c>
      <c r="G8" s="71">
        <v>1</v>
      </c>
      <c r="H8" s="73">
        <v>0</v>
      </c>
      <c r="I8" s="99" t="s">
        <v>238</v>
      </c>
    </row>
    <row r="9" spans="1:9" ht="36" customHeight="1" x14ac:dyDescent="0.3">
      <c r="A9" s="84" t="s">
        <v>233</v>
      </c>
      <c r="B9" s="71">
        <v>0</v>
      </c>
      <c r="C9" s="71">
        <v>1</v>
      </c>
      <c r="D9" s="71">
        <v>0</v>
      </c>
      <c r="E9" s="96" t="s">
        <v>234</v>
      </c>
      <c r="F9" s="103" t="s">
        <v>246</v>
      </c>
      <c r="G9" s="71">
        <v>1</v>
      </c>
      <c r="H9" s="73">
        <v>0</v>
      </c>
      <c r="I9" s="99" t="s">
        <v>247</v>
      </c>
    </row>
    <row r="10" spans="1:9" ht="36" customHeight="1" x14ac:dyDescent="0.3">
      <c r="A10" s="98" t="s">
        <v>235</v>
      </c>
      <c r="B10" s="71">
        <v>1</v>
      </c>
      <c r="C10" s="71">
        <v>0</v>
      </c>
      <c r="D10" s="71">
        <v>0</v>
      </c>
      <c r="E10" s="96" t="s">
        <v>236</v>
      </c>
      <c r="F10" s="104" t="s">
        <v>127</v>
      </c>
      <c r="G10" s="80">
        <v>1</v>
      </c>
      <c r="H10" s="80">
        <v>0</v>
      </c>
      <c r="I10" s="95" t="s">
        <v>250</v>
      </c>
    </row>
    <row r="11" spans="1:9" ht="36" customHeight="1" x14ac:dyDescent="0.3">
      <c r="A11" s="98" t="s">
        <v>237</v>
      </c>
      <c r="B11" s="71">
        <v>0</v>
      </c>
      <c r="C11" s="71">
        <v>1</v>
      </c>
      <c r="D11" s="71">
        <v>0</v>
      </c>
      <c r="E11" s="96" t="s">
        <v>239</v>
      </c>
      <c r="F11" s="101" t="s">
        <v>251</v>
      </c>
      <c r="G11" s="71">
        <v>1</v>
      </c>
      <c r="H11" s="71">
        <v>0</v>
      </c>
      <c r="I11" s="72" t="s">
        <v>252</v>
      </c>
    </row>
    <row r="12" spans="1:9" ht="36" customHeight="1" x14ac:dyDescent="0.3">
      <c r="A12" s="98" t="s">
        <v>240</v>
      </c>
      <c r="B12" s="71">
        <v>8</v>
      </c>
      <c r="C12" s="71">
        <v>0</v>
      </c>
      <c r="D12" s="71">
        <v>0</v>
      </c>
      <c r="E12" s="96" t="s">
        <v>241</v>
      </c>
      <c r="F12" s="100" t="s">
        <v>253</v>
      </c>
      <c r="G12" s="71">
        <v>1</v>
      </c>
      <c r="H12" s="71">
        <v>0</v>
      </c>
      <c r="I12" s="72" t="s">
        <v>254</v>
      </c>
    </row>
    <row r="13" spans="1:9" ht="36" customHeight="1" x14ac:dyDescent="0.3">
      <c r="A13" s="97" t="s">
        <v>242</v>
      </c>
      <c r="B13" s="71">
        <v>0</v>
      </c>
      <c r="C13" s="71">
        <v>1</v>
      </c>
      <c r="D13" s="71">
        <v>0</v>
      </c>
      <c r="E13" s="96" t="s">
        <v>243</v>
      </c>
      <c r="F13" s="79" t="s">
        <v>255</v>
      </c>
      <c r="G13" s="71">
        <v>6</v>
      </c>
      <c r="H13" s="71">
        <v>0</v>
      </c>
      <c r="I13" s="72" t="s">
        <v>256</v>
      </c>
    </row>
    <row r="14" spans="1:9" ht="36" customHeight="1" x14ac:dyDescent="0.3">
      <c r="A14" s="97" t="s">
        <v>244</v>
      </c>
      <c r="B14" s="71">
        <v>117</v>
      </c>
      <c r="C14" s="71">
        <v>0</v>
      </c>
      <c r="D14" s="71">
        <v>0</v>
      </c>
      <c r="E14" s="96" t="s">
        <v>245</v>
      </c>
      <c r="F14" s="79" t="s">
        <v>257</v>
      </c>
      <c r="G14" s="71">
        <v>10</v>
      </c>
      <c r="H14" s="71">
        <v>0</v>
      </c>
      <c r="I14" s="72" t="s">
        <v>258</v>
      </c>
    </row>
    <row r="15" spans="1:9" ht="36" customHeight="1" x14ac:dyDescent="0.3">
      <c r="A15" s="97" t="s">
        <v>248</v>
      </c>
      <c r="B15" s="71">
        <v>5</v>
      </c>
      <c r="C15" s="71">
        <v>0</v>
      </c>
      <c r="D15" s="71">
        <v>0</v>
      </c>
      <c r="E15" s="96" t="s">
        <v>249</v>
      </c>
      <c r="F15" s="79" t="s">
        <v>259</v>
      </c>
      <c r="G15" s="80">
        <v>113</v>
      </c>
      <c r="H15" s="80">
        <v>0</v>
      </c>
      <c r="I15" s="81" t="s">
        <v>260</v>
      </c>
    </row>
    <row r="16" spans="1:9" ht="36" customHeight="1" x14ac:dyDescent="0.3">
      <c r="A16" s="97" t="s">
        <v>270</v>
      </c>
      <c r="B16" s="71">
        <v>6</v>
      </c>
      <c r="C16" s="71">
        <v>0</v>
      </c>
      <c r="D16" s="71">
        <v>0</v>
      </c>
      <c r="E16" s="96" t="s">
        <v>271</v>
      </c>
      <c r="F16" s="79" t="s">
        <v>261</v>
      </c>
      <c r="G16" s="80">
        <v>110</v>
      </c>
      <c r="H16" s="80">
        <v>0</v>
      </c>
      <c r="I16" s="81" t="s">
        <v>262</v>
      </c>
    </row>
    <row r="17" spans="1:9" ht="36" customHeight="1" x14ac:dyDescent="0.3">
      <c r="A17" s="97" t="s">
        <v>272</v>
      </c>
      <c r="B17" s="71">
        <v>3</v>
      </c>
      <c r="C17" s="71">
        <v>0</v>
      </c>
      <c r="D17" s="71">
        <v>0</v>
      </c>
      <c r="E17" s="96" t="s">
        <v>273</v>
      </c>
      <c r="F17" s="79" t="s">
        <v>263</v>
      </c>
      <c r="G17" s="80">
        <v>1</v>
      </c>
      <c r="H17" s="80">
        <v>0</v>
      </c>
      <c r="I17" s="81" t="s">
        <v>264</v>
      </c>
    </row>
    <row r="18" spans="1:9" ht="44.4" customHeight="1" x14ac:dyDescent="0.3">
      <c r="A18" s="97" t="s">
        <v>274</v>
      </c>
      <c r="B18" s="71">
        <v>1</v>
      </c>
      <c r="C18" s="71">
        <v>0</v>
      </c>
      <c r="D18" s="71">
        <v>0</v>
      </c>
      <c r="E18" s="96" t="s">
        <v>275</v>
      </c>
      <c r="F18" s="79" t="s">
        <v>111</v>
      </c>
      <c r="G18" s="80">
        <v>4</v>
      </c>
      <c r="H18" s="80">
        <v>0</v>
      </c>
      <c r="I18" s="81" t="s">
        <v>265</v>
      </c>
    </row>
    <row r="19" spans="1:9" ht="36" customHeight="1" x14ac:dyDescent="0.3">
      <c r="A19" s="97"/>
      <c r="B19" s="71"/>
      <c r="C19" s="71"/>
      <c r="D19" s="71"/>
      <c r="E19" s="96"/>
      <c r="F19" s="79" t="s">
        <v>266</v>
      </c>
      <c r="G19" s="80">
        <v>83</v>
      </c>
      <c r="H19" s="80">
        <v>0</v>
      </c>
      <c r="I19" s="105" t="s">
        <v>267</v>
      </c>
    </row>
    <row r="20" spans="1:9" ht="36" customHeight="1" x14ac:dyDescent="0.3">
      <c r="A20" s="97"/>
      <c r="B20" s="71"/>
      <c r="C20" s="71"/>
      <c r="D20" s="71"/>
      <c r="E20" s="96"/>
      <c r="F20" s="79" t="s">
        <v>268</v>
      </c>
      <c r="G20" s="80">
        <v>3</v>
      </c>
      <c r="H20" s="80">
        <v>0</v>
      </c>
      <c r="I20" s="81" t="s">
        <v>269</v>
      </c>
    </row>
    <row r="21" spans="1:9" ht="36" customHeight="1" x14ac:dyDescent="0.3">
      <c r="A21" s="97"/>
      <c r="B21" s="71"/>
      <c r="C21" s="71"/>
      <c r="D21" s="71"/>
      <c r="E21" s="96"/>
      <c r="F21" s="79" t="s">
        <v>276</v>
      </c>
      <c r="G21" s="80">
        <v>9</v>
      </c>
      <c r="H21" s="80">
        <v>0</v>
      </c>
      <c r="I21" s="81" t="s">
        <v>278</v>
      </c>
    </row>
    <row r="22" spans="1:9" ht="36" customHeight="1" x14ac:dyDescent="0.3">
      <c r="A22" s="97"/>
      <c r="B22" s="71"/>
      <c r="C22" s="71"/>
      <c r="D22" s="71"/>
      <c r="E22" s="96"/>
      <c r="F22" s="79" t="s">
        <v>149</v>
      </c>
      <c r="G22" s="80">
        <v>7</v>
      </c>
      <c r="H22" s="80">
        <v>0</v>
      </c>
      <c r="I22" s="81" t="s">
        <v>280</v>
      </c>
    </row>
    <row r="23" spans="1:9" ht="48.6" customHeight="1" x14ac:dyDescent="0.3">
      <c r="A23" s="76"/>
      <c r="B23" s="71"/>
      <c r="C23" s="71"/>
      <c r="D23" s="71"/>
      <c r="E23" s="72"/>
      <c r="F23" s="79" t="s">
        <v>281</v>
      </c>
      <c r="G23" s="80">
        <v>1</v>
      </c>
      <c r="H23" s="80">
        <v>0</v>
      </c>
      <c r="I23" s="81" t="s">
        <v>282</v>
      </c>
    </row>
    <row r="24" spans="1:9" x14ac:dyDescent="0.3">
      <c r="A24" s="30"/>
      <c r="B24" s="31"/>
      <c r="C24" s="26"/>
      <c r="D24" s="26"/>
      <c r="E24" s="32"/>
      <c r="F24" s="33"/>
      <c r="G24" s="26"/>
      <c r="H24" s="26"/>
      <c r="I24" s="34"/>
    </row>
    <row r="25" spans="1:9" ht="17.399999999999999" x14ac:dyDescent="0.3">
      <c r="A25" s="35">
        <f>COUNTA(A7:A24)</f>
        <v>12</v>
      </c>
      <c r="B25" s="36">
        <f>SUM(B7:B24)</f>
        <v>141</v>
      </c>
      <c r="C25" s="36">
        <f>SUM(C7:C24)</f>
        <v>14</v>
      </c>
      <c r="D25" s="36">
        <f>SUM(D7:D24)</f>
        <v>0</v>
      </c>
      <c r="E25" s="37"/>
      <c r="F25" s="38">
        <f>COUNTA(F7:F24)</f>
        <v>17</v>
      </c>
      <c r="G25" s="39">
        <f>SUM(G7:G24)</f>
        <v>364</v>
      </c>
      <c r="H25" s="39">
        <f>SUM(H7:H24)</f>
        <v>0</v>
      </c>
      <c r="I25" s="40"/>
    </row>
    <row r="26" spans="1:9" ht="15.6" x14ac:dyDescent="0.3">
      <c r="I26" s="41"/>
    </row>
    <row r="27" spans="1:9" ht="15" x14ac:dyDescent="0.3">
      <c r="A27" s="42"/>
      <c r="B27" s="43"/>
      <c r="C27" s="43"/>
      <c r="D27" s="42"/>
      <c r="E27" s="42"/>
      <c r="F27" s="42"/>
      <c r="G27" s="42"/>
      <c r="H27" s="42"/>
      <c r="I27" s="42"/>
    </row>
    <row r="28" spans="1:9" ht="15.6" x14ac:dyDescent="0.3">
      <c r="A28" s="119" t="s">
        <v>45</v>
      </c>
      <c r="B28" s="120"/>
      <c r="C28" s="120"/>
      <c r="D28" s="120"/>
      <c r="E28" s="121"/>
      <c r="F28" s="122"/>
      <c r="G28" s="42"/>
      <c r="H28" s="42"/>
      <c r="I28" s="42"/>
    </row>
    <row r="29" spans="1:9" ht="39.6" x14ac:dyDescent="0.3">
      <c r="A29" s="44" t="s">
        <v>6</v>
      </c>
      <c r="B29" s="45" t="s">
        <v>1</v>
      </c>
      <c r="C29" s="46" t="s">
        <v>11</v>
      </c>
      <c r="D29" s="47" t="s">
        <v>9</v>
      </c>
      <c r="E29" s="123" t="s">
        <v>10</v>
      </c>
      <c r="F29" s="123"/>
      <c r="G29" s="48"/>
      <c r="H29" s="48"/>
      <c r="I29" s="48"/>
    </row>
    <row r="30" spans="1:9" ht="43.2" x14ac:dyDescent="0.3">
      <c r="A30" s="90" t="s">
        <v>68</v>
      </c>
      <c r="B30" s="91" t="s">
        <v>92</v>
      </c>
      <c r="C30" s="92">
        <v>6</v>
      </c>
      <c r="D30" s="92">
        <v>6</v>
      </c>
      <c r="E30" s="107" t="s">
        <v>69</v>
      </c>
      <c r="F30" s="107"/>
      <c r="G30" s="49"/>
      <c r="H30" s="49"/>
      <c r="I30" s="49"/>
    </row>
    <row r="31" spans="1:9" ht="15.6" x14ac:dyDescent="0.3">
      <c r="A31" s="93"/>
      <c r="B31" s="94"/>
      <c r="C31" s="93"/>
      <c r="D31" s="93"/>
      <c r="E31" s="108"/>
      <c r="F31" s="109"/>
    </row>
    <row r="32" spans="1:9" ht="15.6" x14ac:dyDescent="0.3">
      <c r="A32" s="88"/>
      <c r="B32" s="89"/>
      <c r="C32" s="88"/>
      <c r="D32" s="88"/>
      <c r="E32" s="110"/>
      <c r="F32" s="111"/>
    </row>
  </sheetData>
  <mergeCells count="9">
    <mergeCell ref="E30:F30"/>
    <mergeCell ref="E31:F31"/>
    <mergeCell ref="E32:F32"/>
    <mergeCell ref="A2:I2"/>
    <mergeCell ref="A4:I4"/>
    <mergeCell ref="A5:E5"/>
    <mergeCell ref="F5:I5"/>
    <mergeCell ref="A28:F28"/>
    <mergeCell ref="E29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01.10.2026</vt:lpstr>
      <vt:lpstr>02.10.2026 </vt:lpstr>
      <vt:lpstr>05.10.2026 </vt:lpstr>
      <vt:lpstr>06.10.2026 </vt:lpstr>
      <vt:lpstr>07.10.2026 </vt:lpstr>
      <vt:lpstr>08.10.2026 </vt:lpstr>
      <vt:lpstr>09.10.2026  </vt:lpstr>
      <vt:lpstr>12.10.2026   (</vt:lpstr>
      <vt:lpstr>13.10.2026</vt:lpstr>
      <vt:lpstr>14.10.2026</vt:lpstr>
      <vt:lpstr>15.10.2026</vt:lpstr>
      <vt:lpstr>16.10.2026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Krishnakumar</dc:creator>
  <cp:keywords/>
  <dc:description/>
  <cp:lastModifiedBy>Krishnakumar</cp:lastModifiedBy>
  <cp:revision/>
  <dcterms:created xsi:type="dcterms:W3CDTF">2026-10-01T01:25:02Z</dcterms:created>
  <dcterms:modified xsi:type="dcterms:W3CDTF">2026-10-17T16:39:31Z</dcterms:modified>
  <cp:category/>
  <cp:contentStatus/>
</cp:coreProperties>
</file>