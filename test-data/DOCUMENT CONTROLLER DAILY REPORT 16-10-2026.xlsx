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/>
  <mc:AlternateContent xmlns:mc="http://schemas.openxmlformats.org/markup-compatibility/2006">
    <mc:Choice Requires="x15">
      <x15ac:absPath xmlns:x15ac="http://schemas.microsoft.com/office/spreadsheetml/2010/11/ac" url="https://robertsin-my.sharepoint.com/personal/ausdoccontroller12_rdsind_co/Documents/MCC/Daily Report/Nov/"/>
    </mc:Choice>
  </mc:AlternateContent>
  <xr:revisionPtr revIDLastSave="0" documentId="8_{CBD92F80-4BC5-4A63-B2A9-1DF9C5E5757C}" xr6:coauthVersionLast="47" xr6:coauthVersionMax="47" xr10:uidLastSave="{00000000-0000-0000-0000-000000000000}"/>
  <bookViews>
    <workbookView xWindow="28680" yWindow="-120" windowWidth="29040" windowHeight="15720" firstSheet="11" activeTab="11" xr2:uid="{00000000-000D-0000-FFFF-FFFF00000000}"/>
  </bookViews>
  <sheets>
    <sheet name="01-10" sheetId="30" r:id="rId1"/>
    <sheet name="02-10" sheetId="31" r:id="rId2"/>
    <sheet name="05-10" sheetId="32" r:id="rId3"/>
    <sheet name="06-10" sheetId="33" r:id="rId4"/>
    <sheet name="07-10" sheetId="34" r:id="rId5"/>
    <sheet name="08-10" sheetId="35" r:id="rId6"/>
    <sheet name="09-10" sheetId="36" r:id="rId7"/>
    <sheet name="12-10" sheetId="37" r:id="rId8"/>
    <sheet name="13-10" sheetId="38" r:id="rId9"/>
    <sheet name="14-10" sheetId="40" r:id="rId10"/>
    <sheet name="15-10" sheetId="39" r:id="rId11"/>
    <sheet name="16-10" sheetId="4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1" l="1"/>
  <c r="D17" i="41"/>
  <c r="C17" i="41"/>
  <c r="H10" i="41"/>
  <c r="D10" i="41"/>
  <c r="C10" i="41"/>
  <c r="B10" i="41"/>
  <c r="D17" i="40"/>
  <c r="C17" i="40"/>
  <c r="H10" i="40"/>
  <c r="G10" i="40"/>
  <c r="D10" i="40"/>
  <c r="C10" i="40"/>
  <c r="B10" i="40"/>
  <c r="B15" i="39"/>
  <c r="D22" i="39"/>
  <c r="C22" i="39"/>
  <c r="H15" i="39"/>
  <c r="G15" i="39"/>
  <c r="D15" i="39"/>
  <c r="C15" i="39"/>
  <c r="D17" i="38"/>
  <c r="C17" i="38"/>
  <c r="H10" i="38"/>
  <c r="G10" i="38"/>
  <c r="D10" i="38"/>
  <c r="C10" i="38"/>
  <c r="B10" i="38"/>
  <c r="D22" i="37"/>
  <c r="C22" i="37"/>
  <c r="H15" i="37"/>
  <c r="G15" i="37"/>
  <c r="D15" i="37"/>
  <c r="C15" i="37"/>
  <c r="B15" i="37"/>
  <c r="G21" i="36"/>
  <c r="B21" i="36"/>
  <c r="C21" i="36"/>
  <c r="D28" i="36"/>
  <c r="C28" i="36"/>
  <c r="H21" i="36"/>
  <c r="D21" i="36"/>
  <c r="B18" i="35"/>
  <c r="G18" i="35"/>
  <c r="D25" i="35"/>
  <c r="C25" i="35"/>
  <c r="H18" i="35"/>
  <c r="D18" i="35"/>
  <c r="C18" i="35"/>
  <c r="D20" i="34"/>
  <c r="C20" i="34"/>
  <c r="H13" i="34"/>
  <c r="G13" i="34"/>
  <c r="D13" i="34"/>
  <c r="C13" i="34"/>
  <c r="B13" i="34"/>
  <c r="G12" i="33"/>
  <c r="D19" i="33"/>
  <c r="C19" i="33"/>
  <c r="H12" i="33"/>
  <c r="D12" i="33"/>
  <c r="C12" i="33"/>
  <c r="B12" i="33"/>
  <c r="D12" i="32"/>
  <c r="C12" i="32"/>
  <c r="B12" i="32"/>
  <c r="C21" i="32"/>
  <c r="D21" i="32"/>
  <c r="H12" i="32"/>
  <c r="G12" i="32"/>
  <c r="D22" i="31"/>
  <c r="H11" i="31"/>
  <c r="D11" i="31"/>
  <c r="B11" i="31"/>
  <c r="D25" i="30"/>
  <c r="H16" i="30"/>
  <c r="B16" i="30"/>
  <c r="D16" i="30"/>
</calcChain>
</file>

<file path=xl/sharedStrings.xml><?xml version="1.0" encoding="utf-8"?>
<sst xmlns="http://schemas.openxmlformats.org/spreadsheetml/2006/main" count="528" uniqueCount="173">
  <si>
    <t>KPG | RDS | DOCUMENT CONTROLLER DAILY REPORT</t>
  </si>
  <si>
    <t>Date:</t>
  </si>
  <si>
    <t>Project: MWYCCB</t>
  </si>
  <si>
    <t>Incoming  Transmittals</t>
  </si>
  <si>
    <t>InEight.Ref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</si>
  <si>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</si>
  <si>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</si>
  <si>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</si>
  <si>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</si>
  <si>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</si>
  <si>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</si>
  <si>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</si>
  <si>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Baigents-TRANSMIT-000099</t>
  </si>
  <si>
    <t>KPTG-IntCorr-004697</t>
  </si>
  <si>
    <t>WilsonPD-TRANSMIT-000248</t>
  </si>
  <si>
    <t>KPTG-TRANSMIT-001820</t>
  </si>
  <si>
    <t>KPTG-IntCorr-004700</t>
  </si>
  <si>
    <t>PMT Sec-TRANSMIT-000061</t>
  </si>
  <si>
    <t>KPTG-TRANSMIT-001822</t>
  </si>
  <si>
    <t>PMT Sec-TRANSMIT-000062</t>
  </si>
  <si>
    <t>KPTG-IntCorr-004701</t>
  </si>
  <si>
    <t>KPTG-TRANSMIT-001824</t>
  </si>
  <si>
    <t>Arco-TRANSMIT-000014</t>
  </si>
  <si>
    <t>Kapitol stamp is missing - KPTG-IntCorr-004709</t>
  </si>
  <si>
    <t>Arco-TRANSMIT-000015</t>
  </si>
  <si>
    <t>KPTG-IntCorr-004718</t>
  </si>
  <si>
    <t>Total</t>
  </si>
  <si>
    <t>Pending  Transmittals</t>
  </si>
  <si>
    <t>Leemark-TRANSMIT-000076</t>
  </si>
  <si>
    <t>KPTG-IntCorr-004479</t>
  </si>
  <si>
    <t>CETEC-TRANSMIT-000002</t>
  </si>
  <si>
    <t>KPTG-IntCorr-004383</t>
  </si>
  <si>
    <t>WilsonPD-TRANSMIT-000244</t>
  </si>
  <si>
    <t>KPTG-IntCorr-004421</t>
  </si>
  <si>
    <t>RDSBIM-TRANSMIT-000076</t>
  </si>
  <si>
    <t>KPTG-IntCorr-004727</t>
  </si>
  <si>
    <t>D&amp;E-TRANSMIT-000337</t>
  </si>
  <si>
    <t>KPTG-TRANSMIT-001826</t>
  </si>
  <si>
    <t>RDSBIM-TRANSMIT-000077</t>
  </si>
  <si>
    <t>KPTG-IntCorr-004730</t>
  </si>
  <si>
    <t>KPTG-IntCorr-004733</t>
  </si>
  <si>
    <t>PMT Sec-TRANSMIT-000063</t>
  </si>
  <si>
    <t>KPTG-IntCorr-004739</t>
  </si>
  <si>
    <t xml:space="preserve">Kapitol stamp is missing - KPTG-IntCorr-004709
</t>
  </si>
  <si>
    <t>D&amp;E-TRANSMIT-000339</t>
  </si>
  <si>
    <t>KPTG-IntCorr-004755</t>
  </si>
  <si>
    <t>D&amp;E-TRANSMIT-000340</t>
  </si>
  <si>
    <t>Sent back to Originator-KPTG-TRANSMIT-001828</t>
  </si>
  <si>
    <t>WilsonPD-TRANSMIT-000249</t>
  </si>
  <si>
    <t>KPTG-IntCorr-004756</t>
  </si>
  <si>
    <t>HGP-TRANSMIT-000074</t>
  </si>
  <si>
    <t>KPTG-IntCorr-004764</t>
  </si>
  <si>
    <t>KPTG-IntCorr-004761</t>
  </si>
  <si>
    <t>KPTG-IntCorr-004774</t>
  </si>
  <si>
    <t>KPTG-IntCorr-004773</t>
  </si>
  <si>
    <t>KPTG-TRANSMIT-001830</t>
  </si>
  <si>
    <t>Leemark-TRANSMIT-000077</t>
  </si>
  <si>
    <t>KPTG-IntCorr-004788</t>
  </si>
  <si>
    <t>Terminated-KPTG-IntCorr-004783</t>
  </si>
  <si>
    <t>RDSBIM-TRANSMIT-000078</t>
  </si>
  <si>
    <t>KPTG-IntCorr-004782</t>
  </si>
  <si>
    <t>M.S.-TRANSMIT-000033</t>
  </si>
  <si>
    <t>Sent back to Originator-KPTG-TRANSMIT-001833</t>
  </si>
  <si>
    <t>D&amp;E-TRANSMIT-000343</t>
  </si>
  <si>
    <t>KPTG-IntCorr-004785</t>
  </si>
  <si>
    <t>KPTG-TRANSMIT-001835</t>
  </si>
  <si>
    <t>PMT Sec-TRANSMIT-000064</t>
  </si>
  <si>
    <t>KPTG-IntCorr-004786</t>
  </si>
  <si>
    <t>WilsonPD-TRANSMIT-000250</t>
  </si>
  <si>
    <t>Sent back to Originator-KPTG-TRANSMIT-001837</t>
  </si>
  <si>
    <t>M.S.-TRANSMIT-000034</t>
  </si>
  <si>
    <t>Sent back to Originator-KPTG-TRANSMIT-001841</t>
  </si>
  <si>
    <t>M.S.-TRANSMIT-000035</t>
  </si>
  <si>
    <t>Sent back to Originator-KPTG-TRANSMIT-001842</t>
  </si>
  <si>
    <t>M.S.-TRANSMIT-000036</t>
  </si>
  <si>
    <t>Sent back to Originator-KPTG-TRANSMIT-001840</t>
  </si>
  <si>
    <t>WilsonPD-TRANSMIT-000251</t>
  </si>
  <si>
    <t>KPTG-IntCorr-004799</t>
  </si>
  <si>
    <t>D&amp;E-TRANSMIT-000329</t>
  </si>
  <si>
    <t>KPTG-TRANSMIT-001843</t>
  </si>
  <si>
    <t>M.S.-TRANSMIT-000037</t>
  </si>
  <si>
    <t>KPTG-IntCorr-004801</t>
  </si>
  <si>
    <t>PMT Sec-TRANSMIT-000065</t>
  </si>
  <si>
    <t>KPTG-IntCorr-004805</t>
  </si>
  <si>
    <t>M.S.-TRANSMIT-000038</t>
  </si>
  <si>
    <t>KPTG-IntCorr-004803</t>
  </si>
  <si>
    <t>PMT Sec-TRANSMIT-000066</t>
  </si>
  <si>
    <t>KPTG-IntCorr-004804</t>
  </si>
  <si>
    <t>Leemark-TRANSMIT-000079</t>
  </si>
  <si>
    <t>KPTG-IntCorr-004806</t>
  </si>
  <si>
    <t>PMT Sec-TRANSMIT-000067</t>
  </si>
  <si>
    <t>KPTG-IntCorr-004807</t>
  </si>
  <si>
    <t>PMT Sec-TRANSMIT-000068</t>
  </si>
  <si>
    <t>KPTG-IntCorr-004808</t>
  </si>
  <si>
    <t>RDSBIM-TRANSMIT-000079</t>
  </si>
  <si>
    <t>KPTG-IntCorr-004811</t>
  </si>
  <si>
    <t>KPTG-TRANSMIT-001844</t>
  </si>
  <si>
    <t>D&amp;E-TRANSMIT-000345</t>
  </si>
  <si>
    <t>KPTG-IntCorr-004814</t>
  </si>
  <si>
    <t>WilsonPD-TRANSMIT-000252</t>
  </si>
  <si>
    <t>Sent back to Originator-KPTG-TRANSMIT-001846</t>
  </si>
  <si>
    <t>WilsonPD-TRANSMIT-000254</t>
  </si>
  <si>
    <t>Sent back to Originator-KPTG-TRANSMIT-001847</t>
  </si>
  <si>
    <t>HGP-TRANSMIT-000076</t>
  </si>
  <si>
    <t>Sent back to Originator-KPTG-TRANSMIT-001848</t>
  </si>
  <si>
    <t>M.S.-TRANSMIT-000042</t>
  </si>
  <si>
    <t>KPTG-IntCorr-004817</t>
  </si>
  <si>
    <t>M.S.-TRANSMIT-000046</t>
  </si>
  <si>
    <t>Sent back to Originator-KPTG-TRANSMIT-001849</t>
  </si>
  <si>
    <t>M.S.-TRANSMIT-000045</t>
  </si>
  <si>
    <t>KPTG-IntCorr-004818</t>
  </si>
  <si>
    <t>KPTG-TRANSMIT-001850</t>
  </si>
  <si>
    <t>KPTG-TRANSMIT-001852</t>
  </si>
  <si>
    <t>KPTG-TRANSMIT-001854</t>
  </si>
  <si>
    <t>WilsonPD-TRANSMIT-000255</t>
  </si>
  <si>
    <t>KPTG-IntCorr-004815</t>
  </si>
  <si>
    <t>D&amp;E-TRANSMIT-000346</t>
  </si>
  <si>
    <t>KPTG-IntCorr-004819</t>
  </si>
  <si>
    <t>M.S.-TRANSMIT-000047</t>
  </si>
  <si>
    <t>KPTG-IntCorr-004820</t>
  </si>
  <si>
    <t>KPTG-TRANSMIT-001856</t>
  </si>
  <si>
    <t>RDSBIM-TRANSMIT-000080</t>
  </si>
  <si>
    <t>KPTG-IntCorr-004822</t>
  </si>
  <si>
    <t>Terminated -KPTG-TRANSMIT-001858</t>
  </si>
  <si>
    <t>KPTG-IntCorr-004821</t>
  </si>
  <si>
    <t>HRA-TRANSMIT-000001</t>
  </si>
  <si>
    <t>Sent back to Originator-KPTG-TRANSMIT-001859</t>
  </si>
  <si>
    <t>KPTG-TRANSMIT-001860</t>
  </si>
  <si>
    <t>KPTG-IntCorr-004837</t>
  </si>
  <si>
    <t>Terminated</t>
  </si>
  <si>
    <t>KPTG-IntCorr-004838</t>
  </si>
  <si>
    <t>KPTG-IntCorr-004839</t>
  </si>
  <si>
    <t>Baigents-TRANSMIT-000100</t>
  </si>
  <si>
    <t>KPTG-IntCorr-004847</t>
  </si>
  <si>
    <t>KPTG-TRANSMIT-001863</t>
  </si>
  <si>
    <t>KPTG-TRANSMIT-001865</t>
  </si>
  <si>
    <t>SMEPS-TRANSMIT-000293</t>
  </si>
  <si>
    <t>KPTG-TRANSMIT-001866</t>
  </si>
  <si>
    <t>SMEPS-TRANSMIT-000302</t>
  </si>
  <si>
    <t>KPTG-TRANSMIT-001868</t>
  </si>
  <si>
    <t>HRA-TRANSMIT-000002</t>
  </si>
  <si>
    <t>Sent back to Originator-KPTG-TRANSMIT-001873</t>
  </si>
  <si>
    <t>Terminated-KPTG-TRANSMIT-001874</t>
  </si>
  <si>
    <t>RDSBIM-TRANSMIT-000069</t>
  </si>
  <si>
    <t>KPTG-TRANSMIT-001875</t>
  </si>
  <si>
    <t>DCN165 Drawings - ARC</t>
  </si>
  <si>
    <t>Mail from lawden-#509</t>
  </si>
  <si>
    <t>KPTG-TRANSMIT-001878</t>
  </si>
  <si>
    <t>WilsonPD-TRANSMIT-000256</t>
  </si>
  <si>
    <t>KPTG-TRANSMIT-001879</t>
  </si>
  <si>
    <t>HRA-TRANSMIT-000003</t>
  </si>
  <si>
    <t>KPTG-IntCorr-004883</t>
  </si>
  <si>
    <t>RDSBIM-TRANSMIT-000081</t>
  </si>
  <si>
    <t>KPTG-IntCorr-004884</t>
  </si>
  <si>
    <t>RDSBIM-TRANSMIT-000082</t>
  </si>
  <si>
    <t>Sent back to Originator-KPTG-TRANSMIT-001880</t>
  </si>
  <si>
    <t>WilsonPD-TRANSMIT-000257</t>
  </si>
  <si>
    <t>KPTG-IntCorr-004885</t>
  </si>
  <si>
    <t>DCN165 Drawings ELC</t>
  </si>
  <si>
    <t>Mail From Lawden - #512</t>
  </si>
  <si>
    <t>DCN165 Drawings MEC</t>
  </si>
  <si>
    <t>Mail From Lawden - #513</t>
  </si>
  <si>
    <t>DCN165 Drawings HYD</t>
  </si>
  <si>
    <t>Mail From Lawden - #514</t>
  </si>
  <si>
    <t>DCN165 Drawings FIR</t>
  </si>
  <si>
    <t>Mail From Lawden - #515</t>
  </si>
  <si>
    <t>SMEPS-TRANSMIT-000305</t>
  </si>
  <si>
    <t>Sent back to Originator-KPTG-TRANSMIT-001882</t>
  </si>
  <si>
    <t>KPTG-TRANSMIT-001881</t>
  </si>
  <si>
    <t>SMEPS-TRANSMIT-000306</t>
  </si>
  <si>
    <t>Sent back to Originator-KPTG-TRANSMIT-001883</t>
  </si>
  <si>
    <t>SMEPS-TRANSMIT-000307</t>
  </si>
  <si>
    <t>KPTG-IntCorr-004896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</si>
</sst>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33333"/>
      <name val="Helvetica"/>
      <charset val="1"/>
    </font>
    <font>
      <b/>
      <sz val="13"/>
      <color rgb="FF222222"/>
      <name val="Artifakt Element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3" xfId="0" applyNumberFormat="1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8" fillId="0" borderId="1" xfId="0" applyFont="1" applyBorder="1"/>
    <xf numFmtId="0" fontId="2" fillId="0" borderId="11" xfId="0" applyFont="1" applyBorder="1" applyAlignment="1">
      <alignment horizontal="center" vertical="center"/>
    </xf>
    <xf numFmtId="0" fontId="8" fillId="0" borderId="6" xfId="0" applyFont="1" applyBorder="1"/>
    <xf numFmtId="0" fontId="0" fillId="0" borderId="1" xfId="0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0" fillId="0" borderId="7" xfId="0" applyBorder="1"/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ED05-66BE-46FF-9383-C5D1959438A1}">
  <dimension ref="A1:J26"/>
  <sheetViews>
    <sheetView zoomScale="89" zoomScaleNormal="89" workbookViewId="0">
      <selection activeCell="E10" sqref="E10"/>
    </sheetView>
  </sheetViews>
  <sheetFormatPr defaultColWidth="8.875" defaultRowHeight="30" customHeight="1"/>
  <cols>
    <col min="1" max="1" width="31" style="3" customWidth="1"/>
    <col min="2" max="3" width="18.875" style="3" customWidth="1"/>
    <col min="4" max="4" width="23.5" style="3" customWidth="1"/>
    <col min="5" max="5" width="28.625" style="3" customWidth="1"/>
    <col min="6" max="6" width="23.5" style="3" customWidth="1"/>
    <col min="7" max="7" width="31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pans="1:10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s="1" customFormat="1" ht="30" customHeight="1">
      <c r="A2" s="4" t="s">
        <v>1</v>
      </c>
      <c r="B2" s="5">
        <v>46296</v>
      </c>
      <c r="C2" s="5"/>
      <c r="D2" s="6"/>
      <c r="E2" s="6"/>
      <c r="F2" s="6"/>
      <c r="G2" s="7"/>
      <c r="H2" s="7"/>
      <c r="I2" s="7" t="s">
        <v>2</v>
      </c>
      <c r="J2" s="8"/>
    </row>
    <row r="3" spans="1:10" s="1" customFormat="1" ht="9" customHeight="1">
      <c r="A3" s="9"/>
      <c r="B3" s="10"/>
      <c r="C3" s="10"/>
      <c r="D3" s="10"/>
      <c r="E3" s="10"/>
      <c r="F3" s="10"/>
      <c r="G3" s="10"/>
      <c r="H3" s="10"/>
      <c r="I3" s="10"/>
      <c r="J3" s="11"/>
    </row>
    <row r="4" spans="1:10" s="1" customFormat="1" ht="30" customHeight="1">
      <c r="A4" s="84" t="s">
        <v>3</v>
      </c>
      <c r="B4" s="84"/>
      <c r="C4" s="84"/>
      <c r="D4" s="84"/>
      <c r="E4" s="12"/>
      <c r="F4" s="37" t="s">
        <v>4</v>
      </c>
      <c r="G4" s="85" t="s">
        <v>5</v>
      </c>
      <c r="H4" s="85"/>
      <c r="I4" s="85"/>
      <c r="J4" s="86" t="s">
        <v>6</v>
      </c>
    </row>
    <row r="5" spans="1:10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6"/>
      <c r="G5" s="15" t="s">
        <v>7</v>
      </c>
      <c r="H5" s="15" t="s">
        <v>11</v>
      </c>
      <c r="I5" s="16" t="s">
        <v>10</v>
      </c>
      <c r="J5" s="87"/>
    </row>
    <row r="6" spans="1:10" ht="35.25" customHeight="1">
      <c r="A6" s="35" t="s">
        <v>12</v>
      </c>
      <c r="B6" s="13">
        <v>2</v>
      </c>
      <c r="C6" s="13">
        <v>0</v>
      </c>
      <c r="D6" s="13">
        <v>2</v>
      </c>
      <c r="E6" s="35" t="s">
        <v>13</v>
      </c>
      <c r="F6" s="31"/>
      <c r="G6" s="35" t="s">
        <v>14</v>
      </c>
      <c r="H6" s="13">
        <v>1</v>
      </c>
      <c r="I6" s="13">
        <v>0</v>
      </c>
      <c r="J6" s="35" t="s">
        <v>15</v>
      </c>
    </row>
    <row r="7" spans="1:10" ht="37.5" customHeight="1">
      <c r="A7" s="35" t="s">
        <v>14</v>
      </c>
      <c r="B7" s="13">
        <v>1</v>
      </c>
      <c r="C7" s="13">
        <v>0</v>
      </c>
      <c r="D7" s="13">
        <v>0</v>
      </c>
      <c r="E7" s="35" t="s">
        <v>16</v>
      </c>
      <c r="F7" s="31"/>
      <c r="G7" s="35" t="s">
        <v>17</v>
      </c>
      <c r="H7" s="13">
        <v>6</v>
      </c>
      <c r="I7" s="13">
        <v>0</v>
      </c>
      <c r="J7" s="35" t="s">
        <v>18</v>
      </c>
    </row>
    <row r="8" spans="1:10" ht="35.25" customHeight="1">
      <c r="A8" s="35" t="s">
        <v>19</v>
      </c>
      <c r="B8" s="13">
        <v>2</v>
      </c>
      <c r="C8" s="13">
        <v>0</v>
      </c>
      <c r="D8" s="13">
        <v>0</v>
      </c>
      <c r="E8" s="35" t="s">
        <v>20</v>
      </c>
      <c r="F8" s="31"/>
      <c r="G8" s="35" t="s">
        <v>19</v>
      </c>
      <c r="H8" s="13">
        <v>2</v>
      </c>
      <c r="I8" s="13">
        <v>0</v>
      </c>
      <c r="J8" s="35" t="s">
        <v>21</v>
      </c>
    </row>
    <row r="9" spans="1:10" ht="35.25" customHeight="1">
      <c r="A9" s="35" t="s">
        <v>22</v>
      </c>
      <c r="B9" s="36">
        <v>2</v>
      </c>
      <c r="C9" s="24">
        <v>0</v>
      </c>
      <c r="D9" s="18">
        <v>2</v>
      </c>
      <c r="E9" s="39" t="s">
        <v>23</v>
      </c>
      <c r="F9" s="17"/>
      <c r="G9" s="35"/>
      <c r="H9" s="13"/>
      <c r="I9" s="13"/>
      <c r="J9" s="13"/>
    </row>
    <row r="10" spans="1:10" ht="35.25" customHeight="1">
      <c r="A10" s="35" t="s">
        <v>24</v>
      </c>
      <c r="B10" s="23">
        <v>2</v>
      </c>
      <c r="C10" s="22">
        <v>0</v>
      </c>
      <c r="D10" s="13">
        <v>0</v>
      </c>
      <c r="E10" s="35" t="s">
        <v>25</v>
      </c>
      <c r="F10" s="32"/>
      <c r="G10" s="35"/>
      <c r="H10" s="13"/>
      <c r="I10" s="13"/>
      <c r="J10" s="13"/>
    </row>
    <row r="11" spans="1:10" ht="35.25" customHeight="1">
      <c r="A11" s="35"/>
      <c r="B11" s="18"/>
      <c r="C11" s="13"/>
      <c r="D11" s="25"/>
      <c r="E11" s="32"/>
      <c r="F11" s="29"/>
      <c r="G11" s="38"/>
      <c r="H11" s="13"/>
      <c r="I11" s="13"/>
      <c r="J11" s="13"/>
    </row>
    <row r="12" spans="1:10" ht="35.25" customHeight="1">
      <c r="A12" s="35"/>
      <c r="B12" s="18"/>
      <c r="C12" s="13"/>
      <c r="D12" s="25"/>
      <c r="E12" s="33"/>
      <c r="F12" s="27"/>
      <c r="G12" s="38"/>
      <c r="H12" s="13"/>
      <c r="I12" s="13"/>
      <c r="J12" s="13"/>
    </row>
    <row r="13" spans="1:10" ht="35.25" customHeight="1">
      <c r="A13" s="35"/>
      <c r="B13" s="18"/>
      <c r="C13" s="13"/>
      <c r="D13" s="25"/>
      <c r="E13" s="33"/>
      <c r="F13" s="27"/>
      <c r="G13" s="38"/>
      <c r="H13" s="13"/>
      <c r="I13" s="13"/>
      <c r="J13" s="13"/>
    </row>
    <row r="14" spans="1:10" ht="35.25" customHeight="1">
      <c r="A14" s="35"/>
      <c r="B14" s="18"/>
      <c r="C14" s="13"/>
      <c r="E14" s="33"/>
      <c r="F14" s="27"/>
      <c r="G14" s="26"/>
      <c r="H14" s="13"/>
      <c r="I14" s="13"/>
      <c r="J14" s="14"/>
    </row>
    <row r="15" spans="1:10" ht="35.25" customHeight="1">
      <c r="A15" s="21"/>
      <c r="B15" s="13"/>
      <c r="C15" s="13"/>
      <c r="D15" s="25"/>
      <c r="E15" s="30"/>
      <c r="F15" s="30"/>
      <c r="G15" s="26"/>
      <c r="H15" s="13"/>
      <c r="I15" s="13"/>
      <c r="J15" s="14"/>
    </row>
    <row r="16" spans="1:10" ht="30" customHeight="1">
      <c r="A16" s="19" t="s">
        <v>26</v>
      </c>
      <c r="B16" s="18">
        <f>SUM(B6:B15)</f>
        <v>9</v>
      </c>
      <c r="C16" s="18"/>
      <c r="D16" s="18">
        <f>SUM(D6:D15)</f>
        <v>4</v>
      </c>
      <c r="E16" s="18"/>
      <c r="F16" s="18"/>
      <c r="G16" s="20"/>
      <c r="H16" s="18">
        <f>SUM(H6:H15)</f>
        <v>9</v>
      </c>
      <c r="I16" s="20"/>
      <c r="J16" s="18"/>
    </row>
    <row r="18" spans="1:7" ht="30" customHeight="1">
      <c r="A18" s="88" t="s">
        <v>27</v>
      </c>
      <c r="B18" s="89"/>
      <c r="C18" s="89"/>
      <c r="D18" s="89"/>
      <c r="E18" s="89"/>
      <c r="F18" s="89"/>
      <c r="G18" s="89"/>
    </row>
    <row r="19" spans="1:7" ht="30" customHeight="1">
      <c r="A19" s="28" t="s">
        <v>7</v>
      </c>
      <c r="B19" s="28" t="s">
        <v>1</v>
      </c>
      <c r="C19" s="28" t="s">
        <v>11</v>
      </c>
      <c r="D19" s="34" t="s">
        <v>10</v>
      </c>
      <c r="E19" s="82" t="s">
        <v>6</v>
      </c>
      <c r="F19" s="82"/>
      <c r="G19" s="82"/>
    </row>
    <row r="20" spans="1:7" ht="30" customHeight="1">
      <c r="A20" s="35" t="s">
        <v>28</v>
      </c>
      <c r="B20" s="41">
        <v>46280</v>
      </c>
      <c r="C20" s="35">
        <v>21</v>
      </c>
      <c r="D20" s="35">
        <v>21</v>
      </c>
      <c r="E20" s="90" t="s">
        <v>29</v>
      </c>
      <c r="F20" s="90"/>
      <c r="G20" s="90"/>
    </row>
    <row r="21" spans="1:7" ht="30" customHeight="1">
      <c r="A21" s="35" t="s">
        <v>30</v>
      </c>
      <c r="B21" s="41">
        <v>46282</v>
      </c>
      <c r="C21" s="35">
        <v>1</v>
      </c>
      <c r="D21" s="35">
        <v>1</v>
      </c>
      <c r="E21" s="90" t="s">
        <v>31</v>
      </c>
      <c r="F21" s="90"/>
      <c r="G21" s="90"/>
    </row>
    <row r="22" spans="1:7" ht="30" customHeight="1">
      <c r="A22" s="35" t="s">
        <v>32</v>
      </c>
      <c r="B22" s="41">
        <v>46286</v>
      </c>
      <c r="C22" s="35">
        <v>1</v>
      </c>
      <c r="D22" s="35">
        <v>1</v>
      </c>
      <c r="E22" s="90" t="s">
        <v>33</v>
      </c>
      <c r="F22" s="90"/>
      <c r="G22" s="90"/>
    </row>
    <row r="23" spans="1:7" ht="30" customHeight="1">
      <c r="A23" s="42"/>
      <c r="B23" s="42"/>
      <c r="C23" s="42"/>
      <c r="D23" s="42"/>
      <c r="E23" s="79"/>
      <c r="F23" s="79"/>
      <c r="G23" s="79"/>
    </row>
    <row r="24" spans="1:7" ht="30" customHeight="1">
      <c r="A24" s="43"/>
      <c r="B24" s="43"/>
      <c r="C24" s="43"/>
      <c r="D24" s="43"/>
      <c r="E24" s="91"/>
      <c r="F24" s="92"/>
      <c r="G24" s="93"/>
    </row>
    <row r="25" spans="1:7" ht="30" customHeight="1">
      <c r="D25" s="40">
        <f>SUM(D20:D23)</f>
        <v>23</v>
      </c>
      <c r="E25" s="40"/>
      <c r="F25" s="40"/>
      <c r="G25" s="40"/>
    </row>
    <row r="26" spans="1:7" ht="30" customHeight="1">
      <c r="E26" s="40"/>
      <c r="F26" s="40"/>
      <c r="G26" s="40"/>
    </row>
  </sheetData>
  <mergeCells count="11">
    <mergeCell ref="E21:G21"/>
    <mergeCell ref="E22:G22"/>
    <mergeCell ref="E24:G24"/>
    <mergeCell ref="E23:G23"/>
    <mergeCell ref="E20:G20"/>
    <mergeCell ref="E19:G19"/>
    <mergeCell ref="A1:J1"/>
    <mergeCell ref="A4:D4"/>
    <mergeCell ref="G4:I4"/>
    <mergeCell ref="J4:J5"/>
    <mergeCell ref="A18:G18"/>
  </mergeCells>
  <pageMargins left="0.7" right="0.7" top="0.75" bottom="0.75" header="0.3" footer="0.3"/>
  <pageSetup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7545-648E-42FA-998C-385AF8592D11}">
  <dimension ref="A1:J23"/>
  <sheetViews>
    <sheetView topLeftCell="A6" zoomScale="89" zoomScaleNormal="89" workbookViewId="0">
      <selection activeCell="E11" sqref="E11"/>
    </sheetView>
  </sheetViews>
  <sheetFormatPr defaultColWidth="8.875" defaultRowHeight="30" customHeight="1"/>
  <cols>
    <col min="1" max="1" width="31" style="3" customWidth="1"/>
    <col min="2" max="3" width="18.875" style="3" customWidth="1"/>
    <col min="4" max="4" width="23.5" style="3" customWidth="1"/>
    <col min="5" max="5" width="28.625" style="3" customWidth="1"/>
    <col min="6" max="6" width="23.5" style="3" customWidth="1"/>
    <col min="7" max="7" width="31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pans="1:10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s="1" customFormat="1" ht="30" customHeight="1">
      <c r="A2" s="4" t="s">
        <v>1</v>
      </c>
      <c r="B2" s="5">
        <v>46297</v>
      </c>
      <c r="C2" s="5"/>
      <c r="D2" s="6"/>
      <c r="E2" s="6"/>
      <c r="F2" s="6"/>
      <c r="G2" s="7"/>
      <c r="H2" s="7"/>
      <c r="I2" s="7" t="s">
        <v>2</v>
      </c>
      <c r="J2" s="8"/>
    </row>
    <row r="3" spans="1:10" s="1" customFormat="1" ht="9" customHeight="1">
      <c r="A3" s="9"/>
      <c r="B3" s="10"/>
      <c r="C3" s="10"/>
      <c r="D3" s="10"/>
      <c r="E3" s="10"/>
      <c r="F3" s="10"/>
      <c r="G3" s="10"/>
      <c r="H3" s="10"/>
      <c r="I3" s="10"/>
      <c r="J3" s="11"/>
    </row>
    <row r="4" spans="1:10" s="1" customFormat="1" ht="30" customHeight="1">
      <c r="A4" s="84" t="s">
        <v>3</v>
      </c>
      <c r="B4" s="84"/>
      <c r="C4" s="84"/>
      <c r="D4" s="84"/>
      <c r="E4" s="12"/>
      <c r="F4" s="37" t="s">
        <v>4</v>
      </c>
      <c r="G4" s="85" t="s">
        <v>5</v>
      </c>
      <c r="H4" s="85"/>
      <c r="I4" s="85"/>
      <c r="J4" s="86" t="s">
        <v>6</v>
      </c>
    </row>
    <row r="5" spans="1:10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6"/>
      <c r="G5" s="15" t="s">
        <v>7</v>
      </c>
      <c r="H5" s="15" t="s">
        <v>11</v>
      </c>
      <c r="I5" s="16" t="s">
        <v>10</v>
      </c>
      <c r="J5" s="87"/>
    </row>
    <row r="6" spans="1:10" ht="35.25" customHeight="1">
      <c r="A6" s="35" t="s">
        <v>34</v>
      </c>
      <c r="B6" s="13">
        <v>2</v>
      </c>
      <c r="C6" s="13">
        <v>0</v>
      </c>
      <c r="D6" s="13">
        <v>0</v>
      </c>
      <c r="E6" s="35" t="s">
        <v>35</v>
      </c>
      <c r="F6" s="31"/>
      <c r="G6" s="35" t="s">
        <v>36</v>
      </c>
      <c r="H6" s="13">
        <v>3</v>
      </c>
      <c r="I6" s="13">
        <v>0</v>
      </c>
      <c r="J6" s="35" t="s">
        <v>37</v>
      </c>
    </row>
    <row r="7" spans="1:10" ht="37.5" customHeight="1">
      <c r="A7" s="35" t="s">
        <v>38</v>
      </c>
      <c r="B7" s="13">
        <v>3</v>
      </c>
      <c r="C7" s="13">
        <v>0</v>
      </c>
      <c r="D7" s="13">
        <v>0</v>
      </c>
      <c r="E7" s="35" t="s">
        <v>39</v>
      </c>
      <c r="F7" s="31"/>
      <c r="G7" s="35"/>
      <c r="H7" s="13"/>
      <c r="I7" s="13"/>
      <c r="J7" s="35"/>
    </row>
    <row r="8" spans="1:10" ht="35.25" customHeight="1">
      <c r="A8" s="35" t="s">
        <v>36</v>
      </c>
      <c r="B8" s="13">
        <v>3</v>
      </c>
      <c r="C8" s="13">
        <v>0</v>
      </c>
      <c r="D8" s="13">
        <v>0</v>
      </c>
      <c r="E8" s="35" t="s">
        <v>40</v>
      </c>
      <c r="F8" s="31"/>
      <c r="G8" s="35"/>
      <c r="H8" s="13"/>
      <c r="I8" s="13"/>
      <c r="J8" s="35"/>
    </row>
    <row r="9" spans="1:10" ht="35.25" customHeight="1">
      <c r="A9" s="35" t="s">
        <v>41</v>
      </c>
      <c r="B9" s="36">
        <v>1</v>
      </c>
      <c r="C9" s="24">
        <v>0</v>
      </c>
      <c r="D9" s="18">
        <v>0</v>
      </c>
      <c r="E9" s="39" t="s">
        <v>42</v>
      </c>
      <c r="F9" s="17"/>
      <c r="G9" s="35"/>
      <c r="H9" s="13"/>
      <c r="I9" s="13"/>
      <c r="J9" s="13"/>
    </row>
    <row r="10" spans="1:10" ht="35.25" customHeight="1">
      <c r="A10" s="21"/>
      <c r="B10" s="13"/>
      <c r="C10" s="13"/>
      <c r="D10" s="25"/>
      <c r="E10" s="30"/>
      <c r="F10" s="30"/>
      <c r="G10" s="26"/>
      <c r="H10" s="13"/>
      <c r="I10" s="13"/>
      <c r="J10" s="14"/>
    </row>
    <row r="11" spans="1:10" ht="30" customHeight="1">
      <c r="A11" s="19" t="s">
        <v>26</v>
      </c>
      <c r="B11" s="18">
        <f>SUM(B6:B10)</f>
        <v>9</v>
      </c>
      <c r="C11" s="18"/>
      <c r="D11" s="18">
        <f>SUM(D6:D10)</f>
        <v>0</v>
      </c>
      <c r="E11" s="18"/>
      <c r="F11" s="18"/>
      <c r="G11" s="20"/>
      <c r="H11" s="18">
        <f>SUM(H6:H10)</f>
        <v>3</v>
      </c>
      <c r="I11" s="20"/>
      <c r="J11" s="18"/>
    </row>
    <row r="13" spans="1:10" ht="30" customHeight="1">
      <c r="A13" s="88" t="s">
        <v>27</v>
      </c>
      <c r="B13" s="89"/>
      <c r="C13" s="89"/>
      <c r="D13" s="89"/>
      <c r="E13" s="89"/>
      <c r="F13" s="89"/>
      <c r="G13" s="89"/>
    </row>
    <row r="14" spans="1:10" ht="30" customHeight="1">
      <c r="A14" s="28" t="s">
        <v>7</v>
      </c>
      <c r="B14" s="28" t="s">
        <v>1</v>
      </c>
      <c r="C14" s="28" t="s">
        <v>11</v>
      </c>
      <c r="D14" s="34" t="s">
        <v>10</v>
      </c>
      <c r="E14" s="82" t="s">
        <v>6</v>
      </c>
      <c r="F14" s="82"/>
      <c r="G14" s="82"/>
    </row>
    <row r="15" spans="1:10" ht="30" customHeight="1">
      <c r="A15" s="35" t="s">
        <v>28</v>
      </c>
      <c r="B15" s="41">
        <v>46280</v>
      </c>
      <c r="C15" s="35">
        <v>21</v>
      </c>
      <c r="D15" s="35">
        <v>21</v>
      </c>
      <c r="E15" s="90" t="s">
        <v>29</v>
      </c>
      <c r="F15" s="90"/>
      <c r="G15" s="90"/>
    </row>
    <row r="16" spans="1:10" ht="30" customHeight="1">
      <c r="A16" s="35" t="s">
        <v>30</v>
      </c>
      <c r="B16" s="41">
        <v>46282</v>
      </c>
      <c r="C16" s="35">
        <v>1</v>
      </c>
      <c r="D16" s="35">
        <v>1</v>
      </c>
      <c r="E16" s="90" t="s">
        <v>31</v>
      </c>
      <c r="F16" s="90"/>
      <c r="G16" s="90"/>
    </row>
    <row r="17" spans="1:7" ht="30" customHeight="1">
      <c r="A17" s="35" t="s">
        <v>32</v>
      </c>
      <c r="B17" s="41">
        <v>46286</v>
      </c>
      <c r="C17" s="35">
        <v>1</v>
      </c>
      <c r="D17" s="35">
        <v>1</v>
      </c>
      <c r="E17" s="90" t="s">
        <v>33</v>
      </c>
      <c r="F17" s="90"/>
      <c r="G17" s="90"/>
    </row>
    <row r="18" spans="1:7" ht="30" customHeight="1">
      <c r="A18" s="35" t="s">
        <v>12</v>
      </c>
      <c r="B18" s="41">
        <v>46296</v>
      </c>
      <c r="C18" s="35">
        <v>2</v>
      </c>
      <c r="D18" s="35">
        <v>2</v>
      </c>
      <c r="E18" s="94" t="s">
        <v>13</v>
      </c>
      <c r="F18" s="95"/>
      <c r="G18" s="96"/>
    </row>
    <row r="19" spans="1:7" ht="30" customHeight="1">
      <c r="A19" s="35" t="s">
        <v>22</v>
      </c>
      <c r="B19" s="41">
        <v>46296</v>
      </c>
      <c r="C19" s="35">
        <v>2</v>
      </c>
      <c r="D19" s="35">
        <v>2</v>
      </c>
      <c r="E19" s="94" t="s">
        <v>43</v>
      </c>
      <c r="F19" s="95"/>
      <c r="G19" s="96"/>
    </row>
    <row r="20" spans="1:7" ht="30" customHeight="1">
      <c r="A20" s="42"/>
      <c r="B20" s="42"/>
      <c r="C20" s="42"/>
      <c r="D20" s="42"/>
      <c r="E20" s="79"/>
      <c r="F20" s="79"/>
      <c r="G20" s="79"/>
    </row>
    <row r="21" spans="1:7" ht="30" customHeight="1">
      <c r="A21" s="43"/>
      <c r="B21" s="43"/>
      <c r="C21" s="43"/>
      <c r="D21" s="43"/>
      <c r="E21" s="91"/>
      <c r="F21" s="92"/>
      <c r="G21" s="93"/>
    </row>
    <row r="22" spans="1:7" ht="30" customHeight="1">
      <c r="D22" s="40">
        <f>SUM(D15:D20)</f>
        <v>27</v>
      </c>
      <c r="E22" s="40"/>
      <c r="F22" s="40"/>
      <c r="G22" s="40"/>
    </row>
    <row r="23" spans="1:7" ht="30" customHeight="1">
      <c r="E23" s="40"/>
      <c r="F23" s="40"/>
      <c r="G23" s="40"/>
    </row>
  </sheetData>
  <mergeCells count="13">
    <mergeCell ref="E14:G14"/>
    <mergeCell ref="A1:J1"/>
    <mergeCell ref="A4:D4"/>
    <mergeCell ref="G4:I4"/>
    <mergeCell ref="J4:J5"/>
    <mergeCell ref="A13:G13"/>
    <mergeCell ref="E15:G15"/>
    <mergeCell ref="E16:G16"/>
    <mergeCell ref="E17:G17"/>
    <mergeCell ref="E20:G20"/>
    <mergeCell ref="E21:G21"/>
    <mergeCell ref="E18:G18"/>
    <mergeCell ref="E19:G19"/>
  </mergeCells>
  <pageMargins left="0.7" right="0.7" top="0.75" bottom="0.75" header="0.3" footer="0.3"/>
  <pageSetup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CC49-0194-46DB-A072-B2DE0EB2BB30}">
  <dimension ref="A1:I26"/>
  <sheetViews>
    <sheetView zoomScale="89" zoomScaleNormal="89" workbookViewId="0">
      <selection activeCell="H10" sqref="H10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46300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44</v>
      </c>
      <c r="B6" s="13">
        <v>5</v>
      </c>
      <c r="C6" s="13">
        <v>0</v>
      </c>
      <c r="D6" s="13">
        <v>0</v>
      </c>
      <c r="E6" s="35" t="s">
        <v>45</v>
      </c>
      <c r="F6" s="35" t="s">
        <v>46</v>
      </c>
      <c r="G6" s="13">
        <v>1</v>
      </c>
      <c r="H6" s="13">
        <v>0</v>
      </c>
      <c r="I6" s="39" t="s">
        <v>47</v>
      </c>
    </row>
    <row r="7" spans="1:9" ht="37.5" customHeight="1">
      <c r="A7" s="35" t="s">
        <v>48</v>
      </c>
      <c r="B7" s="13">
        <v>2</v>
      </c>
      <c r="C7" s="13">
        <v>0</v>
      </c>
      <c r="D7" s="13">
        <v>0</v>
      </c>
      <c r="E7" s="35" t="s">
        <v>49</v>
      </c>
      <c r="F7" s="35"/>
      <c r="G7" s="13"/>
      <c r="H7" s="13"/>
      <c r="I7" s="35"/>
    </row>
    <row r="8" spans="1:9" ht="35.25" customHeight="1">
      <c r="A8" s="35" t="s">
        <v>46</v>
      </c>
      <c r="B8" s="13">
        <v>0</v>
      </c>
      <c r="C8" s="13">
        <v>1</v>
      </c>
      <c r="D8" s="13">
        <v>0</v>
      </c>
      <c r="E8" s="39" t="s">
        <v>47</v>
      </c>
      <c r="F8" s="35"/>
      <c r="G8" s="13"/>
      <c r="H8" s="13"/>
      <c r="I8" s="35"/>
    </row>
    <row r="9" spans="1:9" ht="35.25" customHeight="1">
      <c r="A9" s="47" t="s">
        <v>50</v>
      </c>
      <c r="B9" s="48">
        <v>31</v>
      </c>
      <c r="C9" s="49">
        <v>0</v>
      </c>
      <c r="D9" s="50">
        <v>0</v>
      </c>
      <c r="E9" s="51" t="s">
        <v>51</v>
      </c>
      <c r="F9" s="35"/>
      <c r="G9" s="13"/>
      <c r="H9" s="13"/>
      <c r="I9" s="13"/>
    </row>
    <row r="10" spans="1:9" ht="35.25" customHeight="1">
      <c r="A10" s="35"/>
      <c r="B10" s="13"/>
      <c r="C10" s="13"/>
      <c r="D10" s="13"/>
      <c r="E10" s="39"/>
      <c r="F10" s="38"/>
      <c r="G10" s="13"/>
      <c r="H10" s="13"/>
      <c r="I10" s="13"/>
    </row>
    <row r="11" spans="1:9" ht="35.25" customHeight="1">
      <c r="A11" s="45"/>
      <c r="B11" s="13"/>
      <c r="C11" s="13"/>
      <c r="D11" s="13"/>
      <c r="E11" s="46"/>
      <c r="F11" s="26"/>
      <c r="G11" s="13"/>
      <c r="H11" s="13"/>
      <c r="I11" s="14"/>
    </row>
    <row r="12" spans="1:9" ht="30" customHeight="1">
      <c r="A12" s="44" t="s">
        <v>26</v>
      </c>
      <c r="B12" s="18">
        <f>SUM(B6:B11)</f>
        <v>38</v>
      </c>
      <c r="C12" s="18">
        <f>SUM(C6:C11)</f>
        <v>1</v>
      </c>
      <c r="D12" s="18">
        <f>SUM(D6:D11)</f>
        <v>0</v>
      </c>
      <c r="E12" s="18"/>
      <c r="F12" s="20"/>
      <c r="G12" s="18">
        <f>SUM(G6:G11)</f>
        <v>1</v>
      </c>
      <c r="H12" s="18">
        <f>SUM(H6:H9)</f>
        <v>0</v>
      </c>
      <c r="I12" s="18"/>
    </row>
    <row r="14" spans="1:9" ht="30" customHeight="1">
      <c r="A14" s="88" t="s">
        <v>27</v>
      </c>
      <c r="B14" s="89"/>
      <c r="C14" s="89"/>
      <c r="D14" s="89"/>
      <c r="E14" s="89"/>
      <c r="F14" s="89"/>
    </row>
    <row r="15" spans="1:9" ht="30" customHeight="1">
      <c r="A15" s="28" t="s">
        <v>7</v>
      </c>
      <c r="B15" s="28" t="s">
        <v>1</v>
      </c>
      <c r="C15" s="28" t="s">
        <v>11</v>
      </c>
      <c r="D15" s="34" t="s">
        <v>10</v>
      </c>
      <c r="E15" s="82" t="s">
        <v>6</v>
      </c>
      <c r="F15" s="82"/>
    </row>
    <row r="16" spans="1:9" ht="30" customHeight="1">
      <c r="A16" s="35" t="s">
        <v>28</v>
      </c>
      <c r="B16" s="41">
        <v>46280</v>
      </c>
      <c r="C16" s="35">
        <v>21</v>
      </c>
      <c r="D16" s="35">
        <v>21</v>
      </c>
      <c r="E16" s="90" t="s">
        <v>29</v>
      </c>
      <c r="F16" s="90"/>
    </row>
    <row r="17" spans="1:6" ht="30" customHeight="1">
      <c r="A17" s="35" t="s">
        <v>32</v>
      </c>
      <c r="B17" s="41">
        <v>46286</v>
      </c>
      <c r="C17" s="35">
        <v>1</v>
      </c>
      <c r="D17" s="35">
        <v>1</v>
      </c>
      <c r="E17" s="90" t="s">
        <v>33</v>
      </c>
      <c r="F17" s="90"/>
    </row>
    <row r="18" spans="1:6" ht="30" customHeight="1">
      <c r="A18" s="35" t="s">
        <v>22</v>
      </c>
      <c r="B18" s="41">
        <v>46296</v>
      </c>
      <c r="C18" s="35">
        <v>2</v>
      </c>
      <c r="D18" s="35">
        <v>2</v>
      </c>
      <c r="E18" s="94" t="s">
        <v>43</v>
      </c>
      <c r="F18" s="96"/>
    </row>
    <row r="19" spans="1:6" ht="30" customHeight="1">
      <c r="A19" s="42"/>
      <c r="B19" s="42"/>
      <c r="C19" s="42"/>
      <c r="D19" s="42"/>
      <c r="E19" s="79"/>
      <c r="F19" s="79"/>
    </row>
    <row r="20" spans="1:6" ht="30" customHeight="1">
      <c r="A20" s="43"/>
      <c r="B20" s="43"/>
      <c r="C20" s="43"/>
      <c r="D20" s="43"/>
      <c r="E20" s="91"/>
      <c r="F20" s="93"/>
    </row>
    <row r="21" spans="1:6" ht="30" customHeight="1">
      <c r="C21" s="40">
        <f>SUM(C16:C20)</f>
        <v>24</v>
      </c>
      <c r="D21" s="40">
        <f>SUM(D16:D20)</f>
        <v>24</v>
      </c>
      <c r="E21" s="97"/>
      <c r="F21" s="97"/>
    </row>
    <row r="22" spans="1:6" ht="30" customHeight="1">
      <c r="E22" s="77"/>
      <c r="F22" s="77"/>
    </row>
    <row r="23" spans="1:6" ht="30" customHeight="1">
      <c r="E23" s="77"/>
      <c r="F23" s="77"/>
    </row>
    <row r="24" spans="1:6" ht="30" customHeight="1">
      <c r="E24" s="77"/>
      <c r="F24" s="77"/>
    </row>
    <row r="25" spans="1:6" ht="30" customHeight="1">
      <c r="E25" s="77"/>
      <c r="F25" s="77"/>
    </row>
    <row r="26" spans="1:6" ht="30" customHeight="1">
      <c r="E26" s="77"/>
      <c r="F26" s="77"/>
    </row>
  </sheetData>
  <mergeCells count="17">
    <mergeCell ref="E15:F15"/>
    <mergeCell ref="A1:I1"/>
    <mergeCell ref="A4:D4"/>
    <mergeCell ref="F4:H4"/>
    <mergeCell ref="I4:I5"/>
    <mergeCell ref="A14:F14"/>
    <mergeCell ref="E20:F20"/>
    <mergeCell ref="E16:F16"/>
    <mergeCell ref="E17:F17"/>
    <mergeCell ref="E18:F18"/>
    <mergeCell ref="E19:F19"/>
    <mergeCell ref="E26:F26"/>
    <mergeCell ref="E21:F21"/>
    <mergeCell ref="E22:F22"/>
    <mergeCell ref="E23:F23"/>
    <mergeCell ref="E24:F24"/>
    <mergeCell ref="E25:F25"/>
  </mergeCells>
  <pageMargins left="0.7" right="0.7" top="0.75" bottom="0.75" header="0.3" footer="0.3"/>
  <pageSetup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D1D3-01E6-4180-A1B5-9350599660F6}">
  <dimension ref="A1:I24"/>
  <sheetViews>
    <sheetView zoomScale="89" zoomScaleNormal="89" workbookViewId="0">
      <selection activeCell="G5" sqref="G5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46301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/>
      <c r="B6" s="13"/>
      <c r="C6" s="13"/>
      <c r="D6" s="13"/>
      <c r="E6" s="35"/>
      <c r="F6" s="35" t="s">
        <v>30</v>
      </c>
      <c r="G6" s="13">
        <v>1</v>
      </c>
      <c r="H6" s="13">
        <v>0</v>
      </c>
      <c r="I6" s="39" t="s">
        <v>52</v>
      </c>
    </row>
    <row r="7" spans="1:9" ht="37.5" customHeight="1">
      <c r="A7" s="35"/>
      <c r="B7" s="13"/>
      <c r="C7" s="13"/>
      <c r="D7" s="13"/>
      <c r="E7" s="35"/>
      <c r="F7" s="35" t="s">
        <v>28</v>
      </c>
      <c r="G7" s="13">
        <v>21</v>
      </c>
      <c r="H7" s="54">
        <v>0</v>
      </c>
      <c r="I7" s="47" t="s">
        <v>53</v>
      </c>
    </row>
    <row r="8" spans="1:9" ht="35.25" customHeight="1">
      <c r="A8" s="35"/>
      <c r="B8" s="13"/>
      <c r="C8" s="13"/>
      <c r="D8" s="13"/>
      <c r="E8" s="39"/>
      <c r="F8" s="35" t="s">
        <v>32</v>
      </c>
      <c r="G8" s="25">
        <v>1</v>
      </c>
      <c r="H8" s="13">
        <v>0</v>
      </c>
      <c r="I8" s="35" t="s">
        <v>54</v>
      </c>
    </row>
    <row r="9" spans="1:9" ht="35.25" customHeight="1">
      <c r="A9" s="47"/>
      <c r="B9" s="48"/>
      <c r="C9" s="49"/>
      <c r="D9" s="50"/>
      <c r="E9" s="51"/>
      <c r="F9" s="35" t="s">
        <v>44</v>
      </c>
      <c r="G9" s="25">
        <v>5</v>
      </c>
      <c r="H9" s="13">
        <v>0</v>
      </c>
      <c r="I9" s="39" t="s">
        <v>55</v>
      </c>
    </row>
    <row r="10" spans="1:9" ht="35.25" customHeight="1">
      <c r="A10" s="35"/>
      <c r="B10" s="13"/>
      <c r="C10" s="13"/>
      <c r="D10" s="13"/>
      <c r="E10" s="39"/>
      <c r="F10" s="38"/>
      <c r="G10" s="25"/>
      <c r="H10" s="13"/>
      <c r="I10" s="53"/>
    </row>
    <row r="11" spans="1:9" ht="35.25" customHeight="1">
      <c r="A11" s="45"/>
      <c r="B11" s="13"/>
      <c r="C11" s="13"/>
      <c r="D11" s="13"/>
      <c r="E11" s="46"/>
      <c r="F11" s="26"/>
      <c r="G11" s="13"/>
      <c r="H11" s="18"/>
      <c r="I11" s="55"/>
    </row>
    <row r="12" spans="1:9" ht="30" customHeight="1">
      <c r="A12" s="44" t="s">
        <v>26</v>
      </c>
      <c r="B12" s="18">
        <f>SUM(B6:B11)</f>
        <v>0</v>
      </c>
      <c r="C12" s="18">
        <f>SUM(C6:C11)</f>
        <v>0</v>
      </c>
      <c r="D12" s="18">
        <f>SUM(D6:D11)</f>
        <v>0</v>
      </c>
      <c r="E12" s="18"/>
      <c r="F12" s="20"/>
      <c r="G12" s="18">
        <f>SUM(G6:G11)</f>
        <v>28</v>
      </c>
      <c r="H12" s="18">
        <f>SUM(H6:H9)</f>
        <v>0</v>
      </c>
      <c r="I12" s="18"/>
    </row>
    <row r="14" spans="1:9" ht="30" customHeight="1">
      <c r="A14" s="88" t="s">
        <v>27</v>
      </c>
      <c r="B14" s="89"/>
      <c r="C14" s="89"/>
      <c r="D14" s="89"/>
      <c r="E14" s="89"/>
      <c r="F14" s="89"/>
    </row>
    <row r="15" spans="1:9" ht="30" customHeight="1">
      <c r="A15" s="28" t="s">
        <v>7</v>
      </c>
      <c r="B15" s="28" t="s">
        <v>1</v>
      </c>
      <c r="C15" s="28" t="s">
        <v>11</v>
      </c>
      <c r="D15" s="34" t="s">
        <v>10</v>
      </c>
      <c r="E15" s="82" t="s">
        <v>6</v>
      </c>
      <c r="F15" s="82"/>
    </row>
    <row r="16" spans="1:9" ht="30" customHeight="1">
      <c r="A16" s="35" t="s">
        <v>22</v>
      </c>
      <c r="B16" s="41">
        <v>46296</v>
      </c>
      <c r="C16" s="35">
        <v>2</v>
      </c>
      <c r="D16" s="35">
        <v>2</v>
      </c>
      <c r="E16" s="94" t="s">
        <v>43</v>
      </c>
      <c r="F16" s="96"/>
    </row>
    <row r="17" spans="1:6" ht="30" customHeight="1">
      <c r="A17" s="42"/>
      <c r="B17" s="42"/>
      <c r="C17" s="42"/>
      <c r="D17" s="42"/>
      <c r="E17" s="79"/>
      <c r="F17" s="79"/>
    </row>
    <row r="18" spans="1:6" ht="30" customHeight="1">
      <c r="A18" s="43"/>
      <c r="B18" s="43"/>
      <c r="C18" s="43"/>
      <c r="D18" s="43"/>
      <c r="E18" s="91"/>
      <c r="F18" s="93"/>
    </row>
    <row r="19" spans="1:6" ht="30" customHeight="1">
      <c r="C19" s="40">
        <f>SUM(C16:C18)</f>
        <v>2</v>
      </c>
      <c r="D19" s="40">
        <f>SUM(D16:D18)</f>
        <v>2</v>
      </c>
      <c r="E19" s="97"/>
      <c r="F19" s="97"/>
    </row>
    <row r="20" spans="1:6" ht="30" customHeight="1">
      <c r="E20" s="77"/>
      <c r="F20" s="77"/>
    </row>
    <row r="21" spans="1:6" ht="30" customHeight="1">
      <c r="E21" s="77"/>
      <c r="F21" s="77"/>
    </row>
    <row r="22" spans="1:6" ht="30" customHeight="1">
      <c r="E22" s="77"/>
      <c r="F22" s="77"/>
    </row>
    <row r="23" spans="1:6" ht="30" customHeight="1">
      <c r="E23" s="77"/>
      <c r="F23" s="77"/>
    </row>
    <row r="24" spans="1:6" ht="30" customHeight="1">
      <c r="E24" s="77"/>
      <c r="F24" s="77"/>
    </row>
  </sheetData>
  <mergeCells count="15">
    <mergeCell ref="E16:F16"/>
    <mergeCell ref="E17:F17"/>
    <mergeCell ref="E18:F18"/>
    <mergeCell ref="E19:F19"/>
    <mergeCell ref="A1:I1"/>
    <mergeCell ref="A4:D4"/>
    <mergeCell ref="F4:H4"/>
    <mergeCell ref="I4:I5"/>
    <mergeCell ref="A14:F14"/>
    <mergeCell ref="E15:F15"/>
    <mergeCell ref="E20:F20"/>
    <mergeCell ref="E21:F21"/>
    <mergeCell ref="E22:F22"/>
    <mergeCell ref="E23:F23"/>
    <mergeCell ref="E24:F24"/>
  </mergeCells>
  <pageMargins left="0.7" right="0.7" top="0.75" bottom="0.75" header="0.3" footer="0.3"/>
  <pageSetup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7132-B4EE-4BD1-A31D-A11294F28CAC}">
  <dimension ref="A1:I25"/>
  <sheetViews>
    <sheetView topLeftCell="B1" zoomScale="89" zoomScaleNormal="89" workbookViewId="0">
      <selection activeCell="B13" sqref="B13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46302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56</v>
      </c>
      <c r="B6" s="13">
        <v>8</v>
      </c>
      <c r="C6" s="13">
        <v>0</v>
      </c>
      <c r="D6" s="13">
        <v>0</v>
      </c>
      <c r="E6" s="39" t="s">
        <v>57</v>
      </c>
      <c r="F6" s="35" t="s">
        <v>48</v>
      </c>
      <c r="G6" s="13">
        <v>2</v>
      </c>
      <c r="H6" s="13">
        <v>0</v>
      </c>
      <c r="I6" s="39" t="s">
        <v>58</v>
      </c>
    </row>
    <row r="7" spans="1:9" ht="37.5" customHeight="1">
      <c r="A7" s="35" t="s">
        <v>59</v>
      </c>
      <c r="B7" s="13">
        <v>5</v>
      </c>
      <c r="C7" s="13">
        <v>0</v>
      </c>
      <c r="D7" s="13">
        <v>0</v>
      </c>
      <c r="E7" s="35" t="s">
        <v>60</v>
      </c>
      <c r="F7" s="35" t="s">
        <v>61</v>
      </c>
      <c r="G7" s="13">
        <v>28</v>
      </c>
      <c r="H7" s="54">
        <v>0</v>
      </c>
      <c r="I7" s="39" t="s">
        <v>62</v>
      </c>
    </row>
    <row r="8" spans="1:9" ht="35.25" customHeight="1">
      <c r="A8" s="35" t="s">
        <v>63</v>
      </c>
      <c r="B8" s="13">
        <v>1</v>
      </c>
      <c r="C8" s="13">
        <v>0</v>
      </c>
      <c r="D8" s="13">
        <v>0</v>
      </c>
      <c r="E8" s="39" t="s">
        <v>64</v>
      </c>
      <c r="F8" s="35" t="s">
        <v>56</v>
      </c>
      <c r="G8" s="25">
        <v>8</v>
      </c>
      <c r="H8" s="13">
        <v>0</v>
      </c>
      <c r="I8" s="35" t="s">
        <v>65</v>
      </c>
    </row>
    <row r="9" spans="1:9" ht="35.25" customHeight="1">
      <c r="A9" s="47" t="s">
        <v>66</v>
      </c>
      <c r="B9" s="48">
        <v>5</v>
      </c>
      <c r="C9" s="49">
        <v>0</v>
      </c>
      <c r="D9" s="50">
        <v>5</v>
      </c>
      <c r="E9" s="51" t="s">
        <v>67</v>
      </c>
      <c r="F9" s="35" t="s">
        <v>68</v>
      </c>
      <c r="G9" s="25">
        <v>2</v>
      </c>
      <c r="H9" s="13">
        <v>0</v>
      </c>
      <c r="I9" s="39" t="s">
        <v>69</v>
      </c>
    </row>
    <row r="10" spans="1:9" ht="35.25" customHeight="1">
      <c r="A10" s="35" t="s">
        <v>61</v>
      </c>
      <c r="B10" s="13">
        <v>28</v>
      </c>
      <c r="C10" s="13">
        <v>0</v>
      </c>
      <c r="D10" s="13">
        <v>0</v>
      </c>
      <c r="E10" s="39" t="s">
        <v>62</v>
      </c>
      <c r="F10" s="38"/>
      <c r="G10" s="25"/>
      <c r="H10" s="13"/>
      <c r="I10" s="53"/>
    </row>
    <row r="11" spans="1:9" ht="35.25" customHeight="1">
      <c r="A11" s="35" t="s">
        <v>68</v>
      </c>
      <c r="B11" s="13">
        <v>2</v>
      </c>
      <c r="C11" s="13">
        <v>0</v>
      </c>
      <c r="D11" s="13">
        <v>0</v>
      </c>
      <c r="E11" s="39" t="s">
        <v>69</v>
      </c>
      <c r="F11" s="38"/>
      <c r="G11" s="25"/>
      <c r="H11" s="18"/>
      <c r="I11" s="56"/>
    </row>
    <row r="12" spans="1:9" ht="35.25" customHeight="1">
      <c r="A12" s="45"/>
      <c r="B12" s="13"/>
      <c r="C12" s="13"/>
      <c r="D12" s="13"/>
      <c r="E12" s="46"/>
      <c r="F12" s="26"/>
      <c r="G12" s="13"/>
      <c r="H12" s="18"/>
      <c r="I12" s="55"/>
    </row>
    <row r="13" spans="1:9" ht="30" customHeight="1">
      <c r="A13" s="44" t="s">
        <v>26</v>
      </c>
      <c r="B13" s="18">
        <f>SUM(B6:B12)</f>
        <v>49</v>
      </c>
      <c r="C13" s="18">
        <f>SUM(C6:C12)</f>
        <v>0</v>
      </c>
      <c r="D13" s="18">
        <f>SUM(D6:D12)</f>
        <v>5</v>
      </c>
      <c r="E13" s="18"/>
      <c r="F13" s="20"/>
      <c r="G13" s="18">
        <f>SUM(G6:G12)</f>
        <v>40</v>
      </c>
      <c r="H13" s="18">
        <f>SUM(H6:H9)</f>
        <v>0</v>
      </c>
      <c r="I13" s="18"/>
    </row>
    <row r="15" spans="1:9" ht="30" customHeight="1">
      <c r="A15" s="88" t="s">
        <v>27</v>
      </c>
      <c r="B15" s="89"/>
      <c r="C15" s="89"/>
      <c r="D15" s="89"/>
      <c r="E15" s="89"/>
      <c r="F15" s="89"/>
    </row>
    <row r="16" spans="1:9" ht="30" customHeight="1">
      <c r="A16" s="28" t="s">
        <v>7</v>
      </c>
      <c r="B16" s="28" t="s">
        <v>1</v>
      </c>
      <c r="C16" s="28" t="s">
        <v>11</v>
      </c>
      <c r="D16" s="34" t="s">
        <v>10</v>
      </c>
      <c r="E16" s="82" t="s">
        <v>6</v>
      </c>
      <c r="F16" s="82"/>
    </row>
    <row r="17" spans="1:6" ht="30" customHeight="1">
      <c r="A17" s="35" t="s">
        <v>22</v>
      </c>
      <c r="B17" s="41">
        <v>46296</v>
      </c>
      <c r="C17" s="35">
        <v>2</v>
      </c>
      <c r="D17" s="35">
        <v>2</v>
      </c>
      <c r="E17" s="94" t="s">
        <v>43</v>
      </c>
      <c r="F17" s="96"/>
    </row>
    <row r="18" spans="1:6" ht="30" customHeight="1">
      <c r="A18" s="42"/>
      <c r="B18" s="42"/>
      <c r="C18" s="42"/>
      <c r="D18" s="42"/>
      <c r="E18" s="79"/>
      <c r="F18" s="79"/>
    </row>
    <row r="19" spans="1:6" ht="30" customHeight="1">
      <c r="A19" s="43"/>
      <c r="B19" s="43"/>
      <c r="C19" s="43"/>
      <c r="D19" s="43"/>
      <c r="E19" s="91"/>
      <c r="F19" s="93"/>
    </row>
    <row r="20" spans="1:6" ht="30" customHeight="1">
      <c r="C20" s="40">
        <f>SUM(C17:C19)</f>
        <v>2</v>
      </c>
      <c r="D20" s="40">
        <f>SUM(D17:D19)</f>
        <v>2</v>
      </c>
      <c r="E20" s="97"/>
      <c r="F20" s="97"/>
    </row>
    <row r="21" spans="1:6" ht="30" customHeight="1">
      <c r="E21" s="77"/>
      <c r="F21" s="77"/>
    </row>
    <row r="22" spans="1:6" ht="30" customHeight="1">
      <c r="E22" s="77"/>
      <c r="F22" s="77"/>
    </row>
    <row r="23" spans="1:6" ht="30" customHeight="1">
      <c r="E23" s="77"/>
      <c r="F23" s="77"/>
    </row>
    <row r="24" spans="1:6" ht="30" customHeight="1">
      <c r="E24" s="77"/>
      <c r="F24" s="77"/>
    </row>
    <row r="25" spans="1:6" ht="30" customHeight="1">
      <c r="E25" s="77"/>
      <c r="F25" s="77"/>
    </row>
  </sheetData>
  <mergeCells count="15">
    <mergeCell ref="E16:F16"/>
    <mergeCell ref="A1:I1"/>
    <mergeCell ref="A4:D4"/>
    <mergeCell ref="F4:H4"/>
    <mergeCell ref="I4:I5"/>
    <mergeCell ref="A15:F15"/>
    <mergeCell ref="E23:F23"/>
    <mergeCell ref="E24:F24"/>
    <mergeCell ref="E25:F25"/>
    <mergeCell ref="E17:F17"/>
    <mergeCell ref="E18:F18"/>
    <mergeCell ref="E19:F19"/>
    <mergeCell ref="E20:F20"/>
    <mergeCell ref="E21:F21"/>
    <mergeCell ref="E22:F22"/>
  </mergeCells>
  <pageMargins left="0.7" right="0.7" top="0.75" bottom="0.75" header="0.3" footer="0.3"/>
  <pageSetup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6C0F-9D4D-4768-8665-56BE26A0162D}">
  <dimension ref="A1:I30"/>
  <sheetViews>
    <sheetView topLeftCell="A10" zoomScale="89" zoomScaleNormal="89" workbookViewId="0">
      <selection activeCell="F10" sqref="F10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46303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70</v>
      </c>
      <c r="B6" s="13">
        <v>9</v>
      </c>
      <c r="C6" s="13">
        <v>0</v>
      </c>
      <c r="D6" s="13">
        <v>0</v>
      </c>
      <c r="E6" s="39" t="s">
        <v>71</v>
      </c>
      <c r="F6" s="35" t="s">
        <v>70</v>
      </c>
      <c r="G6" s="13">
        <v>9</v>
      </c>
      <c r="H6" s="13">
        <v>0</v>
      </c>
      <c r="I6" s="39" t="s">
        <v>71</v>
      </c>
    </row>
    <row r="7" spans="1:9" ht="37.5" customHeight="1">
      <c r="A7" s="35" t="s">
        <v>72</v>
      </c>
      <c r="B7" s="13">
        <v>28</v>
      </c>
      <c r="C7" s="13">
        <v>0</v>
      </c>
      <c r="D7" s="13">
        <v>0</v>
      </c>
      <c r="E7" s="39" t="s">
        <v>73</v>
      </c>
      <c r="F7" s="35" t="s">
        <v>74</v>
      </c>
      <c r="G7" s="13">
        <v>1</v>
      </c>
      <c r="H7" s="54">
        <v>0</v>
      </c>
      <c r="I7" s="39" t="s">
        <v>75</v>
      </c>
    </row>
    <row r="8" spans="1:9" ht="35.25" customHeight="1">
      <c r="A8" s="35" t="s">
        <v>74</v>
      </c>
      <c r="B8" s="13">
        <v>1</v>
      </c>
      <c r="C8" s="13">
        <v>0</v>
      </c>
      <c r="D8" s="13">
        <v>0</v>
      </c>
      <c r="E8" s="39" t="s">
        <v>75</v>
      </c>
      <c r="F8" s="35" t="s">
        <v>72</v>
      </c>
      <c r="G8" s="25">
        <v>28</v>
      </c>
      <c r="H8" s="13">
        <v>0</v>
      </c>
      <c r="I8" s="39" t="s">
        <v>73</v>
      </c>
    </row>
    <row r="9" spans="1:9" ht="35.25" customHeight="1">
      <c r="A9" s="47" t="s">
        <v>76</v>
      </c>
      <c r="B9" s="48">
        <v>2</v>
      </c>
      <c r="C9" s="49">
        <v>0</v>
      </c>
      <c r="D9" s="50">
        <v>0</v>
      </c>
      <c r="E9" s="51" t="s">
        <v>77</v>
      </c>
      <c r="F9" s="35" t="s">
        <v>78</v>
      </c>
      <c r="G9" s="25">
        <v>6</v>
      </c>
      <c r="H9" s="13">
        <v>0</v>
      </c>
      <c r="I9" s="39" t="s">
        <v>79</v>
      </c>
    </row>
    <row r="10" spans="1:9" ht="35.25" customHeight="1">
      <c r="A10" s="35" t="s">
        <v>80</v>
      </c>
      <c r="B10" s="13">
        <v>2</v>
      </c>
      <c r="C10" s="13">
        <v>0</v>
      </c>
      <c r="D10" s="13">
        <v>0</v>
      </c>
      <c r="E10" s="39" t="s">
        <v>81</v>
      </c>
      <c r="F10" s="38" t="s">
        <v>82</v>
      </c>
      <c r="G10" s="25">
        <v>1</v>
      </c>
      <c r="H10" s="13">
        <v>0</v>
      </c>
      <c r="I10" s="39" t="s">
        <v>83</v>
      </c>
    </row>
    <row r="11" spans="1:9" ht="35.25" customHeight="1">
      <c r="A11" s="35" t="s">
        <v>84</v>
      </c>
      <c r="B11" s="13">
        <v>1</v>
      </c>
      <c r="C11" s="13">
        <v>0</v>
      </c>
      <c r="D11" s="13">
        <v>0</v>
      </c>
      <c r="E11" s="39" t="s">
        <v>85</v>
      </c>
      <c r="F11" s="38"/>
      <c r="G11" s="25"/>
      <c r="H11" s="18"/>
      <c r="I11" s="56"/>
    </row>
    <row r="12" spans="1:9" ht="35.25" customHeight="1">
      <c r="A12" s="35" t="s">
        <v>82</v>
      </c>
      <c r="B12" s="13">
        <v>1</v>
      </c>
      <c r="C12" s="13">
        <v>0</v>
      </c>
      <c r="D12" s="13">
        <v>0</v>
      </c>
      <c r="E12" s="39" t="s">
        <v>83</v>
      </c>
      <c r="F12" s="38"/>
      <c r="G12" s="25"/>
      <c r="H12" s="18"/>
      <c r="I12" s="56"/>
    </row>
    <row r="13" spans="1:9" ht="35.25" customHeight="1">
      <c r="A13" s="47" t="s">
        <v>86</v>
      </c>
      <c r="B13" s="54">
        <v>1</v>
      </c>
      <c r="C13" s="13">
        <v>0</v>
      </c>
      <c r="D13" s="13">
        <v>0</v>
      </c>
      <c r="E13" s="39" t="s">
        <v>87</v>
      </c>
      <c r="F13" s="38"/>
      <c r="G13" s="25"/>
      <c r="H13" s="18"/>
      <c r="I13" s="56"/>
    </row>
    <row r="14" spans="1:9" ht="35.25" customHeight="1">
      <c r="A14" s="35" t="s">
        <v>88</v>
      </c>
      <c r="B14" s="13">
        <v>1</v>
      </c>
      <c r="C14" s="22">
        <v>0</v>
      </c>
      <c r="D14" s="13">
        <v>0</v>
      </c>
      <c r="E14" s="39" t="s">
        <v>89</v>
      </c>
      <c r="F14" s="38"/>
      <c r="G14" s="25"/>
      <c r="H14" s="18"/>
      <c r="I14" s="56"/>
    </row>
    <row r="15" spans="1:9" ht="35.25" customHeight="1">
      <c r="A15" s="35" t="s">
        <v>90</v>
      </c>
      <c r="B15" s="13">
        <v>15</v>
      </c>
      <c r="C15" s="22">
        <v>0</v>
      </c>
      <c r="D15" s="13">
        <v>0</v>
      </c>
      <c r="E15" s="51" t="s">
        <v>91</v>
      </c>
      <c r="F15" s="60"/>
      <c r="G15" s="25"/>
      <c r="H15" s="18"/>
      <c r="I15" s="56"/>
    </row>
    <row r="16" spans="1:9" ht="35.25" customHeight="1">
      <c r="A16" s="39" t="s">
        <v>92</v>
      </c>
      <c r="B16" s="13">
        <v>1</v>
      </c>
      <c r="C16" s="22">
        <v>0</v>
      </c>
      <c r="D16" s="25">
        <v>0</v>
      </c>
      <c r="E16" s="39" t="s">
        <v>93</v>
      </c>
      <c r="F16" s="45"/>
      <c r="G16" s="22"/>
      <c r="H16" s="18"/>
      <c r="I16" s="55"/>
    </row>
    <row r="17" spans="1:9" ht="35.25" customHeight="1">
      <c r="A17" s="53"/>
      <c r="B17" s="13"/>
      <c r="C17" s="24"/>
      <c r="D17" s="59"/>
      <c r="E17" s="53"/>
      <c r="F17" s="45"/>
      <c r="G17" s="24"/>
      <c r="H17" s="18"/>
      <c r="I17" s="55"/>
    </row>
    <row r="18" spans="1:9" ht="30" customHeight="1">
      <c r="A18" s="44" t="s">
        <v>26</v>
      </c>
      <c r="B18" s="18">
        <f>SUM(B6:B16)</f>
        <v>62</v>
      </c>
      <c r="C18" s="18">
        <f>SUM(C6:C16)</f>
        <v>0</v>
      </c>
      <c r="D18" s="18">
        <f>SUM(D6:D16)</f>
        <v>0</v>
      </c>
      <c r="E18" s="18"/>
      <c r="F18" s="20"/>
      <c r="G18" s="18">
        <f>SUM(G6:G16)</f>
        <v>45</v>
      </c>
      <c r="H18" s="18">
        <f>SUM(H6:H9)</f>
        <v>0</v>
      </c>
      <c r="I18" s="18"/>
    </row>
    <row r="20" spans="1:9" ht="30" customHeight="1">
      <c r="A20" s="88" t="s">
        <v>27</v>
      </c>
      <c r="B20" s="89"/>
      <c r="C20" s="89"/>
      <c r="D20" s="89"/>
      <c r="E20" s="89"/>
      <c r="F20" s="89"/>
    </row>
    <row r="21" spans="1:9" ht="30" customHeight="1">
      <c r="A21" s="28" t="s">
        <v>7</v>
      </c>
      <c r="B21" s="28" t="s">
        <v>1</v>
      </c>
      <c r="C21" s="28" t="s">
        <v>11</v>
      </c>
      <c r="D21" s="34" t="s">
        <v>10</v>
      </c>
      <c r="E21" s="82" t="s">
        <v>6</v>
      </c>
      <c r="F21" s="82"/>
    </row>
    <row r="22" spans="1:9" ht="30" customHeight="1">
      <c r="A22" s="35" t="s">
        <v>22</v>
      </c>
      <c r="B22" s="41">
        <v>46296</v>
      </c>
      <c r="C22" s="35">
        <v>2</v>
      </c>
      <c r="D22" s="35">
        <v>2</v>
      </c>
      <c r="E22" s="94" t="s">
        <v>43</v>
      </c>
      <c r="F22" s="96"/>
    </row>
    <row r="23" spans="1:9" ht="30" customHeight="1">
      <c r="A23" s="42" t="s">
        <v>66</v>
      </c>
      <c r="B23" s="58">
        <v>46302</v>
      </c>
      <c r="C23" s="57">
        <v>5</v>
      </c>
      <c r="D23" s="57">
        <v>5</v>
      </c>
      <c r="E23" s="79" t="s">
        <v>67</v>
      </c>
      <c r="F23" s="79"/>
    </row>
    <row r="24" spans="1:9" ht="30" customHeight="1">
      <c r="A24" s="43"/>
      <c r="B24" s="43"/>
      <c r="C24" s="43"/>
      <c r="D24" s="43"/>
      <c r="E24" s="91"/>
      <c r="F24" s="93"/>
    </row>
    <row r="25" spans="1:9" ht="30" customHeight="1">
      <c r="C25" s="40">
        <f>SUM(C22:C24)</f>
        <v>7</v>
      </c>
      <c r="D25" s="40">
        <f>SUM(D22:D24)</f>
        <v>7</v>
      </c>
      <c r="E25" s="97"/>
      <c r="F25" s="97"/>
    </row>
    <row r="26" spans="1:9" ht="30" customHeight="1">
      <c r="E26" s="77"/>
      <c r="F26" s="77"/>
    </row>
    <row r="27" spans="1:9" ht="30" customHeight="1">
      <c r="E27" s="77"/>
      <c r="F27" s="77"/>
    </row>
    <row r="28" spans="1:9" ht="30" customHeight="1">
      <c r="E28" s="77"/>
      <c r="F28" s="77"/>
    </row>
    <row r="29" spans="1:9" ht="30" customHeight="1">
      <c r="E29" s="77"/>
      <c r="F29" s="77"/>
    </row>
    <row r="30" spans="1:9" ht="30" customHeight="1">
      <c r="E30" s="77"/>
      <c r="F30" s="77"/>
    </row>
  </sheetData>
  <mergeCells count="15">
    <mergeCell ref="E28:F28"/>
    <mergeCell ref="E29:F29"/>
    <mergeCell ref="E30:F30"/>
    <mergeCell ref="E22:F22"/>
    <mergeCell ref="E23:F23"/>
    <mergeCell ref="E24:F24"/>
    <mergeCell ref="E25:F25"/>
    <mergeCell ref="E26:F26"/>
    <mergeCell ref="E27:F27"/>
    <mergeCell ref="E21:F21"/>
    <mergeCell ref="A1:I1"/>
    <mergeCell ref="A4:D4"/>
    <mergeCell ref="F4:H4"/>
    <mergeCell ref="I4:I5"/>
    <mergeCell ref="A20:F20"/>
  </mergeCells>
  <pageMargins left="0.7" right="0.7" top="0.75" bottom="0.75" header="0.3" footer="0.3"/>
  <pageSetup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A7E2-4F20-4AE9-9DB4-045D62415221}">
  <dimension ref="A1:I33"/>
  <sheetViews>
    <sheetView topLeftCell="A6" zoomScale="89" zoomScaleNormal="89" workbookViewId="0">
      <selection activeCell="A7" sqref="A7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46304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94</v>
      </c>
      <c r="B6" s="13">
        <v>5</v>
      </c>
      <c r="C6" s="13">
        <v>0</v>
      </c>
      <c r="D6" s="13">
        <v>0</v>
      </c>
      <c r="E6" s="39" t="s">
        <v>95</v>
      </c>
      <c r="F6" s="35" t="s">
        <v>12</v>
      </c>
      <c r="G6" s="13">
        <v>2</v>
      </c>
      <c r="H6" s="13">
        <v>0</v>
      </c>
      <c r="I6" s="39" t="s">
        <v>96</v>
      </c>
    </row>
    <row r="7" spans="1:9" ht="37.5" customHeight="1">
      <c r="A7" s="35" t="s">
        <v>97</v>
      </c>
      <c r="B7" s="13">
        <v>0</v>
      </c>
      <c r="C7" s="13">
        <v>1</v>
      </c>
      <c r="D7" s="13">
        <v>1</v>
      </c>
      <c r="E7" s="39" t="s">
        <v>98</v>
      </c>
      <c r="F7" s="35" t="s">
        <v>99</v>
      </c>
      <c r="G7" s="13">
        <v>2</v>
      </c>
      <c r="H7" s="13">
        <v>0</v>
      </c>
      <c r="I7" s="39" t="s">
        <v>100</v>
      </c>
    </row>
    <row r="8" spans="1:9" ht="35.25" customHeight="1">
      <c r="A8" s="35" t="s">
        <v>99</v>
      </c>
      <c r="B8" s="13">
        <v>0</v>
      </c>
      <c r="C8" s="13">
        <v>2</v>
      </c>
      <c r="D8" s="13">
        <v>0</v>
      </c>
      <c r="E8" s="39" t="s">
        <v>100</v>
      </c>
      <c r="F8" s="35" t="s">
        <v>101</v>
      </c>
      <c r="G8" s="64">
        <v>2</v>
      </c>
      <c r="H8" s="54">
        <v>0</v>
      </c>
      <c r="I8" s="51" t="s">
        <v>102</v>
      </c>
    </row>
    <row r="9" spans="1:9" ht="35.25" customHeight="1">
      <c r="A9" s="47" t="s">
        <v>101</v>
      </c>
      <c r="B9" s="48">
        <v>0</v>
      </c>
      <c r="C9" s="49">
        <v>2</v>
      </c>
      <c r="D9" s="50">
        <v>0</v>
      </c>
      <c r="E9" s="51" t="s">
        <v>102</v>
      </c>
      <c r="F9" s="61" t="s">
        <v>103</v>
      </c>
      <c r="G9" s="13">
        <v>1</v>
      </c>
      <c r="H9" s="13">
        <v>0</v>
      </c>
      <c r="I9" s="39" t="s">
        <v>104</v>
      </c>
    </row>
    <row r="10" spans="1:9" ht="35.25" customHeight="1">
      <c r="A10" s="35" t="s">
        <v>105</v>
      </c>
      <c r="B10" s="13">
        <v>4</v>
      </c>
      <c r="C10" s="13">
        <v>0</v>
      </c>
      <c r="D10" s="13">
        <v>0</v>
      </c>
      <c r="E10" s="39" t="s">
        <v>106</v>
      </c>
      <c r="F10" s="62" t="s">
        <v>107</v>
      </c>
      <c r="G10" s="13">
        <v>40</v>
      </c>
      <c r="H10" s="13">
        <v>0</v>
      </c>
      <c r="I10" s="39" t="s">
        <v>108</v>
      </c>
    </row>
    <row r="11" spans="1:9" ht="35.25" customHeight="1">
      <c r="A11" s="35" t="s">
        <v>109</v>
      </c>
      <c r="B11" s="13">
        <v>4</v>
      </c>
      <c r="C11" s="13">
        <v>0</v>
      </c>
      <c r="D11" s="13">
        <v>0</v>
      </c>
      <c r="E11" s="39" t="s">
        <v>110</v>
      </c>
      <c r="F11" s="62" t="s">
        <v>41</v>
      </c>
      <c r="G11" s="13">
        <v>1</v>
      </c>
      <c r="H11" s="13">
        <v>0</v>
      </c>
      <c r="I11" s="51" t="s">
        <v>111</v>
      </c>
    </row>
    <row r="12" spans="1:9" ht="35.25" customHeight="1">
      <c r="A12" s="35" t="s">
        <v>103</v>
      </c>
      <c r="B12" s="13">
        <v>0</v>
      </c>
      <c r="C12" s="13">
        <v>1</v>
      </c>
      <c r="D12" s="13">
        <v>0</v>
      </c>
      <c r="E12" s="39" t="s">
        <v>104</v>
      </c>
      <c r="F12" s="62" t="s">
        <v>63</v>
      </c>
      <c r="G12" s="13">
        <v>1</v>
      </c>
      <c r="H12" s="25">
        <v>0</v>
      </c>
      <c r="I12" s="39" t="s">
        <v>112</v>
      </c>
    </row>
    <row r="13" spans="1:9" ht="35.25" customHeight="1">
      <c r="A13" s="47" t="s">
        <v>107</v>
      </c>
      <c r="B13" s="54">
        <v>40</v>
      </c>
      <c r="C13" s="13">
        <v>0</v>
      </c>
      <c r="D13" s="13">
        <v>0</v>
      </c>
      <c r="E13" s="39" t="s">
        <v>108</v>
      </c>
      <c r="F13" s="62" t="s">
        <v>76</v>
      </c>
      <c r="G13" s="13">
        <v>2</v>
      </c>
      <c r="H13" s="64">
        <v>0</v>
      </c>
      <c r="I13" s="51" t="s">
        <v>113</v>
      </c>
    </row>
    <row r="14" spans="1:9" ht="35.25" customHeight="1">
      <c r="A14" s="35" t="s">
        <v>114</v>
      </c>
      <c r="B14" s="13">
        <v>0</v>
      </c>
      <c r="C14" s="22">
        <v>2</v>
      </c>
      <c r="D14" s="13">
        <v>0</v>
      </c>
      <c r="E14" s="39" t="s">
        <v>115</v>
      </c>
      <c r="F14" s="63" t="s">
        <v>105</v>
      </c>
      <c r="G14" s="64">
        <v>4</v>
      </c>
      <c r="H14" s="13">
        <v>0</v>
      </c>
      <c r="I14" s="39" t="s">
        <v>106</v>
      </c>
    </row>
    <row r="15" spans="1:9" ht="35.25" customHeight="1">
      <c r="A15" s="35" t="s">
        <v>116</v>
      </c>
      <c r="B15" s="13">
        <v>1</v>
      </c>
      <c r="C15" s="22">
        <v>0</v>
      </c>
      <c r="D15" s="13">
        <v>0</v>
      </c>
      <c r="E15" s="65" t="s">
        <v>117</v>
      </c>
      <c r="F15" s="35" t="s">
        <v>109</v>
      </c>
      <c r="G15" s="25">
        <v>4</v>
      </c>
      <c r="H15" s="13">
        <v>0</v>
      </c>
      <c r="I15" s="39" t="s">
        <v>110</v>
      </c>
    </row>
    <row r="16" spans="1:9" ht="35.25" customHeight="1">
      <c r="A16" s="35" t="s">
        <v>118</v>
      </c>
      <c r="B16" s="13">
        <v>40</v>
      </c>
      <c r="C16" s="22">
        <v>0</v>
      </c>
      <c r="D16" s="25">
        <v>0</v>
      </c>
      <c r="E16" s="65" t="s">
        <v>119</v>
      </c>
      <c r="F16" s="35" t="s">
        <v>86</v>
      </c>
      <c r="G16" s="25">
        <v>1</v>
      </c>
      <c r="H16" s="13">
        <v>0</v>
      </c>
      <c r="I16" s="39" t="s">
        <v>120</v>
      </c>
    </row>
    <row r="17" spans="1:9" ht="35.25" customHeight="1">
      <c r="A17" s="51" t="s">
        <v>121</v>
      </c>
      <c r="B17" s="13">
        <v>2</v>
      </c>
      <c r="C17" s="22">
        <v>0</v>
      </c>
      <c r="D17" s="25">
        <v>0</v>
      </c>
      <c r="E17" s="66" t="s">
        <v>122</v>
      </c>
      <c r="F17" s="35" t="s">
        <v>59</v>
      </c>
      <c r="G17" s="25">
        <v>2</v>
      </c>
      <c r="H17" s="13">
        <v>0</v>
      </c>
      <c r="I17" s="39" t="s">
        <v>123</v>
      </c>
    </row>
    <row r="18" spans="1:9" ht="35.25" customHeight="1">
      <c r="A18" s="39" t="s">
        <v>59</v>
      </c>
      <c r="B18" s="22">
        <v>3</v>
      </c>
      <c r="C18" s="24">
        <v>0</v>
      </c>
      <c r="D18" s="59">
        <v>0</v>
      </c>
      <c r="E18" s="66" t="s">
        <v>124</v>
      </c>
      <c r="F18" s="70" t="s">
        <v>125</v>
      </c>
      <c r="G18" s="69">
        <v>2</v>
      </c>
      <c r="H18" s="13">
        <v>0</v>
      </c>
      <c r="I18" s="39" t="s">
        <v>126</v>
      </c>
    </row>
    <row r="19" spans="1:9" ht="35.25" customHeight="1">
      <c r="A19" s="39" t="s">
        <v>125</v>
      </c>
      <c r="B19" s="22">
        <v>2</v>
      </c>
      <c r="C19" s="24">
        <v>0</v>
      </c>
      <c r="D19" s="59">
        <v>0</v>
      </c>
      <c r="E19" s="39" t="s">
        <v>126</v>
      </c>
      <c r="F19" s="70" t="s">
        <v>88</v>
      </c>
      <c r="G19" s="69">
        <v>1</v>
      </c>
      <c r="H19" s="13">
        <v>0</v>
      </c>
      <c r="I19" s="39" t="s">
        <v>127</v>
      </c>
    </row>
    <row r="20" spans="1:9" ht="35.25" customHeight="1">
      <c r="A20" s="53"/>
      <c r="B20" s="24"/>
      <c r="C20" s="24"/>
      <c r="D20" s="59"/>
      <c r="E20" s="56"/>
      <c r="F20" s="67"/>
      <c r="G20" s="24"/>
      <c r="H20" s="18"/>
      <c r="I20" s="55"/>
    </row>
    <row r="21" spans="1:9" ht="30" customHeight="1">
      <c r="A21" s="68" t="s">
        <v>26</v>
      </c>
      <c r="B21" s="24">
        <f>SUM(B6:B19)</f>
        <v>101</v>
      </c>
      <c r="C21" s="18">
        <f>SUM(C6:C17)</f>
        <v>8</v>
      </c>
      <c r="D21" s="18">
        <f>SUM(D6:D17)</f>
        <v>1</v>
      </c>
      <c r="E21" s="18"/>
      <c r="F21" s="20"/>
      <c r="G21" s="18">
        <f>SUM(G6:G19)</f>
        <v>65</v>
      </c>
      <c r="H21" s="18">
        <f>SUM(H6:H9)</f>
        <v>0</v>
      </c>
      <c r="I21" s="18"/>
    </row>
    <row r="23" spans="1:9" ht="30" customHeight="1">
      <c r="A23" s="88" t="s">
        <v>27</v>
      </c>
      <c r="B23" s="89"/>
      <c r="C23" s="89"/>
      <c r="D23" s="89"/>
      <c r="E23" s="89"/>
      <c r="F23" s="89"/>
    </row>
    <row r="24" spans="1:9" ht="30" customHeight="1">
      <c r="A24" s="28" t="s">
        <v>7</v>
      </c>
      <c r="B24" s="28" t="s">
        <v>1</v>
      </c>
      <c r="C24" s="28" t="s">
        <v>11</v>
      </c>
      <c r="D24" s="34" t="s">
        <v>10</v>
      </c>
      <c r="E24" s="82" t="s">
        <v>6</v>
      </c>
      <c r="F24" s="82"/>
    </row>
    <row r="25" spans="1:9" ht="30" customHeight="1">
      <c r="A25" s="35" t="s">
        <v>22</v>
      </c>
      <c r="B25" s="41">
        <v>46296</v>
      </c>
      <c r="C25" s="35">
        <v>2</v>
      </c>
      <c r="D25" s="35">
        <v>2</v>
      </c>
      <c r="E25" s="94" t="s">
        <v>43</v>
      </c>
      <c r="F25" s="96"/>
    </row>
    <row r="26" spans="1:9" ht="30" customHeight="1">
      <c r="A26" s="42" t="s">
        <v>66</v>
      </c>
      <c r="B26" s="58">
        <v>46302</v>
      </c>
      <c r="C26" s="57">
        <v>5</v>
      </c>
      <c r="D26" s="57">
        <v>5</v>
      </c>
      <c r="E26" s="79" t="s">
        <v>67</v>
      </c>
      <c r="F26" s="79"/>
    </row>
    <row r="27" spans="1:9" ht="30" customHeight="1">
      <c r="A27" s="43"/>
      <c r="B27" s="43"/>
      <c r="C27" s="43"/>
      <c r="D27" s="43"/>
      <c r="E27" s="91"/>
      <c r="F27" s="93"/>
    </row>
    <row r="28" spans="1:9" ht="30" customHeight="1">
      <c r="C28" s="40">
        <f>SUM(C25:C27)</f>
        <v>7</v>
      </c>
      <c r="D28" s="40">
        <f>SUM(D25:D27)</f>
        <v>7</v>
      </c>
      <c r="E28" s="97"/>
      <c r="F28" s="97"/>
    </row>
    <row r="29" spans="1:9" ht="30" customHeight="1">
      <c r="E29" s="77"/>
      <c r="F29" s="77"/>
    </row>
    <row r="30" spans="1:9" ht="30" customHeight="1">
      <c r="E30" s="77"/>
      <c r="F30" s="77"/>
    </row>
    <row r="31" spans="1:9" ht="30" customHeight="1">
      <c r="E31" s="77"/>
      <c r="F31" s="77"/>
    </row>
    <row r="32" spans="1:9" ht="30" customHeight="1">
      <c r="E32" s="77"/>
      <c r="F32" s="77"/>
    </row>
    <row r="33" spans="5:6" ht="30" customHeight="1">
      <c r="E33" s="77"/>
      <c r="F33" s="77"/>
    </row>
  </sheetData>
  <mergeCells count="15">
    <mergeCell ref="E24:F24"/>
    <mergeCell ref="A1:I1"/>
    <mergeCell ref="A4:D4"/>
    <mergeCell ref="F4:H4"/>
    <mergeCell ref="I4:I5"/>
    <mergeCell ref="A23:F23"/>
    <mergeCell ref="E31:F31"/>
    <mergeCell ref="E32:F32"/>
    <mergeCell ref="E33:F33"/>
    <mergeCell ref="E25:F25"/>
    <mergeCell ref="E26:F26"/>
    <mergeCell ref="E27:F27"/>
    <mergeCell ref="E28:F28"/>
    <mergeCell ref="E29:F29"/>
    <mergeCell ref="E30:F30"/>
  </mergeCells>
  <pageMargins left="0.7" right="0.7" top="0.75" bottom="0.75" header="0.3" footer="0.3"/>
  <pageSetup fitToWidth="0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5AB9-EF71-4669-A16D-0122F1F2EDDC}">
  <dimension ref="A1:I27"/>
  <sheetViews>
    <sheetView topLeftCell="A4" zoomScale="89" zoomScaleNormal="89" workbookViewId="0">
      <selection activeCell="I10" sqref="I10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46307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80</v>
      </c>
      <c r="B6" s="13">
        <v>2</v>
      </c>
      <c r="C6" s="13">
        <v>0</v>
      </c>
      <c r="D6" s="13">
        <v>0</v>
      </c>
      <c r="E6" s="39" t="s">
        <v>128</v>
      </c>
      <c r="F6" s="35" t="s">
        <v>80</v>
      </c>
      <c r="G6" s="13">
        <v>2</v>
      </c>
      <c r="H6" s="13">
        <v>0</v>
      </c>
      <c r="I6" s="39" t="s">
        <v>129</v>
      </c>
    </row>
    <row r="7" spans="1:9" ht="37.5" customHeight="1">
      <c r="A7" s="35" t="s">
        <v>84</v>
      </c>
      <c r="B7" s="13">
        <v>1</v>
      </c>
      <c r="C7" s="13">
        <v>0</v>
      </c>
      <c r="D7" s="13">
        <v>0</v>
      </c>
      <c r="E7" s="39" t="s">
        <v>130</v>
      </c>
      <c r="F7" s="35" t="s">
        <v>84</v>
      </c>
      <c r="G7" s="13">
        <v>1</v>
      </c>
      <c r="H7" s="13">
        <v>0</v>
      </c>
      <c r="I7" s="39" t="s">
        <v>129</v>
      </c>
    </row>
    <row r="8" spans="1:9" ht="35.25" customHeight="1">
      <c r="A8" s="35" t="s">
        <v>118</v>
      </c>
      <c r="B8" s="13">
        <v>40</v>
      </c>
      <c r="C8" s="13">
        <v>0</v>
      </c>
      <c r="D8" s="13">
        <v>0</v>
      </c>
      <c r="E8" s="39" t="s">
        <v>131</v>
      </c>
      <c r="F8" s="35" t="s">
        <v>118</v>
      </c>
      <c r="G8" s="64">
        <v>40</v>
      </c>
      <c r="H8" s="54">
        <v>0</v>
      </c>
      <c r="I8" s="51" t="s">
        <v>129</v>
      </c>
    </row>
    <row r="9" spans="1:9" ht="35.25" customHeight="1">
      <c r="A9" s="47" t="s">
        <v>132</v>
      </c>
      <c r="B9" s="48">
        <v>1</v>
      </c>
      <c r="C9" s="49">
        <v>0</v>
      </c>
      <c r="D9" s="50">
        <v>0</v>
      </c>
      <c r="E9" s="51" t="s">
        <v>133</v>
      </c>
      <c r="F9" s="61" t="s">
        <v>22</v>
      </c>
      <c r="G9" s="13">
        <v>2</v>
      </c>
      <c r="H9" s="13">
        <v>0</v>
      </c>
      <c r="I9" s="39" t="s">
        <v>134</v>
      </c>
    </row>
    <row r="10" spans="1:9" ht="35.25" customHeight="1">
      <c r="A10" s="35"/>
      <c r="B10" s="13"/>
      <c r="C10" s="13"/>
      <c r="D10" s="13"/>
      <c r="E10" s="39"/>
      <c r="F10" s="62" t="s">
        <v>132</v>
      </c>
      <c r="G10" s="13">
        <v>1</v>
      </c>
      <c r="H10" s="13">
        <v>0</v>
      </c>
      <c r="I10" s="39" t="s">
        <v>135</v>
      </c>
    </row>
    <row r="11" spans="1:9" ht="35.25" customHeight="1">
      <c r="A11" s="35"/>
      <c r="B11" s="13"/>
      <c r="C11" s="13"/>
      <c r="D11" s="13"/>
      <c r="E11" s="39"/>
      <c r="F11" s="62" t="s">
        <v>136</v>
      </c>
      <c r="G11" s="13">
        <v>2</v>
      </c>
      <c r="H11" s="13">
        <v>0</v>
      </c>
      <c r="I11" s="51" t="s">
        <v>137</v>
      </c>
    </row>
    <row r="12" spans="1:9" ht="35.25" customHeight="1">
      <c r="A12" s="35"/>
      <c r="B12" s="13"/>
      <c r="C12" s="13"/>
      <c r="D12" s="13"/>
      <c r="E12" s="39"/>
      <c r="F12" s="62" t="s">
        <v>138</v>
      </c>
      <c r="G12" s="13">
        <v>3</v>
      </c>
      <c r="H12" s="25">
        <v>0</v>
      </c>
      <c r="I12" s="39" t="s">
        <v>139</v>
      </c>
    </row>
    <row r="13" spans="1:9" ht="35.25" customHeight="1">
      <c r="A13" s="47"/>
      <c r="B13" s="54"/>
      <c r="C13" s="13"/>
      <c r="D13" s="13"/>
      <c r="E13" s="39"/>
      <c r="F13" s="62"/>
      <c r="G13" s="13"/>
      <c r="H13" s="64"/>
      <c r="I13" s="51"/>
    </row>
    <row r="14" spans="1:9" ht="35.25" customHeight="1">
      <c r="A14" s="53"/>
      <c r="B14" s="24"/>
      <c r="C14" s="24"/>
      <c r="D14" s="59"/>
      <c r="E14" s="56"/>
      <c r="F14" s="67"/>
      <c r="G14" s="24"/>
      <c r="H14" s="18"/>
      <c r="I14" s="55"/>
    </row>
    <row r="15" spans="1:9" ht="30" customHeight="1">
      <c r="A15" s="68" t="s">
        <v>26</v>
      </c>
      <c r="B15" s="24">
        <f>SUM(B6:B13)</f>
        <v>44</v>
      </c>
      <c r="C15" s="18">
        <f>SUM(C6:C13)</f>
        <v>0</v>
      </c>
      <c r="D15" s="18">
        <f>SUM(D6:D13)</f>
        <v>0</v>
      </c>
      <c r="E15" s="18"/>
      <c r="F15" s="20"/>
      <c r="G15" s="18">
        <f>SUM(G6:G13)</f>
        <v>51</v>
      </c>
      <c r="H15" s="18">
        <f>SUM(H6:H9)</f>
        <v>0</v>
      </c>
      <c r="I15" s="18"/>
    </row>
    <row r="17" spans="1:6" ht="30" customHeight="1">
      <c r="A17" s="88" t="s">
        <v>27</v>
      </c>
      <c r="B17" s="89"/>
      <c r="C17" s="89"/>
      <c r="D17" s="89"/>
      <c r="E17" s="89"/>
      <c r="F17" s="89"/>
    </row>
    <row r="18" spans="1:6" ht="30" customHeight="1">
      <c r="A18" s="28" t="s">
        <v>7</v>
      </c>
      <c r="B18" s="28" t="s">
        <v>1</v>
      </c>
      <c r="C18" s="28" t="s">
        <v>11</v>
      </c>
      <c r="D18" s="34" t="s">
        <v>10</v>
      </c>
      <c r="E18" s="82" t="s">
        <v>6</v>
      </c>
      <c r="F18" s="82"/>
    </row>
    <row r="19" spans="1:6" ht="30" customHeight="1">
      <c r="A19" s="72" t="s">
        <v>66</v>
      </c>
      <c r="B19" s="71">
        <v>46302</v>
      </c>
      <c r="C19" s="72">
        <v>5</v>
      </c>
      <c r="D19" s="72">
        <v>5</v>
      </c>
      <c r="E19" s="78" t="s">
        <v>67</v>
      </c>
      <c r="F19" s="78"/>
    </row>
    <row r="20" spans="1:6" ht="30" customHeight="1">
      <c r="A20" s="57" t="s">
        <v>97</v>
      </c>
      <c r="B20" s="58">
        <v>46304</v>
      </c>
      <c r="C20" s="57">
        <v>1</v>
      </c>
      <c r="D20" s="57">
        <v>0</v>
      </c>
      <c r="E20" s="79" t="s">
        <v>98</v>
      </c>
      <c r="F20" s="79"/>
    </row>
    <row r="21" spans="1:6" ht="30" customHeight="1">
      <c r="A21" s="42"/>
      <c r="B21" s="42"/>
      <c r="C21" s="42"/>
      <c r="D21" s="42"/>
      <c r="E21" s="80"/>
      <c r="F21" s="81"/>
    </row>
    <row r="22" spans="1:6" ht="30" customHeight="1">
      <c r="C22" s="40">
        <f>SUM(C19:C20)</f>
        <v>6</v>
      </c>
      <c r="D22" s="40">
        <f>SUM(D19:D20)</f>
        <v>5</v>
      </c>
      <c r="E22" s="77"/>
      <c r="F22" s="77"/>
    </row>
    <row r="23" spans="1:6" ht="30" customHeight="1">
      <c r="E23" s="77"/>
      <c r="F23" s="77"/>
    </row>
    <row r="24" spans="1:6" ht="30" customHeight="1">
      <c r="E24" s="77"/>
      <c r="F24" s="77"/>
    </row>
    <row r="25" spans="1:6" ht="30" customHeight="1">
      <c r="E25" s="77"/>
      <c r="F25" s="77"/>
    </row>
    <row r="26" spans="1:6" ht="30" customHeight="1">
      <c r="E26" s="77"/>
      <c r="F26" s="77"/>
    </row>
    <row r="27" spans="1:6" ht="30" customHeight="1">
      <c r="E27" s="77"/>
      <c r="F27" s="77"/>
    </row>
  </sheetData>
  <mergeCells count="15">
    <mergeCell ref="E25:F25"/>
    <mergeCell ref="E26:F26"/>
    <mergeCell ref="E27:F27"/>
    <mergeCell ref="E19:F19"/>
    <mergeCell ref="E20:F20"/>
    <mergeCell ref="E22:F22"/>
    <mergeCell ref="E23:F23"/>
    <mergeCell ref="E24:F24"/>
    <mergeCell ref="E21:F21"/>
    <mergeCell ref="E18:F18"/>
    <mergeCell ref="A1:I1"/>
    <mergeCell ref="A4:D4"/>
    <mergeCell ref="F4:H4"/>
    <mergeCell ref="I4:I5"/>
    <mergeCell ref="A17:F17"/>
  </mergeCells>
  <pageMargins left="0.7" right="0.7" top="0.75" bottom="0.75" header="0.3" footer="0.3"/>
  <pageSetup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70D-5C08-4F27-98D8-8A88D568C349}">
  <dimension ref="A1:I22"/>
  <sheetViews>
    <sheetView zoomScale="89" zoomScaleNormal="89" workbookViewId="0">
      <selection activeCell="E7" sqref="E7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46308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140</v>
      </c>
      <c r="B6" s="13">
        <v>4</v>
      </c>
      <c r="C6" s="13">
        <v>0</v>
      </c>
      <c r="D6" s="54">
        <v>0</v>
      </c>
      <c r="E6" s="51" t="s">
        <v>141</v>
      </c>
      <c r="F6" s="35" t="s">
        <v>140</v>
      </c>
      <c r="G6" s="13">
        <v>4</v>
      </c>
      <c r="H6" s="13">
        <v>0</v>
      </c>
      <c r="I6" s="39" t="s">
        <v>141</v>
      </c>
    </row>
    <row r="7" spans="1:9" ht="37.5" customHeight="1">
      <c r="A7" s="47"/>
      <c r="B7" s="54"/>
      <c r="C7" s="64"/>
      <c r="D7" s="54"/>
      <c r="E7" s="39"/>
      <c r="F7" s="38" t="s">
        <v>38</v>
      </c>
      <c r="G7" s="13">
        <v>3</v>
      </c>
      <c r="H7" s="13">
        <v>0</v>
      </c>
      <c r="I7" s="39" t="s">
        <v>142</v>
      </c>
    </row>
    <row r="8" spans="1:9" ht="35.25" customHeight="1">
      <c r="A8" s="35"/>
      <c r="B8" s="13"/>
      <c r="C8" s="13"/>
      <c r="D8" s="13"/>
      <c r="E8" s="74"/>
      <c r="F8" s="38" t="s">
        <v>143</v>
      </c>
      <c r="G8" s="64">
        <v>2</v>
      </c>
      <c r="H8" s="54">
        <v>0</v>
      </c>
      <c r="I8" s="51" t="s">
        <v>144</v>
      </c>
    </row>
    <row r="9" spans="1:9" ht="35.25" customHeight="1">
      <c r="A9" s="35"/>
      <c r="B9" s="13"/>
      <c r="C9" s="13"/>
      <c r="D9" s="13"/>
      <c r="E9" s="74"/>
      <c r="F9" s="62"/>
      <c r="G9" s="13"/>
      <c r="H9" s="13"/>
      <c r="I9" s="39"/>
    </row>
    <row r="10" spans="1:9" ht="30" customHeight="1">
      <c r="A10" s="68" t="s">
        <v>26</v>
      </c>
      <c r="B10" s="13">
        <f>SUM(B6:B9)</f>
        <v>4</v>
      </c>
      <c r="C10" s="13">
        <f>SUM(C6:C9)</f>
        <v>0</v>
      </c>
      <c r="D10" s="13">
        <f>SUM(D6:D9)</f>
        <v>0</v>
      </c>
      <c r="E10" s="22"/>
      <c r="F10" s="73"/>
      <c r="G10" s="18">
        <f>SUM(G6:G9)</f>
        <v>9</v>
      </c>
      <c r="H10" s="18">
        <f>SUM(H6:H9)</f>
        <v>0</v>
      </c>
      <c r="I10" s="18"/>
    </row>
    <row r="12" spans="1:9" ht="30" customHeight="1">
      <c r="A12" s="88" t="s">
        <v>27</v>
      </c>
      <c r="B12" s="89"/>
      <c r="C12" s="89"/>
      <c r="D12" s="89"/>
      <c r="E12" s="89"/>
      <c r="F12" s="89"/>
    </row>
    <row r="13" spans="1:9" ht="30" customHeight="1">
      <c r="A13" s="28" t="s">
        <v>7</v>
      </c>
      <c r="B13" s="28" t="s">
        <v>1</v>
      </c>
      <c r="C13" s="28" t="s">
        <v>11</v>
      </c>
      <c r="D13" s="34" t="s">
        <v>10</v>
      </c>
      <c r="E13" s="82" t="s">
        <v>6</v>
      </c>
      <c r="F13" s="82"/>
    </row>
    <row r="14" spans="1:9" ht="30" customHeight="1">
      <c r="A14" s="72" t="s">
        <v>66</v>
      </c>
      <c r="B14" s="71">
        <v>46302</v>
      </c>
      <c r="C14" s="72">
        <v>5</v>
      </c>
      <c r="D14" s="72">
        <v>5</v>
      </c>
      <c r="E14" s="78" t="s">
        <v>67</v>
      </c>
      <c r="F14" s="78"/>
    </row>
    <row r="15" spans="1:9" ht="30" customHeight="1">
      <c r="A15" s="57" t="s">
        <v>97</v>
      </c>
      <c r="B15" s="58">
        <v>46304</v>
      </c>
      <c r="C15" s="57">
        <v>1</v>
      </c>
      <c r="D15" s="57">
        <v>1</v>
      </c>
      <c r="E15" s="79" t="s">
        <v>98</v>
      </c>
      <c r="F15" s="79"/>
    </row>
    <row r="16" spans="1:9" ht="30" customHeight="1">
      <c r="A16" s="42"/>
      <c r="B16" s="42"/>
      <c r="C16" s="42"/>
      <c r="D16" s="42"/>
      <c r="E16" s="80"/>
      <c r="F16" s="81"/>
    </row>
    <row r="17" spans="3:6" ht="30" customHeight="1">
      <c r="C17" s="40">
        <f>SUM(C14:C15)</f>
        <v>6</v>
      </c>
      <c r="D17" s="40">
        <f>SUM(D14:D15)</f>
        <v>6</v>
      </c>
      <c r="E17" s="77"/>
      <c r="F17" s="77"/>
    </row>
    <row r="18" spans="3:6" ht="30" customHeight="1">
      <c r="E18" s="77"/>
      <c r="F18" s="77"/>
    </row>
    <row r="19" spans="3:6" ht="30" customHeight="1">
      <c r="E19" s="77"/>
      <c r="F19" s="77"/>
    </row>
    <row r="20" spans="3:6" ht="30" customHeight="1">
      <c r="E20" s="77"/>
      <c r="F20" s="77"/>
    </row>
    <row r="21" spans="3:6" ht="30" customHeight="1">
      <c r="E21" s="77"/>
      <c r="F21" s="77"/>
    </row>
    <row r="22" spans="3:6" ht="30" customHeight="1">
      <c r="E22" s="77"/>
      <c r="F22" s="77"/>
    </row>
  </sheetData>
  <mergeCells count="15">
    <mergeCell ref="E20:F20"/>
    <mergeCell ref="E21:F21"/>
    <mergeCell ref="E22:F22"/>
    <mergeCell ref="E14:F14"/>
    <mergeCell ref="E15:F15"/>
    <mergeCell ref="E16:F16"/>
    <mergeCell ref="E17:F17"/>
    <mergeCell ref="E18:F18"/>
    <mergeCell ref="E19:F19"/>
    <mergeCell ref="E13:F13"/>
    <mergeCell ref="A1:I1"/>
    <mergeCell ref="A4:D4"/>
    <mergeCell ref="F4:H4"/>
    <mergeCell ref="I4:I5"/>
    <mergeCell ref="A12:F12"/>
  </mergeCells>
  <pageMargins left="0.7" right="0.7" top="0.75" bottom="0.75" header="0.3" footer="0.3"/>
  <pageSetup fitToWidth="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E1AE-7E95-43D3-941D-3FEDE59F3976}">
  <dimension ref="A1:I22"/>
  <sheetViews>
    <sheetView topLeftCell="A4" zoomScale="89" zoomScaleNormal="89" workbookViewId="0">
      <selection activeCell="D6" sqref="D6:L9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46309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145</v>
      </c>
      <c r="B6" s="13">
        <v>95</v>
      </c>
      <c r="C6" s="13">
        <v>0</v>
      </c>
      <c r="D6" s="54">
        <v>0</v>
      </c>
      <c r="E6" s="51" t="s">
        <v>146</v>
      </c>
      <c r="F6" s="35" t="s">
        <v>121</v>
      </c>
      <c r="G6" s="13">
        <v>2</v>
      </c>
      <c r="H6" s="13">
        <v>0</v>
      </c>
      <c r="I6" s="39" t="s">
        <v>147</v>
      </c>
    </row>
    <row r="7" spans="1:9" ht="37.5" customHeight="1">
      <c r="A7" s="47" t="s">
        <v>148</v>
      </c>
      <c r="B7" s="54">
        <v>0</v>
      </c>
      <c r="C7" s="64">
        <v>1</v>
      </c>
      <c r="D7" s="54">
        <v>0</v>
      </c>
      <c r="E7" s="39" t="s">
        <v>149</v>
      </c>
      <c r="F7" s="38" t="s">
        <v>148</v>
      </c>
      <c r="G7" s="13">
        <v>1</v>
      </c>
      <c r="H7" s="13">
        <v>0</v>
      </c>
      <c r="I7" s="39" t="s">
        <v>149</v>
      </c>
    </row>
    <row r="8" spans="1:9" ht="35.25" customHeight="1">
      <c r="A8" s="35" t="s">
        <v>150</v>
      </c>
      <c r="B8" s="13">
        <v>4</v>
      </c>
      <c r="C8" s="13">
        <v>0</v>
      </c>
      <c r="D8" s="13">
        <v>0</v>
      </c>
      <c r="E8" s="74" t="s">
        <v>151</v>
      </c>
      <c r="F8" s="38"/>
      <c r="G8" s="64"/>
      <c r="H8" s="54"/>
      <c r="I8" s="51"/>
    </row>
    <row r="9" spans="1:9" ht="35.25" customHeight="1">
      <c r="A9" s="35"/>
      <c r="B9" s="13"/>
      <c r="C9" s="13"/>
      <c r="D9" s="13"/>
      <c r="E9" s="74"/>
      <c r="F9" s="62"/>
      <c r="G9" s="13"/>
      <c r="H9" s="13"/>
      <c r="I9" s="39"/>
    </row>
    <row r="10" spans="1:9" ht="30" customHeight="1">
      <c r="A10" s="68" t="s">
        <v>26</v>
      </c>
      <c r="B10" s="13">
        <f>SUM(B6:B9)</f>
        <v>99</v>
      </c>
      <c r="C10" s="13">
        <f>SUM(C6:C9)</f>
        <v>1</v>
      </c>
      <c r="D10" s="13">
        <f>SUM(D6:D9)</f>
        <v>0</v>
      </c>
      <c r="E10" s="22"/>
      <c r="F10" s="73"/>
      <c r="G10" s="18">
        <f>SUM(G6:G9)</f>
        <v>3</v>
      </c>
      <c r="H10" s="18">
        <f>SUM(H6:H9)</f>
        <v>0</v>
      </c>
      <c r="I10" s="18"/>
    </row>
    <row r="12" spans="1:9" ht="30" customHeight="1">
      <c r="A12" s="88" t="s">
        <v>27</v>
      </c>
      <c r="B12" s="89"/>
      <c r="C12" s="89"/>
      <c r="D12" s="89"/>
      <c r="E12" s="89"/>
      <c r="F12" s="89"/>
    </row>
    <row r="13" spans="1:9" ht="30" customHeight="1">
      <c r="A13" s="28" t="s">
        <v>7</v>
      </c>
      <c r="B13" s="28" t="s">
        <v>1</v>
      </c>
      <c r="C13" s="28" t="s">
        <v>11</v>
      </c>
      <c r="D13" s="34" t="s">
        <v>10</v>
      </c>
      <c r="E13" s="82" t="s">
        <v>6</v>
      </c>
      <c r="F13" s="82"/>
    </row>
    <row r="14" spans="1:9" ht="30" customHeight="1">
      <c r="A14" s="72" t="s">
        <v>66</v>
      </c>
      <c r="B14" s="71">
        <v>46302</v>
      </c>
      <c r="C14" s="72">
        <v>5</v>
      </c>
      <c r="D14" s="72">
        <v>5</v>
      </c>
      <c r="E14" s="78" t="s">
        <v>67</v>
      </c>
      <c r="F14" s="78"/>
    </row>
    <row r="15" spans="1:9" ht="30" customHeight="1">
      <c r="A15" s="57" t="s">
        <v>97</v>
      </c>
      <c r="B15" s="58">
        <v>46304</v>
      </c>
      <c r="C15" s="57">
        <v>1</v>
      </c>
      <c r="D15" s="57">
        <v>1</v>
      </c>
      <c r="E15" s="79" t="s">
        <v>98</v>
      </c>
      <c r="F15" s="79"/>
    </row>
    <row r="16" spans="1:9" ht="30" customHeight="1">
      <c r="A16" s="42"/>
      <c r="B16" s="42"/>
      <c r="C16" s="42"/>
      <c r="D16" s="42"/>
      <c r="E16" s="80"/>
      <c r="F16" s="81"/>
    </row>
    <row r="17" spans="3:6" ht="30" customHeight="1">
      <c r="C17" s="40">
        <f>SUM(C14:C15)</f>
        <v>6</v>
      </c>
      <c r="D17" s="40">
        <f>SUM(D14:D15)</f>
        <v>6</v>
      </c>
      <c r="E17" s="77"/>
      <c r="F17" s="77"/>
    </row>
    <row r="18" spans="3:6" ht="30" customHeight="1">
      <c r="E18" s="77"/>
      <c r="F18" s="77"/>
    </row>
    <row r="19" spans="3:6" ht="30" customHeight="1">
      <c r="E19" s="77"/>
      <c r="F19" s="77"/>
    </row>
    <row r="20" spans="3:6" ht="30" customHeight="1">
      <c r="E20" s="77"/>
      <c r="F20" s="77"/>
    </row>
    <row r="21" spans="3:6" ht="30" customHeight="1">
      <c r="E21" s="77"/>
      <c r="F21" s="77"/>
    </row>
    <row r="22" spans="3:6" ht="30" customHeight="1">
      <c r="E22" s="77"/>
      <c r="F22" s="77"/>
    </row>
  </sheetData>
  <mergeCells count="15">
    <mergeCell ref="E20:F20"/>
    <mergeCell ref="E21:F21"/>
    <mergeCell ref="E22:F22"/>
    <mergeCell ref="E14:F14"/>
    <mergeCell ref="E15:F15"/>
    <mergeCell ref="E16:F16"/>
    <mergeCell ref="E17:F17"/>
    <mergeCell ref="E18:F18"/>
    <mergeCell ref="E19:F19"/>
    <mergeCell ref="E13:F13"/>
    <mergeCell ref="A1:I1"/>
    <mergeCell ref="A4:D4"/>
    <mergeCell ref="F4:H4"/>
    <mergeCell ref="I4:I5"/>
    <mergeCell ref="A12:F12"/>
  </mergeCells>
  <pageMargins left="0.7" right="0.7" top="0.75" bottom="0.75" header="0.3" footer="0.3"/>
  <pageSetup fitToWidth="0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7BF8-4DF5-4B28-9A51-C538F64DEF59}">
  <dimension ref="A1:I27"/>
  <sheetViews>
    <sheetView zoomScale="89" zoomScaleNormal="89" workbookViewId="0">
      <selection activeCell="A12" sqref="A12:C12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46310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152</v>
      </c>
      <c r="B6" s="13">
        <v>2</v>
      </c>
      <c r="C6" s="13">
        <v>0</v>
      </c>
      <c r="D6" s="54">
        <v>0</v>
      </c>
      <c r="E6" s="51" t="s">
        <v>153</v>
      </c>
      <c r="F6" s="35" t="s">
        <v>154</v>
      </c>
      <c r="G6" s="13">
        <v>2</v>
      </c>
      <c r="H6" s="13">
        <v>0</v>
      </c>
      <c r="I6" s="39" t="s">
        <v>155</v>
      </c>
    </row>
    <row r="7" spans="1:9" ht="37.5" customHeight="1">
      <c r="A7" s="47" t="s">
        <v>154</v>
      </c>
      <c r="B7" s="54">
        <v>2</v>
      </c>
      <c r="C7" s="64">
        <v>0</v>
      </c>
      <c r="D7" s="54">
        <v>0</v>
      </c>
      <c r="E7" s="39" t="s">
        <v>155</v>
      </c>
      <c r="F7" s="38"/>
      <c r="G7" s="13"/>
      <c r="H7" s="13"/>
      <c r="I7" s="39"/>
    </row>
    <row r="8" spans="1:9" ht="35.25" customHeight="1">
      <c r="A8" s="35" t="s">
        <v>156</v>
      </c>
      <c r="B8" s="13">
        <v>0</v>
      </c>
      <c r="C8" s="13">
        <v>1</v>
      </c>
      <c r="D8" s="13">
        <v>0</v>
      </c>
      <c r="E8" s="74" t="s">
        <v>157</v>
      </c>
      <c r="F8" s="38"/>
      <c r="G8" s="64"/>
      <c r="H8" s="54"/>
      <c r="I8" s="51"/>
    </row>
    <row r="9" spans="1:9" ht="35.25" customHeight="1">
      <c r="A9" s="35" t="s">
        <v>158</v>
      </c>
      <c r="B9" s="13">
        <v>22</v>
      </c>
      <c r="C9" s="13">
        <v>0</v>
      </c>
      <c r="D9" s="13">
        <v>0</v>
      </c>
      <c r="E9" s="74" t="s">
        <v>159</v>
      </c>
      <c r="F9" s="62"/>
      <c r="G9" s="13"/>
      <c r="H9" s="13"/>
      <c r="I9" s="39"/>
    </row>
    <row r="10" spans="1:9" ht="35.25" customHeight="1">
      <c r="A10" s="35" t="s">
        <v>160</v>
      </c>
      <c r="B10" s="13">
        <v>7</v>
      </c>
      <c r="C10" s="13">
        <v>0</v>
      </c>
      <c r="D10" s="13">
        <v>0</v>
      </c>
      <c r="E10" s="74" t="s">
        <v>161</v>
      </c>
      <c r="F10" s="75"/>
      <c r="G10" s="18"/>
      <c r="H10" s="18"/>
      <c r="I10" s="76"/>
    </row>
    <row r="11" spans="1:9" ht="35.25" customHeight="1">
      <c r="A11" s="35" t="s">
        <v>162</v>
      </c>
      <c r="B11" s="13">
        <v>4</v>
      </c>
      <c r="C11" s="13">
        <v>0</v>
      </c>
      <c r="D11" s="13">
        <v>0</v>
      </c>
      <c r="E11" s="74" t="s">
        <v>163</v>
      </c>
      <c r="F11" s="75"/>
      <c r="G11" s="18"/>
      <c r="H11" s="18"/>
      <c r="I11" s="76"/>
    </row>
    <row r="12" spans="1:9" ht="35.25" customHeight="1">
      <c r="A12" s="35" t="s">
        <v>164</v>
      </c>
      <c r="B12" s="13">
        <v>11</v>
      </c>
      <c r="C12" s="13">
        <v>0</v>
      </c>
      <c r="D12" s="13">
        <v>0</v>
      </c>
      <c r="E12" s="74" t="s">
        <v>165</v>
      </c>
      <c r="F12" s="75"/>
      <c r="G12" s="18"/>
      <c r="H12" s="18"/>
      <c r="I12" s="76"/>
    </row>
    <row r="13" spans="1:9" ht="35.25" customHeight="1">
      <c r="A13" s="35"/>
      <c r="B13" s="13"/>
      <c r="C13" s="13"/>
      <c r="D13" s="13"/>
      <c r="E13" s="74"/>
      <c r="F13" s="75"/>
      <c r="G13" s="18"/>
      <c r="H13" s="18"/>
      <c r="I13" s="76"/>
    </row>
    <row r="14" spans="1:9" ht="35.25" customHeight="1">
      <c r="A14" s="35"/>
      <c r="B14" s="13"/>
      <c r="C14" s="13"/>
      <c r="D14" s="13"/>
      <c r="E14" s="74"/>
      <c r="F14" s="75"/>
      <c r="G14" s="18"/>
      <c r="H14" s="18"/>
      <c r="I14" s="76"/>
    </row>
    <row r="15" spans="1:9" ht="30" customHeight="1">
      <c r="A15" s="68" t="s">
        <v>26</v>
      </c>
      <c r="B15" s="13">
        <f>SUM(B6:B12)</f>
        <v>48</v>
      </c>
      <c r="C15" s="13">
        <f>SUM(C6:C9)</f>
        <v>1</v>
      </c>
      <c r="D15" s="13">
        <f>SUM(D6:D9)</f>
        <v>0</v>
      </c>
      <c r="E15" s="22"/>
      <c r="F15" s="73"/>
      <c r="G15" s="18">
        <f>SUM(G6:G9)</f>
        <v>2</v>
      </c>
      <c r="H15" s="18">
        <f>SUM(H6:H9)</f>
        <v>0</v>
      </c>
      <c r="I15" s="18"/>
    </row>
    <row r="17" spans="1:6" ht="30" customHeight="1">
      <c r="A17" s="88" t="s">
        <v>27</v>
      </c>
      <c r="B17" s="89"/>
      <c r="C17" s="89"/>
      <c r="D17" s="89"/>
      <c r="E17" s="89"/>
      <c r="F17" s="89"/>
    </row>
    <row r="18" spans="1:6" ht="30" customHeight="1">
      <c r="A18" s="28" t="s">
        <v>7</v>
      </c>
      <c r="B18" s="28" t="s">
        <v>1</v>
      </c>
      <c r="C18" s="28" t="s">
        <v>11</v>
      </c>
      <c r="D18" s="34" t="s">
        <v>10</v>
      </c>
      <c r="E18" s="82" t="s">
        <v>6</v>
      </c>
      <c r="F18" s="82"/>
    </row>
    <row r="19" spans="1:6" ht="30" customHeight="1">
      <c r="A19" s="72" t="s">
        <v>66</v>
      </c>
      <c r="B19" s="71">
        <v>46302</v>
      </c>
      <c r="C19" s="72">
        <v>5</v>
      </c>
      <c r="D19" s="72">
        <v>5</v>
      </c>
      <c r="E19" s="78" t="s">
        <v>67</v>
      </c>
      <c r="F19" s="78"/>
    </row>
    <row r="20" spans="1:6" ht="30" customHeight="1">
      <c r="A20" s="57" t="s">
        <v>97</v>
      </c>
      <c r="B20" s="58">
        <v>46304</v>
      </c>
      <c r="C20" s="57">
        <v>1</v>
      </c>
      <c r="D20" s="57">
        <v>1</v>
      </c>
      <c r="E20" s="79" t="s">
        <v>98</v>
      </c>
      <c r="F20" s="79"/>
    </row>
    <row r="21" spans="1:6" ht="30" customHeight="1">
      <c r="A21" s="42"/>
      <c r="B21" s="42"/>
      <c r="C21" s="42"/>
      <c r="D21" s="42"/>
      <c r="E21" s="80"/>
      <c r="F21" s="81"/>
    </row>
    <row r="22" spans="1:6" ht="30" customHeight="1">
      <c r="C22" s="40">
        <f>SUM(C19:C20)</f>
        <v>6</v>
      </c>
      <c r="D22" s="40">
        <f>SUM(D19:D20)</f>
        <v>6</v>
      </c>
      <c r="E22" s="77"/>
      <c r="F22" s="77"/>
    </row>
    <row r="23" spans="1:6" ht="30" customHeight="1">
      <c r="E23" s="77"/>
      <c r="F23" s="77"/>
    </row>
    <row r="24" spans="1:6" ht="30" customHeight="1">
      <c r="E24" s="77"/>
      <c r="F24" s="77"/>
    </row>
    <row r="25" spans="1:6" ht="30" customHeight="1">
      <c r="E25" s="77"/>
      <c r="F25" s="77"/>
    </row>
    <row r="26" spans="1:6" ht="30" customHeight="1">
      <c r="E26" s="77"/>
      <c r="F26" s="77"/>
    </row>
    <row r="27" spans="1:6" ht="30" customHeight="1">
      <c r="E27" s="77"/>
      <c r="F27" s="77"/>
    </row>
  </sheetData>
  <mergeCells count="15">
    <mergeCell ref="E25:F25"/>
    <mergeCell ref="E26:F26"/>
    <mergeCell ref="E27:F27"/>
    <mergeCell ref="E19:F19"/>
    <mergeCell ref="E20:F20"/>
    <mergeCell ref="E21:F21"/>
    <mergeCell ref="E22:F22"/>
    <mergeCell ref="E23:F23"/>
    <mergeCell ref="E24:F24"/>
    <mergeCell ref="E18:F18"/>
    <mergeCell ref="A1:I1"/>
    <mergeCell ref="A4:D4"/>
    <mergeCell ref="F4:H4"/>
    <mergeCell ref="I4:I5"/>
    <mergeCell ref="A17:F17"/>
  </mergeCells>
  <pageMargins left="0.7" right="0.7" top="0.75" bottom="0.75" header="0.3" footer="0.3"/>
  <pageSetup fitToWidth="0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BFA6-E20F-44F0-B5FA-604F5CB33D5B}">
  <dimension ref="A1:I22"/>
  <sheetViews>
    <sheetView tabSelected="1" zoomScale="89" zoomScaleNormal="89" workbookViewId="0">
      <selection activeCell="F10" sqref="F10"/>
    </sheetView>
  </sheetViews>
  <sheetFormatPr defaultColWidth="8.875" defaultRowHeight="30" customHeight="1"/>
  <cols>
    <col min="1" max="1" width="31" style="3" customWidth="1"/>
    <col min="2" max="2" width="17.75" style="3" customWidth="1"/>
    <col min="3" max="3" width="18.875" style="3" customWidth="1"/>
    <col min="4" max="4" width="21.625" style="3" customWidth="1"/>
    <col min="5" max="5" width="34.375" style="3" customWidth="1"/>
    <col min="6" max="6" width="28.375" style="3" customWidth="1"/>
    <col min="7" max="7" width="17.875" style="3" customWidth="1"/>
    <col min="8" max="8" width="21.75" style="3" customWidth="1"/>
    <col min="9" max="9" width="35.625" style="3" customWidth="1"/>
    <col min="10" max="16384" width="8.875" style="3"/>
  </cols>
  <sheetData>
    <row r="1" spans="1:9" s="1" customFormat="1" ht="30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s="1" customFormat="1" ht="30" customHeight="1">
      <c r="A2" s="4" t="s">
        <v>1</v>
      </c>
      <c r="B2" s="52">
        <v>46311</v>
      </c>
      <c r="C2" s="5"/>
      <c r="D2" s="6"/>
      <c r="E2" s="6"/>
      <c r="F2" s="7"/>
      <c r="G2" s="7"/>
      <c r="H2" s="7" t="s">
        <v>2</v>
      </c>
      <c r="I2" s="8"/>
    </row>
    <row r="3" spans="1:9" s="1" customFormat="1" ht="9" customHeight="1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>
      <c r="A4" s="84" t="s">
        <v>3</v>
      </c>
      <c r="B4" s="84"/>
      <c r="C4" s="84"/>
      <c r="D4" s="84"/>
      <c r="E4" s="12"/>
      <c r="F4" s="85" t="s">
        <v>5</v>
      </c>
      <c r="G4" s="85"/>
      <c r="H4" s="85"/>
      <c r="I4" s="86" t="s">
        <v>6</v>
      </c>
    </row>
    <row r="5" spans="1:9" s="2" customFormat="1" ht="30" customHeight="1">
      <c r="A5" s="15" t="s">
        <v>7</v>
      </c>
      <c r="B5" s="15" t="s">
        <v>8</v>
      </c>
      <c r="C5" s="16" t="s">
        <v>9</v>
      </c>
      <c r="D5" s="16" t="s">
        <v>10</v>
      </c>
      <c r="E5" s="16" t="s">
        <v>6</v>
      </c>
      <c r="F5" s="15" t="s">
        <v>7</v>
      </c>
      <c r="G5" s="15" t="s">
        <v>11</v>
      </c>
      <c r="H5" s="16" t="s">
        <v>10</v>
      </c>
      <c r="I5" s="87"/>
    </row>
    <row r="6" spans="1:9" ht="35.25" customHeight="1">
      <c r="A6" s="35" t="s">
        <v>166</v>
      </c>
      <c r="B6" s="13">
        <v>0</v>
      </c>
      <c r="C6" s="13">
        <v>4</v>
      </c>
      <c r="D6" s="54">
        <v>0</v>
      </c>
      <c r="E6" s="51" t="s">
        <v>167</v>
      </c>
      <c r="F6" s="35" t="s">
        <v>164</v>
      </c>
      <c r="G6" s="13">
        <v>11</v>
      </c>
      <c r="H6" s="13">
        <v>0</v>
      </c>
      <c r="I6" s="39" t="s">
        <v>168</v>
      </c>
    </row>
    <row r="7" spans="1:9" ht="37.5" customHeight="1">
      <c r="A7" s="47" t="s">
        <v>169</v>
      </c>
      <c r="B7" s="54">
        <v>0</v>
      </c>
      <c r="C7" s="64">
        <v>2</v>
      </c>
      <c r="D7" s="54">
        <v>0</v>
      </c>
      <c r="E7" s="39" t="s">
        <v>170</v>
      </c>
      <c r="F7" s="38" t="s">
        <v>166</v>
      </c>
      <c r="G7" s="13">
        <v>4</v>
      </c>
      <c r="H7" s="13">
        <v>0</v>
      </c>
      <c r="I7" s="39" t="s">
        <v>167</v>
      </c>
    </row>
    <row r="8" spans="1:9" ht="35.25" customHeight="1">
      <c r="A8" s="35" t="s">
        <v>171</v>
      </c>
      <c r="B8" s="13">
        <v>1</v>
      </c>
      <c r="C8" s="13">
        <v>0</v>
      </c>
      <c r="D8" s="13">
        <v>0</v>
      </c>
      <c r="E8" s="74" t="s">
        <v>172</v>
      </c>
      <c r="F8" s="38" t="s">
        <v>169</v>
      </c>
      <c r="G8" s="64">
        <v>2</v>
      </c>
      <c r="H8" s="54">
        <v>0</v>
      </c>
      <c r="I8" s="39" t="s">
        <v>170</v>
      </c>
    </row>
    <row r="9" spans="1:9" ht="35.25" customHeight="1">
      <c r="A9" s="35"/>
      <c r="B9" s="13"/>
      <c r="C9" s="13"/>
      <c r="D9" s="13"/>
      <c r="E9" s="74"/>
      <c r="F9" s="62"/>
      <c r="G9" s="13"/>
      <c r="H9" s="13"/>
      <c r="I9" s="39"/>
    </row>
    <row r="10" spans="1:9" ht="30" customHeight="1">
      <c r="A10" s="68" t="s">
        <v>26</v>
      </c>
      <c r="B10" s="13">
        <f>SUM(B6:B9)</f>
        <v>1</v>
      </c>
      <c r="C10" s="13">
        <f>SUM(C6:C9)</f>
        <v>6</v>
      </c>
      <c r="D10" s="13">
        <f>SUM(D6:D9)</f>
        <v>0</v>
      </c>
      <c r="E10" s="22"/>
      <c r="F10" s="73"/>
      <c r="G10" s="18">
        <f>SUM(G6:G9)</f>
        <v>17</v>
      </c>
      <c r="H10" s="18">
        <f>SUM(H6:H9)</f>
        <v>0</v>
      </c>
      <c r="I10" s="18"/>
    </row>
    <row r="12" spans="1:9" ht="30" customHeight="1">
      <c r="A12" s="88" t="s">
        <v>27</v>
      </c>
      <c r="B12" s="89"/>
      <c r="C12" s="89"/>
      <c r="D12" s="89"/>
      <c r="E12" s="89"/>
      <c r="F12" s="89"/>
    </row>
    <row r="13" spans="1:9" ht="30" customHeight="1">
      <c r="A13" s="28" t="s">
        <v>7</v>
      </c>
      <c r="B13" s="28" t="s">
        <v>1</v>
      </c>
      <c r="C13" s="28" t="s">
        <v>11</v>
      </c>
      <c r="D13" s="34" t="s">
        <v>10</v>
      </c>
      <c r="E13" s="82" t="s">
        <v>6</v>
      </c>
      <c r="F13" s="82"/>
    </row>
    <row r="14" spans="1:9" ht="30" customHeight="1">
      <c r="A14" s="72" t="s">
        <v>66</v>
      </c>
      <c r="B14" s="71">
        <v>46302</v>
      </c>
      <c r="C14" s="72">
        <v>5</v>
      </c>
      <c r="D14" s="72">
        <v>5</v>
      </c>
      <c r="E14" s="78" t="s">
        <v>67</v>
      </c>
      <c r="F14" s="78"/>
    </row>
    <row r="15" spans="1:9" ht="30" customHeight="1">
      <c r="A15" s="57" t="s">
        <v>97</v>
      </c>
      <c r="B15" s="58">
        <v>46304</v>
      </c>
      <c r="C15" s="57">
        <v>1</v>
      </c>
      <c r="D15" s="57">
        <v>1</v>
      </c>
      <c r="E15" s="79" t="s">
        <v>98</v>
      </c>
      <c r="F15" s="79"/>
    </row>
    <row r="16" spans="1:9" ht="30" customHeight="1">
      <c r="A16" s="42"/>
      <c r="B16" s="42"/>
      <c r="C16" s="42"/>
      <c r="D16" s="42"/>
      <c r="E16" s="80"/>
      <c r="F16" s="81"/>
    </row>
    <row r="17" spans="3:6" ht="30" customHeight="1">
      <c r="C17" s="40">
        <f>SUM(C14:C15)</f>
        <v>6</v>
      </c>
      <c r="D17" s="40">
        <f>SUM(D14:D15)</f>
        <v>6</v>
      </c>
      <c r="E17" s="77"/>
      <c r="F17" s="77"/>
    </row>
    <row r="18" spans="3:6" ht="30" customHeight="1">
      <c r="E18" s="77"/>
      <c r="F18" s="77"/>
    </row>
    <row r="19" spans="3:6" ht="30" customHeight="1">
      <c r="E19" s="77"/>
      <c r="F19" s="77"/>
    </row>
    <row r="20" spans="3:6" ht="30" customHeight="1">
      <c r="E20" s="77"/>
      <c r="F20" s="77"/>
    </row>
    <row r="21" spans="3:6" ht="30" customHeight="1">
      <c r="E21" s="77"/>
      <c r="F21" s="77"/>
    </row>
    <row r="22" spans="3:6" ht="30" customHeight="1">
      <c r="E22" s="77"/>
      <c r="F22" s="77"/>
    </row>
  </sheetData>
  <mergeCells count="15">
    <mergeCell ref="E13:F13"/>
    <mergeCell ref="A1:I1"/>
    <mergeCell ref="A4:D4"/>
    <mergeCell ref="F4:H4"/>
    <mergeCell ref="I4:I5"/>
    <mergeCell ref="A12:F12"/>
    <mergeCell ref="E20:F20"/>
    <mergeCell ref="E21:F21"/>
    <mergeCell ref="E22:F22"/>
    <mergeCell ref="E14:F14"/>
    <mergeCell ref="E15:F15"/>
    <mergeCell ref="E16:F16"/>
    <mergeCell ref="E17:F17"/>
    <mergeCell ref="E18:F18"/>
    <mergeCell ref="E19:F19"/>
  </mergeCells>
  <pageMargins left="0.7" right="0.7" top="0.75" bottom="0.75" header="0.3" footer="0.3"/>
  <pageSetup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7F676-64FC-49B0-BA6F-0CFFFFAB86D6}"/>
</file>

<file path=customXml/itemProps2.xml><?xml version="1.0" encoding="utf-8"?>
<ds:datastoreItem xmlns:ds="http://schemas.openxmlformats.org/officeDocument/2006/customXml" ds:itemID="{18631A5B-3E8A-4EF0-B350-4046A6588612}"/>
</file>

<file path=customXml/itemProps3.xml><?xml version="1.0" encoding="utf-8"?>
<ds:datastoreItem xmlns:ds="http://schemas.openxmlformats.org/officeDocument/2006/customXml" ds:itemID="{E6A58500-7E95-40F3-991D-0A368385D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Mujeeb Rahman</dc:creator>
  <cp:keywords/>
  <dc:description/>
  <cp:lastModifiedBy/>
  <cp:revision/>
  <dcterms:created xsi:type="dcterms:W3CDTF">2025-05-13T05:09:00Z</dcterms:created>
  <dcterms:modified xsi:type="dcterms:W3CDTF">2026-10-16T07:51:46Z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1033-12.2.0.21931</vt:lpwstr>
  </property>
</Properties>
</file>