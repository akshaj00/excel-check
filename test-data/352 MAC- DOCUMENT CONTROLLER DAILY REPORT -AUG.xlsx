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RDS\352-MAC GreyStar\2 Daily Report\"/>
    </mc:Choice>
  </mc:AlternateContent>
  <xr:revisionPtr revIDLastSave="0" documentId="13_ncr:1_{37E709C0-EE59-40E4-91A4-CB78FB1EA239}" xr6:coauthVersionLast="47" xr6:coauthVersionMax="47" xr10:uidLastSave="{00000000-0000-0000-0000-000000000000}"/>
  <bookViews>
    <workbookView xWindow="-120" yWindow="-120" windowWidth="29040" windowHeight="15720" firstSheet="5" activeTab="19" xr2:uid="{00000000-000D-0000-FFFF-FFFF00000000}"/>
  </bookViews>
  <sheets>
    <sheet name="3-08" sheetId="225" r:id="rId1"/>
    <sheet name="4-08" sheetId="226" r:id="rId2"/>
    <sheet name="5-08" sheetId="227" r:id="rId3"/>
    <sheet name="6-08" sheetId="228" r:id="rId4"/>
    <sheet name="7-08" sheetId="229" r:id="rId5"/>
    <sheet name="10-08" sheetId="230" r:id="rId6"/>
    <sheet name="11-08" sheetId="231" r:id="rId7"/>
    <sheet name="12-08" sheetId="232" r:id="rId8"/>
    <sheet name="13-08" sheetId="233" r:id="rId9"/>
    <sheet name="14-08" sheetId="234" r:id="rId10"/>
    <sheet name="17-08" sheetId="235" r:id="rId11"/>
    <sheet name="18-08" sheetId="236" r:id="rId12"/>
    <sheet name="19-08" sheetId="237" r:id="rId13"/>
    <sheet name="20-08" sheetId="238" r:id="rId14"/>
    <sheet name="21-08" sheetId="239" r:id="rId15"/>
    <sheet name="24-08" sheetId="240" r:id="rId16"/>
    <sheet name="25-08" sheetId="241" r:id="rId17"/>
    <sheet name="26-08 " sheetId="242" r:id="rId18"/>
    <sheet name="27-08" sheetId="243" r:id="rId19"/>
    <sheet name="28-08" sheetId="244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244" l="1"/>
  <c r="C73" i="244"/>
  <c r="H18" i="244"/>
  <c r="G18" i="244"/>
  <c r="D18" i="244"/>
  <c r="C18" i="244"/>
  <c r="B18" i="244"/>
  <c r="D70" i="243"/>
  <c r="C70" i="243"/>
  <c r="H18" i="243"/>
  <c r="G18" i="243"/>
  <c r="D18" i="243"/>
  <c r="C18" i="243"/>
  <c r="B18" i="243"/>
  <c r="D72" i="242"/>
  <c r="D67" i="242"/>
  <c r="C67" i="242"/>
  <c r="H19" i="242"/>
  <c r="G19" i="242"/>
  <c r="D19" i="242"/>
  <c r="C19" i="242"/>
  <c r="B19" i="242"/>
  <c r="D63" i="241"/>
  <c r="D66" i="241" s="1"/>
  <c r="C63" i="241"/>
  <c r="H18" i="241"/>
  <c r="G18" i="241"/>
  <c r="D18" i="241"/>
  <c r="C18" i="241"/>
  <c r="B18" i="241"/>
  <c r="D67" i="240"/>
  <c r="C67" i="240"/>
  <c r="H22" i="240"/>
  <c r="G22" i="240"/>
  <c r="D22" i="240"/>
  <c r="C22" i="240"/>
  <c r="B22" i="240"/>
  <c r="D62" i="239"/>
  <c r="C62" i="239"/>
  <c r="H20" i="239"/>
  <c r="G20" i="239"/>
  <c r="D20" i="239"/>
  <c r="C20" i="239"/>
  <c r="B20" i="239"/>
  <c r="D57" i="238"/>
  <c r="C57" i="238"/>
  <c r="H20" i="238"/>
  <c r="G20" i="238"/>
  <c r="D20" i="238"/>
  <c r="C20" i="238"/>
  <c r="B20" i="238"/>
  <c r="D52" i="237"/>
  <c r="C52" i="237"/>
  <c r="H15" i="237"/>
  <c r="G15" i="237"/>
  <c r="D15" i="237"/>
  <c r="C15" i="237"/>
  <c r="B15" i="237"/>
  <c r="D55" i="236"/>
  <c r="C55" i="236"/>
  <c r="H18" i="236"/>
  <c r="G18" i="236"/>
  <c r="D18" i="236"/>
  <c r="C18" i="236"/>
  <c r="B18" i="236"/>
  <c r="D57" i="235"/>
  <c r="C57" i="235"/>
  <c r="H24" i="235"/>
  <c r="G24" i="235"/>
  <c r="D24" i="235"/>
  <c r="C24" i="235"/>
  <c r="B24" i="235"/>
  <c r="G32" i="233"/>
  <c r="D54" i="234"/>
  <c r="C54" i="234"/>
  <c r="H21" i="234"/>
  <c r="G21" i="234"/>
  <c r="D21" i="234"/>
  <c r="C21" i="234"/>
  <c r="B21" i="234"/>
  <c r="D65" i="233"/>
  <c r="C65" i="233"/>
  <c r="H32" i="233"/>
  <c r="D32" i="233"/>
  <c r="C32" i="233"/>
  <c r="B32" i="233"/>
  <c r="D51" i="232"/>
  <c r="C51" i="232"/>
  <c r="H18" i="232"/>
  <c r="G18" i="232"/>
  <c r="D18" i="232"/>
  <c r="C18" i="232"/>
  <c r="B18" i="232"/>
  <c r="D50" i="231"/>
  <c r="C50" i="231"/>
  <c r="H18" i="231"/>
  <c r="G18" i="231"/>
  <c r="D18" i="231"/>
  <c r="C18" i="231"/>
  <c r="B18" i="231"/>
  <c r="D62" i="230"/>
  <c r="C62" i="230"/>
  <c r="H23" i="230"/>
  <c r="G23" i="230"/>
  <c r="D23" i="230"/>
  <c r="C23" i="230"/>
  <c r="B23" i="230"/>
  <c r="D49" i="229"/>
  <c r="C49" i="229"/>
  <c r="H23" i="229"/>
  <c r="G23" i="229"/>
  <c r="D23" i="229"/>
  <c r="C23" i="229"/>
  <c r="B23" i="229"/>
  <c r="D43" i="228"/>
  <c r="C43" i="228"/>
  <c r="H17" i="228"/>
  <c r="G17" i="228"/>
  <c r="D17" i="228"/>
  <c r="C17" i="228"/>
  <c r="B17" i="228"/>
  <c r="D49" i="227"/>
  <c r="C49" i="227"/>
  <c r="H17" i="227"/>
  <c r="G17" i="227"/>
  <c r="D17" i="227"/>
  <c r="C17" i="227"/>
  <c r="B17" i="227"/>
  <c r="D59" i="226"/>
  <c r="C59" i="226"/>
  <c r="H27" i="226"/>
  <c r="G27" i="226"/>
  <c r="D27" i="226"/>
  <c r="C27" i="226"/>
  <c r="B27" i="226"/>
  <c r="D51" i="225"/>
  <c r="C51" i="225"/>
  <c r="H19" i="225"/>
  <c r="G19" i="225"/>
  <c r="D19" i="225"/>
  <c r="C19" i="225"/>
  <c r="B19" i="225"/>
  <c r="D78" i="244" l="1"/>
  <c r="D75" i="243"/>
</calcChain>
</file>

<file path=xl/sharedStrings.xml><?xml version="1.0" encoding="utf-8"?>
<sst xmlns="http://schemas.openxmlformats.org/spreadsheetml/2006/main" count="2398" uniqueCount="659">
  <si>
    <t>KPG | RDS | DOCUMENT CONTROLLER DAILY REPORT</t>
  </si>
  <si>
    <t>Date:</t>
  </si>
  <si>
    <t>Project:</t>
  </si>
  <si>
    <t>352-MAC - Greystar</t>
  </si>
  <si>
    <t>Incoming  Transmittals</t>
  </si>
  <si>
    <t>Close out</t>
  </si>
  <si>
    <t>Remarks</t>
  </si>
  <si>
    <t>Transmittals</t>
  </si>
  <si>
    <t>No. of Drawings</t>
  </si>
  <si>
    <t>No. of Technical data</t>
  </si>
  <si>
    <t>Pending Number of Documents</t>
  </si>
  <si>
    <t>No. of Documents</t>
  </si>
  <si>
    <t>Total</t>
  </si>
  <si>
    <t>Pending  Transmittals</t>
  </si>
  <si>
    <t>Auspan-TRANSMIT-000429: Update IFCed precast shop drawings. Level 1 zone 4, 5</t>
  </si>
  <si>
    <t>IFC - QC OK - Kapitol PC Kim to confirm - KPTG-IntCorr-000778 - ON HOLD AS ADVISED BY KIM</t>
  </si>
  <si>
    <t>IFC - Waiting for advise KPTG-IntCorr-000804</t>
  </si>
  <si>
    <t>Auspan-TRANSMIT-000441 Precast shop drawings for construction. Level 6.</t>
  </si>
  <si>
    <t xml:space="preserve">Auspan-TRANSMIT-000464: Precast shop drawings for construction. 5P2018
</t>
  </si>
  <si>
    <t>IFC - Waiting for Kapitol PC advise - KPTG-IntCorr-000856 (QC done)</t>
  </si>
  <si>
    <t>ON HOLD AS ADVISED BY KIM</t>
  </si>
  <si>
    <t>ON HOLD AS ADVISED BY KIM KPTG-IntCorr-000863</t>
  </si>
  <si>
    <t>Pending services coordination</t>
  </si>
  <si>
    <t>Auspan-TRANSMIT-000489: Precast shop drawings for construction. Level 4.</t>
  </si>
  <si>
    <t>IFC - Waiting for Kim advise - KPTG-IntCorr-000928
qc done</t>
  </si>
  <si>
    <t>Auspan-TRANSMIT-000494: Update IFCed shop drawings. Level 3.</t>
  </si>
  <si>
    <t>Auspan-TRANSMIT-000496: Update IFCed shop drawings. Levels 5, 6.</t>
  </si>
  <si>
    <t>IFC - Waiting for Kim advise -KPTG-IntCorr-000936</t>
  </si>
  <si>
    <t>IFC - Waiting for Kim advise- KPTG-IntCorr-000947</t>
  </si>
  <si>
    <t>Panel are on Hold - as advised KPTG-IntCorr-000967</t>
  </si>
  <si>
    <t>Auscool-TRANSMIT-000067: Basement - IFC Drawings</t>
  </si>
  <si>
    <t>Zone 2 to 5 are Ok to update register and transmit. Zone 1 is on hold - KPTG-TRANSMIT-002881</t>
  </si>
  <si>
    <t>Auspan-TRANSMIT-000538: Precast shop drawings for construction. Level 5.</t>
  </si>
  <si>
    <t>IFC - Waiting for Kim advise -KPTG-IntCorr-001086</t>
  </si>
  <si>
    <t>Auspan-TRANSMIT-000545: Level 5 precast shop drawings for construction</t>
  </si>
  <si>
    <t>IFC - Waiting for Kim advise -KPTG-IntCorr-001095 - 28 Drawings</t>
  </si>
  <si>
    <t>Auspan-TRANSMIT-000547: Re: RFI: Panel weight 0G368</t>
  </si>
  <si>
    <t>Waiting for Kim advise-KPTG-IntCorr-001101</t>
  </si>
  <si>
    <t>Auspan-TRANSMIT-000553: Precast shop drawings for construction. Level 4</t>
  </si>
  <si>
    <t>IFC - Waiting for Kim advise- KPTG-IntCorr-001107</t>
  </si>
  <si>
    <t>Auspan-TRANSMIT-000556: Update already IFCed shop drawings</t>
  </si>
  <si>
    <t>IFC - Waiting for Kim advise-KPTG-IntCorr-001112</t>
  </si>
  <si>
    <t>Auspan-TRANSMIT-000557: Update IFCed precast shop drawings. level 3</t>
  </si>
  <si>
    <t>IFC - Waiting for Kim advise-KPTG-IntCorr-001117</t>
  </si>
  <si>
    <t>Auspan-TRANSMIT-000558 Update IFCed precast shpo drawings</t>
  </si>
  <si>
    <r>
      <t xml:space="preserve">KPTG-IntCorr-001130 - 
</t>
    </r>
    <r>
      <rPr>
        <b/>
        <sz val="11"/>
        <color theme="1"/>
        <rFont val="Calibri"/>
        <family val="2"/>
      </rPr>
      <t>11 are pending to update -KPTG-IntCorr-001140</t>
    </r>
  </si>
  <si>
    <t>Waiting for Kim advise-KPTG-IntCorr-001137</t>
  </si>
  <si>
    <t>Auspan-TRANSMIT-000561: Update IFCed precast shop drawings. Levels 2, 3.</t>
  </si>
  <si>
    <t>IFC - Waiting for Kim advise-KPTG-IntCorr-001152</t>
  </si>
  <si>
    <t>Auspan-TRANSMIT-000563: Precast shop drawings for construction. Level 4</t>
  </si>
  <si>
    <t>IFC - Waiting for Kim advise- KPTG-IntCorr-001163</t>
  </si>
  <si>
    <t>M.2-TRANSMIT-000069 Electrical Services Lighting layouts - L00, L01 &amp; Typical L02-05</t>
  </si>
  <si>
    <t>QC done - waiting for advise  KPTG-IntCorr-001164</t>
  </si>
  <si>
    <t xml:space="preserve">Auspan-TRANSMIT-000567: Precast shop drawings for construction. Level 4
</t>
  </si>
  <si>
    <t>Auspan-TRANSMIT-000565 Re: Panel 3P4027 - Update</t>
  </si>
  <si>
    <t>IFC - Kapitol to advise - KPTG-IntCorr-001168</t>
  </si>
  <si>
    <t>IFC - Waiting for Kim advise- KPTG-IntCorr-001169 - 28 Drawings</t>
  </si>
  <si>
    <t>Auspan-TRANSMIT-000566 Precast shop drawings for construction. Level 3.</t>
  </si>
  <si>
    <t>IFC - Kapitol to advise - KPTG-IntCorr-001170</t>
  </si>
  <si>
    <t>Internal review</t>
  </si>
  <si>
    <t>JCBa-TRANSMIT-000160: Updated Architectural Documentation - GA Plans</t>
  </si>
  <si>
    <t>Auspan-TRANSMIT-000571: Precast shop drawings for approval. Level 4 zone 4.</t>
  </si>
  <si>
    <t>Auspan-TRANSMIT-000572: Precast shop drawings for construction. Level 3.</t>
  </si>
  <si>
    <t>Auspan-TRANSMIT-000573: Precast shop drawings for construction. Level 4.</t>
  </si>
  <si>
    <t>Auspan-TRANSMIT-000574: Precast shop drawings for construction. Level 5.</t>
  </si>
  <si>
    <t>JCBa-TRANSMIT-000154 Updated Architectural Documentation - SSPs, Sections, Detail Plans &amp; RCPs, Detail Elevations -1498</t>
  </si>
  <si>
    <t xml:space="preserve"> JCBa-TRANSMIT-000156 Updated Architectural Documentation - Detail RCPs &amp; Common Area Joinery Details  -1533</t>
  </si>
  <si>
    <t>ACC#1631 | WF-000769</t>
  </si>
  <si>
    <t>Auspan-TRANSMIT-000555 Resubmit zone 5 level 3 panel 3P5056 for approval -1573</t>
  </si>
  <si>
    <t>Rejected - Difference in drawing status -DRAFT-010889-  1  drawing</t>
  </si>
  <si>
    <t>IFC - Waiting for Kim advise - KPTG-IntCorr-001175 - 12 Drawings</t>
  </si>
  <si>
    <t>ACC#1635 | WF-000771 - 1 Drawing(23-122_A-2200-5)  added from JCBa-TRANSMIT-000159</t>
  </si>
  <si>
    <t>KPTG-TRANSMIT-003053</t>
  </si>
  <si>
    <t>KPTG-TRANSMIT-003058</t>
  </si>
  <si>
    <t>KPTG-TRANSMIT-003061</t>
  </si>
  <si>
    <t>IFC - Waiting for Kim advise -KPTG-IntCorr-001180 - 13 Drawings</t>
  </si>
  <si>
    <t>Rejected - Difference revision code - DRAFT-010913 - 2 Drawings</t>
  </si>
  <si>
    <t xml:space="preserve">IFC - Waiting for Kim advise -KPTG-IntCorr-001181 </t>
  </si>
  <si>
    <t>Auspan-TRANSMIT-000575: Resubmit precast panel 3P5065 for approval. Stair landing updated</t>
  </si>
  <si>
    <t>ACC#1638 | WF-000773</t>
  </si>
  <si>
    <t xml:space="preserve">Auspan-TRANSMIT-000576: Update IFCed shop drawings. Level 3 </t>
  </si>
  <si>
    <t>Auspan-TRANSMIT-000577: Precast shop drawings for construction. Levels 4, 5</t>
  </si>
  <si>
    <t>KETE-TRANSMIT-000032: Kete - Updated Revision Status IFC Drawings</t>
  </si>
  <si>
    <t>IFC - Register and transmit as advised by Alex Mc - KPTG-TRANSMIT-003067</t>
  </si>
  <si>
    <t>IFC - Waiting for Oliver advise -KPTG-IntCorr-001187</t>
  </si>
  <si>
    <t>Ok to proceed IFC - KPTG-IntCorr-001186</t>
  </si>
  <si>
    <t>ok to proceed IFC - KPTG-IntCorr-001184</t>
  </si>
  <si>
    <t>OK TO IFC - KPTG-IntCorr-001183</t>
  </si>
  <si>
    <t>4 are OK to IFC. KPTG-IntCorr-001182
2 are Rejected.</t>
  </si>
  <si>
    <t>IFC - Waiting for Oliver advise- KPTG-IntCorr-001188</t>
  </si>
  <si>
    <t>OK TO IFC - KPTG-IntCorr-001179</t>
  </si>
  <si>
    <t>2 are OK TO IFC - The other 3 drawings have been up rev'd - KPTG-IntCorr-001178</t>
  </si>
  <si>
    <t>9 are OK to Transmit - KPTG-IntCorr-001176 
3 are rejected.</t>
  </si>
  <si>
    <t>PCForm-TRANSMIT-000107 Updated Screen Drawings - Reduced Overhang</t>
  </si>
  <si>
    <t>Register updated.</t>
  </si>
  <si>
    <t>Auspan-TRANSMIT-000541 Resubmit shop drawings for approval. Zone 3 and 5 level 4 -1563</t>
  </si>
  <si>
    <t xml:space="preserve">Auspan-TRANSMIT-000560 Resubmit precast shop drawings for approval -1585 </t>
  </si>
  <si>
    <r>
      <t xml:space="preserve">QC done - waiting for advise  KPTG-IntCorr-001164
</t>
    </r>
    <r>
      <rPr>
        <b/>
        <sz val="11"/>
        <color theme="1"/>
        <rFont val="Calibri"/>
        <family val="2"/>
      </rPr>
      <t xml:space="preserve">ACC#1643 </t>
    </r>
    <r>
      <rPr>
        <sz val="11"/>
        <color theme="1"/>
        <rFont val="Calibri"/>
        <family val="2"/>
      </rPr>
      <t>|</t>
    </r>
    <r>
      <rPr>
        <b/>
        <sz val="11"/>
        <color theme="1"/>
        <rFont val="Calibri"/>
        <family val="2"/>
      </rPr>
      <t xml:space="preserve"> WF-000774</t>
    </r>
  </si>
  <si>
    <t>Auspan-TRANSMIT-000539 Resubmit shop drawing 4P4034 for approval -1556</t>
  </si>
  <si>
    <t>Auspan-TRANSMIT-000524 Resubmit precast shop drawings for approval. Panel 4P5058 -1535</t>
  </si>
  <si>
    <t>IFC Update registe and distribute KPTG-TRANSMIT-003068</t>
  </si>
  <si>
    <t>IFC Update registe and distribute KPTG-TRANSMIT-003072</t>
  </si>
  <si>
    <t>IFC Update registe and distribute KPTG-TRANSMIT-003074</t>
  </si>
  <si>
    <t>4 are ok to IFC Update registe and distribute KPTG-TRANSMIT-003076
2 Rejected -DRAFT-010943</t>
  </si>
  <si>
    <t>KPTG-TRANSMIT-003080</t>
  </si>
  <si>
    <t>KPTG-TRANSMIT-003081</t>
  </si>
  <si>
    <t>KPTG-TRANSMIT-003086</t>
  </si>
  <si>
    <t>2 are OK to IFC IFC Update registe and distribute - KPTG-IntCorr-001178
The other 3 drawings have been up rev'd - KPTG-IntCorr-001178</t>
  </si>
  <si>
    <t xml:space="preserve">IFC Update registe and distribute KPTG-TRANSMIT-003084 </t>
  </si>
  <si>
    <t xml:space="preserve">IJF-TRANSMIT-000006 Re: Joinery - Prototype Drawings
</t>
  </si>
  <si>
    <t xml:space="preserve">IFC Update registe and distribute KPTG-TRANSMIT-003091
2 are rejected. -DRAFT-010947
</t>
  </si>
  <si>
    <t>Auspan-TRANSMIT-000427 Precast shop drawings for approval. Zone 4, 5 level 5 -1351</t>
  </si>
  <si>
    <t>Rinco-TRANSMIT-000066: Structural drawings Issued for Construction</t>
  </si>
  <si>
    <t>Auspan-TRANSMIT-000460 Precast shop drawings for approval. Levels 5, 6  -1406</t>
  </si>
  <si>
    <t>Auspan-TRANSMIT-000498 Re Zone 2 Panel Changes - Hoist Location closed -1477</t>
  </si>
  <si>
    <t xml:space="preserve">Auspan-TRANSMIT-000501 Update precast shop drawing 1P4002 - 1479 </t>
  </si>
  <si>
    <t>KPTG-TRANSMIT-003095</t>
  </si>
  <si>
    <t>KPTG-TRANSMIT-003098</t>
  </si>
  <si>
    <t>ACC#1653 | WF-000775</t>
  </si>
  <si>
    <t>KPTG-TRANSMIT-003102</t>
  </si>
  <si>
    <t>Auspan-TRANSMIT-000564 Resubmit precast shop drawings for approval  -1606</t>
  </si>
  <si>
    <t>20 are OK TO IFC - KPTG-IntCorr-001185
Please IFC panel 4P1042 as well</t>
  </si>
  <si>
    <t>21 are OK to IFC - Update registe and distribute KPTG-TRANSMIT-003070
4 are rejected by PC- KPTG-SADV-003925</t>
  </si>
  <si>
    <t>KPTG-TRANSMIT-003107</t>
  </si>
  <si>
    <t>KPTG-TRANSMIT-003110</t>
  </si>
  <si>
    <t>KPTG-TRANSMIT-003113</t>
  </si>
  <si>
    <t>ACC#1656 | WF-000776</t>
  </si>
  <si>
    <t>Register upated as advised by Kapitol DM.</t>
  </si>
  <si>
    <t>Auspan-TRANSMIT-000578: Update level 3 precast shop drawings</t>
  </si>
  <si>
    <t>Auspan-TRANSMIT-000579: Update IFCed level 4 precast shop drawings.</t>
  </si>
  <si>
    <t>IFC - Waiting for Oliver advise-KPTG-IntCorr-001198</t>
  </si>
  <si>
    <t>IFC - Waiting for Oliver advise-KPTG-IntCorr-001199</t>
  </si>
  <si>
    <t>Auscool-TRANSMIT-000069 level 2 - level 7 - precast penetration -1547</t>
  </si>
  <si>
    <t>KPTG-TRANSMIT-003118</t>
  </si>
  <si>
    <t>KPTG-IntCorr-001202 - IFC Reegister and transmit</t>
  </si>
  <si>
    <t>KPTG-TRANSMIT-003124</t>
  </si>
  <si>
    <t>TO UPDATE ACC</t>
  </si>
  <si>
    <t>ACC#1660 | WF-000777</t>
  </si>
  <si>
    <t>POTTSENG-TRANSMIT-000062: GMAC: HYDRAULIC SERVICES - PENETRATION - LEVEL 02 - ZONE 5 LAYOUT</t>
  </si>
  <si>
    <t>Auspan-TRANSMIT-000580 Re: Zone 3 RFi 70. Resubmit shop drawings level 5 for approval</t>
  </si>
  <si>
    <t>ACC#1662 |WF-000778</t>
  </si>
  <si>
    <t>Auspan-TRANSMIT-000581 352 - Level 2 Dowel Layout</t>
  </si>
  <si>
    <t>Auspan-TRANSMIT-000582: Update IFCed precast shop drawings. level 3</t>
  </si>
  <si>
    <t>IFC-Update Register and Transmit -KPTG-TRANSMIT-003129</t>
  </si>
  <si>
    <t>IFC - Oliver to advise - KPTG-IntCorr-001204
please transmit IFC -KPTG-TRANSMIT-003129</t>
  </si>
  <si>
    <t>IFC - Oliver to advise - KPTG-IntCorr-001205</t>
  </si>
  <si>
    <t xml:space="preserve">RDSBIM-TRANSMIT-000087 GREYSTAR LEVEL 03 CONCRETE PROFILE PLAN </t>
  </si>
  <si>
    <t>Review void as requested by RDS and advised by Kapitol DM.</t>
  </si>
  <si>
    <t xml:space="preserve">RDSBIM-TRANSMIT-000089 GREYSTAR LEVEL 04 CONCRETE PROFILE PLAN </t>
  </si>
  <si>
    <t>RDSBIM-TRANSMIT-000090 GREYSTAR LEVEL 04 CONCRETE PROFILE KEY PLAN</t>
  </si>
  <si>
    <t>Auspan-TRANSMIT-000584: Re: Update IFCed shop drawings. Level 3.</t>
  </si>
  <si>
    <t>RDSBIM-TRANSMIT-000092 GREYSTAR  LEVEL 05 CONCRETE PROFILE PLAN</t>
  </si>
  <si>
    <t>IFC - Oliver to advise - KPTG-IntCorr-001208</t>
  </si>
  <si>
    <t>ACC#1665 | WF-000779</t>
  </si>
  <si>
    <t>POTTSENG-TRANSMIT-000061 GMAC: HYDRAULIC SERVICES - PENETRATION - LEVEL 01 - ZONE 3 LAYOUT</t>
  </si>
  <si>
    <t>Rejected due to incorrect revisIon. DRAFT-011141</t>
  </si>
  <si>
    <t>RDSBIM-TRANSMIT-000093: 352MAC | LEVEL 02 CONCRETE PROFILE PLAN ZONE 5</t>
  </si>
  <si>
    <t>Auspan-TRANSMIT-000585: Re: level 2 - level 7 - precast penetration. Update IFCed precast shop drawings.</t>
  </si>
  <si>
    <t>Auspan-TRANSMIT-000586: Precast shop drawings for construction. Level 3.</t>
  </si>
  <si>
    <t>Auspan-TRANSMIT-000587: Precast shop drawings for construction. Level 4.</t>
  </si>
  <si>
    <t>Auspan-TRANSMIT-000588: Precast shop drawings for construction. Levels 5, 6.</t>
  </si>
  <si>
    <t>Auspan-TRANSMIT-000589: Precast shop drawings for approval. Level 5</t>
  </si>
  <si>
    <t>IFC - Waiting for Oliver advise-KPTG-IntCorr-001209</t>
  </si>
  <si>
    <t>ACC#1668 | WF-000780</t>
  </si>
  <si>
    <t>RDSBIM-TRANSMIT-000095: GREYSTAR  LEVEL 04 CONCRETE PROFILE PLAN ZONE 5</t>
  </si>
  <si>
    <t>ACC#1670 | WF-000781</t>
  </si>
  <si>
    <t>ACC#1692 |WF-000782</t>
  </si>
  <si>
    <t>IFC - Waiting for Oliver advise-KPTG-IntCorr-0012</t>
  </si>
  <si>
    <r>
      <t xml:space="preserve">IFC -Review was terminated and re-initiated.
</t>
    </r>
    <r>
      <rPr>
        <b/>
        <sz val="11"/>
        <color theme="1"/>
        <rFont val="Calibri"/>
        <family val="2"/>
      </rPr>
      <t>ACC#1692 |WF-000784</t>
    </r>
  </si>
  <si>
    <r>
      <t xml:space="preserve">IFC - Review was terminated and re-initiated.
</t>
    </r>
    <r>
      <rPr>
        <b/>
        <sz val="11"/>
        <color theme="1"/>
        <rFont val="Calibri"/>
        <family val="2"/>
      </rPr>
      <t>ACC#1692 |WF-000783</t>
    </r>
  </si>
  <si>
    <t>JCBa-TRANSMIT-000163: Updated Architectural Documentation - Waterproofing Plans &amp; Facade Assembly Sections</t>
  </si>
  <si>
    <t>RDSBIM-TRANSMIT-000094 GREYSTAR  LEVEL 03 CONCRETE PROFILE PLAN ZONE 5</t>
  </si>
  <si>
    <t>IFC - Waiting for Oliver advise-KPTG-IntCorr-001212</t>
  </si>
  <si>
    <t>ACC#1674 | WF-000785</t>
  </si>
  <si>
    <r>
      <t xml:space="preserve">IFC -Review was terminated and re-initiated.
</t>
    </r>
    <r>
      <rPr>
        <b/>
        <sz val="11"/>
        <color theme="1"/>
        <rFont val="Calibri"/>
        <family val="2"/>
      </rPr>
      <t>ACC#1674 | WF-000786</t>
    </r>
  </si>
  <si>
    <t>IFC - Waiting for Oliver advise-KPTG-IntCorr-001213</t>
  </si>
  <si>
    <t>ACC#1676 | WF-000787</t>
  </si>
  <si>
    <t>Auspan-TRANSMIT-000590: Update panel 3P4012</t>
  </si>
  <si>
    <t>ArcadiaL-TRANSMIT-000003: Landscape Architectural - IFC Updates to Easement</t>
  </si>
  <si>
    <t xml:space="preserve">Rejected due to incorrect drawing status </t>
  </si>
  <si>
    <t>Rejected due to incorrect drawing status - DRAFT-011181</t>
  </si>
  <si>
    <t>IFC - Waiting for Oliver advise-KPTG-IntCorr-001214</t>
  </si>
  <si>
    <t>KPTG-SADV-004068 - Proceed IFC.</t>
  </si>
  <si>
    <t>KPTG-SADV-004075 - 24 Ok to proceed IFC - 11 are rejected.</t>
  </si>
  <si>
    <t>KPTG-SADV-004079 - OK to IFC</t>
  </si>
  <si>
    <t>KPTG-SADV-004081 - OK to IFC</t>
  </si>
  <si>
    <t>Rejected - KPTG-SADV-004086</t>
  </si>
  <si>
    <t>Transmit for INFO only - KPTG-IntCorr-001216</t>
  </si>
  <si>
    <t>KPTG-IntCorr-001217 - Proceed IFC</t>
  </si>
  <si>
    <t>Auspan-TRANSMIT-000464: Precast shop drawings for construction. 5P2018</t>
  </si>
  <si>
    <t>Auspan-TRANSMIT-000591: Precast shop drawings for construction. Level 4</t>
  </si>
  <si>
    <t>Auspan-TRANSMIT-000592: Precast shop drawings for construction. Level 5</t>
  </si>
  <si>
    <t>Auspan-TRANSMIT-000593: Precast shop drawings for construction. Level 4.</t>
  </si>
  <si>
    <t>Auspan-TRANSMIT-000595: Precast shop drawings for approval. Zone 4, 5 level 7.</t>
  </si>
  <si>
    <t>Auspan-TRANSMIT-000596: Re: GMAC - Level 3 Additional precast penetrations</t>
  </si>
  <si>
    <t>Waiting for Oliver advise-KPTG-IntCorr-001219</t>
  </si>
  <si>
    <t>IFA - ACC#1678 | WF-000788</t>
  </si>
  <si>
    <t>Rejected - difference in title and wrong attachment- DRAFT-011217</t>
  </si>
  <si>
    <t>IFC - Waiting for Oliver advise-KPTG-IntCorr-001224</t>
  </si>
  <si>
    <t>IFC - Waiting for Oliver advise-KPTG-IntCorr-001222</t>
  </si>
  <si>
    <t>KPTG-IntCorr-001221  Electrical Services Penetration layouts - Ground - Level 6</t>
  </si>
  <si>
    <t>IFC - Waiting for Oliver advise-KPTG-IntCorr-001225</t>
  </si>
  <si>
    <t>ACC#1679 | WF-000789</t>
  </si>
  <si>
    <t>KPTG-TRANSMIT-003145</t>
  </si>
  <si>
    <t>KPTG-IntCorr-001220 : Auscool AC selections</t>
  </si>
  <si>
    <t>Returned due to no document number - KPTG-IntCorr-001227</t>
  </si>
  <si>
    <t>POTTSENG-TRANSMIT-000064: GMAC: HYDRAULIC SERVICES - PENETRATION - LEVEL 01 - ZONE 3 LAYOUT</t>
  </si>
  <si>
    <t>POTTSENG-TRANSMIT-000063: GMAC: HYDRAULIC SERVICES - PENETRATION - LEVEL 02 - ZONE 1 LAYOUT</t>
  </si>
  <si>
    <t>KPTG-TRANSMIT-003147</t>
  </si>
  <si>
    <t>POTTSENG-TRANSMIT-000065: GMAC: HYDRAULIC SERVICES - PENETRATION - LEVELS 03-05 - ZONES 1-5 LAYOUTS</t>
  </si>
  <si>
    <t>ACC#1683 | WF-000790</t>
  </si>
  <si>
    <t>ACC#1685 | WF-000791</t>
  </si>
  <si>
    <t>Review Void as advised by Kapitol PC- Brentyan  "They need to update the drawing".</t>
  </si>
  <si>
    <t>INDS-TRANSMIT-000057 L2 to L7 Zone 3 - Added Peno</t>
  </si>
  <si>
    <t>ACC#1687 | WF-000792</t>
  </si>
  <si>
    <t>INDS-TRANSMIT-000059: L2 to L7 Zone 3 - Typical Floor Penetration Layout</t>
  </si>
  <si>
    <t>Auspan-TRANSMIT-000594: Update IFCed precast shop drawings. Levels 3, 4, 5.</t>
  </si>
  <si>
    <t>24 Ok to porceed -KPTG-TRANSMIT-003151
11 Rejected by Kapitol PC. --KPTG-SADV-004075</t>
  </si>
  <si>
    <t>IFC - Waiting for Oliver advise-KPTG-IntCorr-001232</t>
  </si>
  <si>
    <t>Rejected  by Kapitol PC - KPTG-SADV-004086</t>
  </si>
  <si>
    <t>Auspan-TRANSMIT-000580 Zone 3 RFi 70 Resubmit shop drawings level 5 for approval -1662</t>
  </si>
  <si>
    <t>Auspan-TRANSMIT-000534 Precast shop drawings for approval. Zone 1, 2 level 6 -1553</t>
  </si>
  <si>
    <t>Auspan-TRANSMIT-000519 Re Precast shop drawings for approval. Levels 4, 5, 6 zone 4, 5  -1520</t>
  </si>
  <si>
    <t>Auspan-TRANSMIT-000521 Precast shop drawings for approval. Levels 4, 5, 6 zone 4, 5 -1528</t>
  </si>
  <si>
    <t>KPTG-TRANSMIT-003153</t>
  </si>
  <si>
    <t>KPTG-TRANSMIT-003155</t>
  </si>
  <si>
    <t>KPTG-TRANSMIT-003157</t>
  </si>
  <si>
    <t>KPTG-TRANSMIT-003160</t>
  </si>
  <si>
    <t>KPTG-TRANSMIT-003163</t>
  </si>
  <si>
    <t>KPTG-TRANSMIT-003166</t>
  </si>
  <si>
    <t>KPTG-TRANSMIT-003170</t>
  </si>
  <si>
    <t>ACC#1693 | WF-000793</t>
  </si>
  <si>
    <t>Auspan-TRANSMIT-000597: Re: GMAC - Level 3 Additional precast penetrations</t>
  </si>
  <si>
    <t>Auspan-TRANSMIT-000598: Precast shop drawings for constructon. Zone 3 levels 4, 5.</t>
  </si>
  <si>
    <t>Review terminated as advised by Kapitol DM. "Please unlock the JCB door schedule, ga plans, partition plans and partition detail sections.</t>
  </si>
  <si>
    <t>JCBa-TRANSMIT-000160 Updated Architectural Documentation - GA Plans</t>
  </si>
  <si>
    <t>Auscool-TRANSMIT-000071 level 1 - precast penetration - 1551</t>
  </si>
  <si>
    <t>LVPG-TRANSMIT-000035 LVPG - Stormwater Tech Data Submittals</t>
  </si>
  <si>
    <t>Review terminated as advised by Kapitol PC - Brentyn; 
To initiate a review with Fyfe.</t>
  </si>
  <si>
    <t>LVPG-TRANSMIT-000035 LVPG - Stormwater Tech Data Submittals -WF-000676</t>
  </si>
  <si>
    <t>ACC#1695 | WF-000795</t>
  </si>
  <si>
    <t>Rejected- Difference in document number and status - DRAFT-011290</t>
  </si>
  <si>
    <t>IIFC - Waiting for Oliver advise-KPTG-IntCorr-001235</t>
  </si>
  <si>
    <t>KPTG-TRANSMIT-003176</t>
  </si>
  <si>
    <t>JCBa-TRANSMIT-000164: Updated Architectural Documentation - Partition Plans &amp; Partition Detail Sections</t>
  </si>
  <si>
    <t>ACC#1697 | WF-000796</t>
  </si>
  <si>
    <t>Auscool-TRANSMIT-000073: Ground Floor - Zone 1 and 3 IFA drawings</t>
  </si>
  <si>
    <t xml:space="preserve">M.2-TRANSMIT-000070 Electrical Services Power &amp; Comms layouts - L00-L07 -1629 </t>
  </si>
  <si>
    <t>POTTSENG-TRANSMIT-000066: GMAC: HYDRAULIC SERVICES - PENETRATION - LEVEL 02 - ZONE 4 LAYOUT</t>
  </si>
  <si>
    <t>KPTG-TRANSMIT-003182</t>
  </si>
  <si>
    <t>Rejected- Difference in revision code- DRAFT-011333</t>
  </si>
  <si>
    <t>KPTG-IntCorr-001230 - Proceed IFC</t>
  </si>
  <si>
    <t>No done</t>
  </si>
  <si>
    <t>KPTG-IntCorr-001231 - proceed IFC</t>
  </si>
  <si>
    <t>KPTG-IntCorr-001241 - proceed IFC except 4P5050</t>
  </si>
  <si>
    <t>KPTG-SADV-004145 - proceed as attached in the site advise</t>
  </si>
  <si>
    <t>KPTG-SADV-004147 - Proceed IFC</t>
  </si>
  <si>
    <t>KPTG-IntCorr-001243 - Proceed IFC</t>
  </si>
  <si>
    <t>KPTG-SADV-004148 - IFC except 4P5041</t>
  </si>
  <si>
    <t>no done</t>
  </si>
  <si>
    <t>IFC- ACC#1699 | WF-000797</t>
  </si>
  <si>
    <t>KPTG-SADV-004151 - Rejected</t>
  </si>
  <si>
    <t>Rejected by Kapitol PC. KPTG-SADV-004151</t>
  </si>
  <si>
    <r>
      <t xml:space="preserve">As advised by Brent, </t>
    </r>
    <r>
      <rPr>
        <b/>
        <sz val="11"/>
        <color theme="1"/>
        <rFont val="Calibri"/>
        <family val="2"/>
      </rPr>
      <t>WF-000794</t>
    </r>
  </si>
  <si>
    <t>22 OK TO IFC- KPTG-TRANSMIT-003185; 1 Drawing Updated; 5 Rejected as advised by Kapitol PC.KPTG-SADV-004145
Published</t>
  </si>
  <si>
    <t>Registerd and transmitted KPTG-TRANSMIT-003187</t>
  </si>
  <si>
    <t>Registerd and transmitted KPTG-TRANSMIT-003189</t>
  </si>
  <si>
    <t>4 OK TO IFC-KPTG-TRANSMIT-003191; 1  Rejected as advised by Kapitol PC.KPTG-SADV-004148</t>
  </si>
  <si>
    <t>IFC- Registerd and transmitted KPTG-TRANSMIT-003193</t>
  </si>
  <si>
    <t>IFC- Registerd and transmitted KPTG-TRANSMIT-003195 
1 Rejected as advised by Kapitol PC.KPTG-SADV-004141</t>
  </si>
  <si>
    <t>IFC- Registerd and transmitted  KPTG-TRANSMIT-003197</t>
  </si>
  <si>
    <t>Auspan-TRANSMIT-000602: Re: Precast shop drawings for approval. Zone 4, 5 level 7</t>
  </si>
  <si>
    <t>Auscool-TRANSMIT-000074: Re: Ground Floor - Zone 1 and 3 IFA drawings</t>
  </si>
  <si>
    <t>ACC#1708 | WF-000798</t>
  </si>
  <si>
    <t>M.2-TRANSMIT-000073 Revised Lighting Tech Data</t>
  </si>
  <si>
    <t>ACC#1710 | WF-000799</t>
  </si>
  <si>
    <t>Auspan-TRANSMIT-000600 Update IFCed precast shop drawings.</t>
  </si>
  <si>
    <t>WF-000800</t>
  </si>
  <si>
    <t xml:space="preserve">IFC - Waiting for Oliver advise-KPTG-IntCorr-001249
</t>
  </si>
  <si>
    <t xml:space="preserve">Rejected -Difference in revision-DRAFT-011397
</t>
  </si>
  <si>
    <t>Rejected -Difference in revision-DRAFT-011397</t>
  </si>
  <si>
    <t>Auspan-TRANSMIT-000599: Precast shop drawings for construction.</t>
  </si>
  <si>
    <t>Auspan-TRANSMIT-000604: Re: GMAC - L4 Additional precast penetrations</t>
  </si>
  <si>
    <t>Auspan-TRANSMIT-000486 Precast shop drawings for approval. Levels 5, 6 zone 3  -1460</t>
  </si>
  <si>
    <t>Auspan-TRANSMIT-000570 Level 4 precast shop drawings for Approval  -1618</t>
  </si>
  <si>
    <t>Auspan-TRANSMIT-000575 Resubmit precast panel 3P5065 for approval -1638</t>
  </si>
  <si>
    <t>Auspan-TRANSMIT-000603 Re: Precast shop drawings for construction. Level 4.</t>
  </si>
  <si>
    <t>Auspan-TRANSMIT-000518 Precast shop drawings for approval. Levels 4, 5, 6 zone 4, 5  -1512</t>
  </si>
  <si>
    <t xml:space="preserve">Rejected due to incorrect revision history - DRAFT-011408
</t>
  </si>
  <si>
    <t>Rejected due to incorrect revision history - DRAFT-011408</t>
  </si>
  <si>
    <t>KPTG-TRANSMIT-003203</t>
  </si>
  <si>
    <t>KPTG-TRANSMIT-003206</t>
  </si>
  <si>
    <t>KPTG-SADV-004174 - proseed as per the attachment</t>
  </si>
  <si>
    <t>Proceed IFC - KPTG-IntCorr-001252</t>
  </si>
  <si>
    <t>Please refer to the attached - KPTG-SADV-004180</t>
  </si>
  <si>
    <t>IFC - Waiting for Oliver advise-KPTG-IntCorr-001250</t>
  </si>
  <si>
    <t>IFC - waiting for advise - KPTG-IntCorr-001251</t>
  </si>
  <si>
    <t xml:space="preserve">
Please ifc KPTG-IntCorr-001256</t>
  </si>
  <si>
    <t xml:space="preserve">IFC - waiting for advise - KPTG-IntCorr-001251
</t>
  </si>
  <si>
    <t>Please IFC -KPTG-IntCorr-001255</t>
  </si>
  <si>
    <t>IJF-TRANSMIT-000006 Re Joinery - Prototype Drawings -ACC#1653</t>
  </si>
  <si>
    <t>JCBa-TRANSMIT-000165: Updated Architectural Documentation - GA Plans, Door Schedule &amp; Door Elevations</t>
  </si>
  <si>
    <t>LVPG-TRANSMIT-000046 LVPG-HY-TECH-069 - 100mm Stainless Allthrough</t>
  </si>
  <si>
    <t xml:space="preserve">IJF-TRANSMIT-000006 Re Joinery - Prototype Drawings </t>
  </si>
  <si>
    <t>1 drawing review is re-initiated.
ACC#1713 |WF-000801</t>
  </si>
  <si>
    <t>Auspan-TRANSMIT-000605: Re: Architectural Documentation - Return &amp; Precast Return External Elevations</t>
  </si>
  <si>
    <t>Auspan-TRANSMIT-000606: Re: Removal of Wet Joint - HB</t>
  </si>
  <si>
    <t>Auspan-TRANSMIT-000607: Re: Removal of Wet Joint - HB</t>
  </si>
  <si>
    <t>KPTG-TRANSMIT-003209
I drawing terminated, and initiated review again.</t>
  </si>
  <si>
    <t>ACC#1715 |WF-000802</t>
  </si>
  <si>
    <t>Auspan-TRANSMIT-000609: Update IFCed shop drawings. Levels 4, 5. Panels are still the same. Just add note for class 2 finish.</t>
  </si>
  <si>
    <t>Auspan-TRANSMIT-000589 Precast shop drawings for approval. Level 5 -#1670</t>
  </si>
  <si>
    <t>JCBa-TRANSMIT-000165:  Door Schedule</t>
  </si>
  <si>
    <t>Auspan-TRANSMIT-000610: Re: Update IFCed precast shop drawings.</t>
  </si>
  <si>
    <t>ACC#1717 |WF-000803</t>
  </si>
  <si>
    <t>KPTG-TRANSMIT-003213
3 drawings terminated.</t>
  </si>
  <si>
    <t>JCBa-TRANSMIT-000165 -Door schedule and elevations. ARC - SME REVIEW</t>
  </si>
  <si>
    <t xml:space="preserve">ACC#1718 </t>
  </si>
  <si>
    <t>IJF-TRANSMIT-000009: Joinery - Prototype Drawings - Rev C2</t>
  </si>
  <si>
    <t>Rejected due to incorrect document number - DRAFT-011451</t>
  </si>
  <si>
    <t>LVPG-TRANSMIT-000046 LVPG-HY-TECH-069 - 100mm Stainless</t>
  </si>
  <si>
    <t xml:space="preserve">ifc - Witing for confirmation from Oliver -KPTG-IntCorr-001265 </t>
  </si>
  <si>
    <t>PCForm-TRANSMIT-000108: Level 2 &amp; 3 propping plans</t>
  </si>
  <si>
    <t>Rejected due to incorrect drawing revision hisotory. DRAFT-011461</t>
  </si>
  <si>
    <t>ifc - Witing for confirmation from Oliver -
KPTG-IntCorr-001266</t>
  </si>
  <si>
    <t>Auspan-TRANSMIT-000608 Update IFCed precast shop drawings. Level 3.</t>
  </si>
  <si>
    <t>ifc - Witing for confirmation from Oliver -
KPTG-IntCorr-001267</t>
  </si>
  <si>
    <t>ifc - Witing for confirmation from Oliver -
KPTG-IntCorr-001268</t>
  </si>
  <si>
    <t>Auspan-TRANSMIT-000611: Re: GMAC - L4 Additional precast penetrations - Drawing QA error</t>
  </si>
  <si>
    <t>KPTG-IntCorr-001221 Electrical Services Penetration layouts - Ground - Level 6</t>
  </si>
  <si>
    <t>ACC#1724 | WF-000805</t>
  </si>
  <si>
    <t>ifc - Witing for confirmation from Oliver -
KPTG-IntCorr-001269</t>
  </si>
  <si>
    <t>ifc - Witing for confirmation from Oliver -
KPTG-IntCorr-001270</t>
  </si>
  <si>
    <t>Auscool-TRANSMIT-000075: MSSB Load Table &amp; Schematics</t>
  </si>
  <si>
    <t>M.2-TRANSMIT-000074: Electrical Services - Level 00 External lighting layout</t>
  </si>
  <si>
    <t>M.2-TRANSMIT-000075: Electrical Services - B1, Ground and Level 6 lighting layouts</t>
  </si>
  <si>
    <t>M.2-TRANSMIT-000076: Electrical Services - B1, L00, L02-05, L06 &amp; L07 Power &amp; comms layouts</t>
  </si>
  <si>
    <t>M.2-TRANSMIT-000078: Electrical Services - Level 7 Cabletray &amp; Penetration layouts</t>
  </si>
  <si>
    <t>ifc - Witing for confirmation from Oliver KPTG-IntCorr-001272</t>
  </si>
  <si>
    <t>KPTG-WTRAN-001460 - Trade partner superseded the drawings, and distributed.</t>
  </si>
  <si>
    <t>IFC - Michael to advise - KPTG-IntCorr-001274</t>
  </si>
  <si>
    <t>Rejected due to lack of document number -DRAFT-011490</t>
  </si>
  <si>
    <t>ACC#1730 | WF-000806</t>
  </si>
  <si>
    <t>Rinco-TRANSMIT-000068 Structural updated fence drawing</t>
  </si>
  <si>
    <t>KPTG-TRANSMIT-003218</t>
  </si>
  <si>
    <t>ACC#1733 |WF-000807</t>
  </si>
  <si>
    <t>38 are ok to IFC -KPTG-TRANSMIT-003226; 5 Rejected by Kapitol PC.KPTG-SADV-004174; 3 are already updated and distributed</t>
  </si>
  <si>
    <t>8 are ok to IFC-KPTG-TRANSMIT-003228 ; 8 Rejected by Kapitol PC.KPTG-SADV-004180; 1 Drawing updated and distributed</t>
  </si>
  <si>
    <t>IFC registered and transmit KPTG-TRANSMIT-003231</t>
  </si>
  <si>
    <t>IFC registered and transmit  KPTG-TRANSMIT-003224</t>
  </si>
  <si>
    <t>IFC registered and transmit  KPTG-TRANSMIT-003222</t>
  </si>
  <si>
    <t>ACC#1735 |WF-000808</t>
  </si>
  <si>
    <t>ACC#1738 | WF-000809</t>
  </si>
  <si>
    <t>M.2-TRANSMIT-000077 Electrical Services - B1-Level 6 Cabletray &amp; Penetration layouts</t>
  </si>
  <si>
    <t>ACC#1742 | WF-000810</t>
  </si>
  <si>
    <t>Auspan-TRANSMIT-000486 Precast shop drawings for approval</t>
  </si>
  <si>
    <t>ACC #1720</t>
  </si>
  <si>
    <t xml:space="preserve">Auspan-TRANSMIT-000518 Precast shop drawings for approval </t>
  </si>
  <si>
    <t>Auscool-TRANSMIT-000077: updated document number</t>
  </si>
  <si>
    <t>Auscool-TRANSMIT-000078: updated document number mssb schematics</t>
  </si>
  <si>
    <t>Auspan-TRANSMIT-000613: Precast shop drawings for construction. Levels 4, 5.</t>
  </si>
  <si>
    <t>IFC - Waiting for Oliver advise-KPTG-IntCorr-001280</t>
  </si>
  <si>
    <t>Rejected - Difference in revision and status- DRAFT-011506</t>
  </si>
  <si>
    <t>ACC#1745 | WF-000811</t>
  </si>
  <si>
    <t>JCBa-TRANSMIT-000166: Re: Updated Architectural Documentation - GA Plans, Door Schedule &amp; Door Elevations</t>
  </si>
  <si>
    <t>Native fle, updated register only.</t>
  </si>
  <si>
    <t>Auspan-TRANSMIT-000615: Re: Panel Weight Issue - 2P5065</t>
  </si>
  <si>
    <t>Update register - KPTG-IntCorr-001281</t>
  </si>
  <si>
    <t>Brent to advise -KPTG-IntCorr-001282</t>
  </si>
  <si>
    <t>Brent to advise KPTG-IntCorr-001284</t>
  </si>
  <si>
    <t>POTTSENG-TRANSMIT-000067: GMAC: HYDRAULIC SERVICES - DRAINAGE - LEVELS 01-04 - ZONES 1-5 LAYOUTS</t>
  </si>
  <si>
    <t>KPTG-TRANSMIT-003235: Re: Balustrade &amp; Screen Shop Drawing Details IFA</t>
  </si>
  <si>
    <t>ACC#1747 | WF-000812</t>
  </si>
  <si>
    <t>IFC - Waiting for Oliver advise-KPTG-IntCorr-001283
Rejected by Kapitol PC. KPTG-SADV-004235</t>
  </si>
  <si>
    <t>Rejected by Kapitol PC.  KPTG-SADV-004235</t>
  </si>
  <si>
    <t>M.2-TRANSMIT-000080: Apartment DB Shop Drawings</t>
  </si>
  <si>
    <t>ACC#1751 | WF-000813</t>
  </si>
  <si>
    <t>4 drawings closed and 1 drawing review terminated and  superseded
KPTG-TRANSMIT-003239</t>
  </si>
  <si>
    <t>Rejected due to incomplete titile and drawing number error. DRAFT-011543</t>
  </si>
  <si>
    <t>Auspan-TRANSMIT-000617: Update IFCed precast shop drawing. There is no change to the panels</t>
  </si>
  <si>
    <t>Auspan-TRANSMIT-000618: Update IFCed precast shop drawings</t>
  </si>
  <si>
    <t>Auspan-TRANSMIT-000619: Precast shop drawings for approval. Level 7 zone 4, 5.</t>
  </si>
  <si>
    <t>Auspan-TRANSMIT-000616: Re: Precast shop drawings for construction. Levels 4, 5</t>
  </si>
  <si>
    <t>FC - Waiting for Oliver advise-KPTG-IntCorr-001287</t>
  </si>
  <si>
    <t>IFC - Waiting for Oliver advise-KPTG-IntCorr-001288
7 Drawings</t>
  </si>
  <si>
    <t>Rejected - Difference in revision- DRAFT-011548</t>
  </si>
  <si>
    <t>IFC - Waiting for Oliver advise-KPTG-IntCorr-001289</t>
  </si>
  <si>
    <t>INDS-TRANSMIT-000060: Wet Fire - Level 2</t>
  </si>
  <si>
    <t>INDS-TRANSMIT-000061: Wet Fire - Level 2</t>
  </si>
  <si>
    <t>Auspan-TRANSMIT-000620: Update IFCed precast shop drawings.</t>
  </si>
  <si>
    <t>INDS-TRANSMIT-000062: Wet Fire - Level 3</t>
  </si>
  <si>
    <t>IFC - Waiting for Oliver advise-KPTG-IntCorr-001290</t>
  </si>
  <si>
    <t>Transmittal superseded - by INDS-TRANSMIT-000061</t>
  </si>
  <si>
    <t>Auspan-TRANSMIT-000621: Update IFCed precast shop drawings.</t>
  </si>
  <si>
    <t>IFC - Waiting for Oliver advise-KPTG-IntCorr-001291</t>
  </si>
  <si>
    <t>ACC issues , cannot capture title</t>
  </si>
  <si>
    <t>IFA  ACC issues , cannot capture title</t>
  </si>
  <si>
    <t>Auspan-TRANSMIT-000622: Resubmit shop drawings for approval.</t>
  </si>
  <si>
    <t>Auspan-TRANSMIT-000623: Precast shop drawings for construction. Levels 3 and 4 zone 4, 5</t>
  </si>
  <si>
    <t>Auspan-TRANSMIT-000624: Precast shop drawings for construction. Levels 3, 5, 6.</t>
  </si>
  <si>
    <t>RDSBIM-TRANSMIT-000096 GREYSTAR  L02  PARTITION  IFR  SUBMISSION</t>
  </si>
  <si>
    <r>
      <t xml:space="preserve">IFA  ACC issues , cannot capture title
</t>
    </r>
    <r>
      <rPr>
        <b/>
        <sz val="11"/>
        <rFont val="Calibri"/>
        <family val="2"/>
      </rPr>
      <t>ACC#1754 | (WF-000814)</t>
    </r>
  </si>
  <si>
    <t>Rejected - Difference in title -DRAFT-011563</t>
  </si>
  <si>
    <t>IFC - Waiting for Oliver advise-KPTG-IntCorr-001292</t>
  </si>
  <si>
    <t>IFC - Waiting for Oliver advise-KPTG-IntCorr-001297</t>
  </si>
  <si>
    <t>ACC#1756 | WF-000815</t>
  </si>
  <si>
    <t>Auspan-TRANSMIT-000625: Update IFCed precast shop drawings. No change to the panels.</t>
  </si>
  <si>
    <t>Review Terminated as requested by RDS to update the drawings.</t>
  </si>
  <si>
    <t>RDSBIM-TRANSMIT-000087 GREYSTAR LEVEL 03 CONCRETE PROFILE PLAN - ACC#1674</t>
  </si>
  <si>
    <t>RDSBIM-TRANSMIT-000092 GREYSTAR | LEVEL 05 CONCRETE PROFILE PLAN - ACC#1660</t>
  </si>
  <si>
    <t>RDSBIM-TRANSMIT-000089 GREYSTAR LEVEL 04 CONCRETE PROFILE PLAN - ACC# 1672</t>
  </si>
  <si>
    <t>ACC#1758 |WF-000816</t>
  </si>
  <si>
    <t>ACC#1761 | WF-000817</t>
  </si>
  <si>
    <t>ACC#1762 |(WF-000818</t>
  </si>
  <si>
    <t>INDS-TRANSMIT-000063: Dry Fire - Level 2</t>
  </si>
  <si>
    <t>ACC#1764 | WF-000819</t>
  </si>
  <si>
    <t>RDSBIM-TRANSMIT-000097: GREYSTAR | LEVEL 03 CONCRETE PROFILE PLAN</t>
  </si>
  <si>
    <t>RDSBIM-TRANSMIT-000098: GREYSTAR | LEVEL 04 CONCRETE PROFILE PLAN</t>
  </si>
  <si>
    <t>ACC#1770 | WF-000821</t>
  </si>
  <si>
    <t>ACC#1768 | WF-000820</t>
  </si>
  <si>
    <r>
      <t xml:space="preserve">KPTG-IntCorr-001130 - 
11 are pending to update -KPTG-IntCorr-001140
</t>
    </r>
    <r>
      <rPr>
        <b/>
        <sz val="11"/>
        <color rgb="FFFF0000"/>
        <rFont val="Calibri"/>
        <family val="2"/>
      </rPr>
      <t>KPTG-SADV-004278 -Proceed IFC</t>
    </r>
  </si>
  <si>
    <t>not done</t>
  </si>
  <si>
    <t>KPTG-SADV-004283 - Refer to the attached comments</t>
  </si>
  <si>
    <t>KPTG-IntCorr-001302 - Proceed IFC</t>
  </si>
  <si>
    <t>KPTG-SADV-004285 - All rejected</t>
  </si>
  <si>
    <t>All rejected by Oliver - KPTG-SADV-004285 -</t>
  </si>
  <si>
    <t>IFC - Waiting for Oliver advise-KPTG-IntCorr-001301
KPTG-SADV-004297 - Proceed IFC</t>
  </si>
  <si>
    <t>RDSBIM-TRANSMIT-000099 GREYSTAR  LEVEL 05 CONCRETE PROFILE PLAN</t>
  </si>
  <si>
    <t>ACC#1772 | WF-000822</t>
  </si>
  <si>
    <t xml:space="preserve">IFC - Waiting for Oliver advise-KPTG-IntCorr-001301
</t>
  </si>
  <si>
    <t>KPTG-SADV-004297 - Proceed IFC</t>
  </si>
  <si>
    <t>Auspan-TRANSMIT-000626: Update IFCed precast shop drawings. Level 3.</t>
  </si>
  <si>
    <t>Auspan-TRANSMIT-000627: Update IFCed precast shop drawings. Level 4</t>
  </si>
  <si>
    <t>Auspan-TRANSMIT-000628: Update IFC precast shop drawings. Level 5.</t>
  </si>
  <si>
    <t>Auspan-TRANSMIT-000629: Update IFC precast shop drawings. Level 6.</t>
  </si>
  <si>
    <t>Auspan-TRANSMIT-000568 Precast shop drawings for approval. Level 4 zone 4 -1627</t>
  </si>
  <si>
    <t>IFC Registered and transmitted KPTG-TRANSMIT-003250</t>
  </si>
  <si>
    <t>IFC Registered and transmitted KPTG-TRANSMIT-003252</t>
  </si>
  <si>
    <t>1 OK TO IFC-KPTG-TRANSMIT-003254, 3 Rejected as advised by Kapitol PC-KPTG-SADV-004283, 1 Superseded</t>
  </si>
  <si>
    <t>IFC Registered and transmitted KPTG-TRANSMIT-003256,</t>
  </si>
  <si>
    <r>
      <t xml:space="preserve">KPTG-IntCorr-001130 - 
11 are pending to update -KPTG-IntCorr-001140
</t>
    </r>
    <r>
      <rPr>
        <b/>
        <sz val="11"/>
        <rFont val="Calibri"/>
        <family val="2"/>
      </rPr>
      <t>KPTG-SADV-004278 -Proceed IFC</t>
    </r>
  </si>
  <si>
    <t>IFC - Waiting for Oliver advise-KPTG-IntCorr-001306</t>
  </si>
  <si>
    <t>IFC - Waiting for Oliver advise-KPTG-IntCorr-001307</t>
  </si>
  <si>
    <t>INDS-TRANSMIT-000064: Dry Fire - Level 3</t>
  </si>
  <si>
    <t>INDS-TRANSMIT-000065: Dry Fire - Level 4</t>
  </si>
  <si>
    <t>ACC#1778 | WF-000823</t>
  </si>
  <si>
    <t>PCForm-TRANSMIT-000115: Rigid Scaffold Set IFC</t>
  </si>
  <si>
    <t>IFC - Waiting for Oliver advise-KPTG-IntCorr-001309</t>
  </si>
  <si>
    <t>IFA- ACC#1780 | WF-000824</t>
  </si>
  <si>
    <t>KPTG-TRANSMIT-003261</t>
  </si>
  <si>
    <t>KPTG-TRANSMIT-003264</t>
  </si>
  <si>
    <t>Auspan-TRANSMIT-000626: Update IFCed precast shop drawings. Level 3</t>
  </si>
  <si>
    <t>IFC - Waiting for Oliver advise-KPTG-IntCorr-001305
Proceed IFC - KPTG-IntCorr-001322</t>
  </si>
  <si>
    <t>As advised by Kapitol PC , No review required- KPTG-TRANSMIT-003248</t>
  </si>
  <si>
    <t xml:space="preserve">INDS-TRANSMIT-000053 L4 to L7 - Zone &amp; Zone 5 -1623 </t>
  </si>
  <si>
    <t>INDS-TRANSMIT-000056 Dry Fire - Ground  -1626</t>
  </si>
  <si>
    <t>Auspan-TRANSMIT-000631: Precast shop drawings for construction. Level 4</t>
  </si>
  <si>
    <t>Auspan-TRANSMIT-000632: Precast shop drawings for construction. Level 5, 6</t>
  </si>
  <si>
    <t>Auspan-TRANSMIT-000633: Re: Precast shop drawings for approval. Level 7 zone 4, 5</t>
  </si>
  <si>
    <t>Auspan-TRANSMIT-000630 Update IFCed precast shop drawings. Level 3</t>
  </si>
  <si>
    <t>POTTSENG-TRANSMIT-000068: GMAC: HYDRAULIC SERVICES - PENETRATION - LEVEL 02 - ZONE 3 LAYOUT</t>
  </si>
  <si>
    <t>KPTG-TRANSMIT-003266</t>
  </si>
  <si>
    <t>KPTG-TRANSMIT-003269</t>
  </si>
  <si>
    <t>Rinco-TRANSMIT-000068 Structural updated fence drawing -1745</t>
  </si>
  <si>
    <t>ACC#1783 | WF-000825</t>
  </si>
  <si>
    <t xml:space="preserve">IFC- Waiting for Oliver advise- KPTG-IntCorr-001328
</t>
  </si>
  <si>
    <t>Rejected- difference in revision-DRAFT-011728</t>
  </si>
  <si>
    <t>Rejected- difference in revision -DRAFT-011728</t>
  </si>
  <si>
    <t>KPTG-TRANSMIT-003273</t>
  </si>
  <si>
    <t>IFC- Waiting for Oliver advise-KPTG-IntCorr-001329</t>
  </si>
  <si>
    <t>IFC- Waiting for Oliver advise-KPTG-IntCorr-001330</t>
  </si>
  <si>
    <t>Rejected- difference in title - DRAFT-011739</t>
  </si>
  <si>
    <t>ACC#1785 | WF-000826</t>
  </si>
  <si>
    <t>Auspan-TRANSMIT-000635: Panel 3P5065</t>
  </si>
  <si>
    <t>IFC- Waiting for Oliver advise KPTG-IntCorr-001331</t>
  </si>
  <si>
    <t>POTTSENG-TRANSMIT-000069 GMAC HYDRAULIC SERVICES - DRAINAGE - GROUND - ZONES 1-5 LAYOUTS</t>
  </si>
  <si>
    <t>ACC#1788 |WF-000827</t>
  </si>
  <si>
    <t>Auspan-TRANSMIT-000636: Update IFCed shop drawing 3P5065</t>
  </si>
  <si>
    <t>POTTSENG-TRANSMIT-000070 GMAC HYDRAULIC SERVICES - PENETRATION - LEVEL 02 - ZONE 2 LAYOUT</t>
  </si>
  <si>
    <t>ACC#1790 | WF-000828</t>
  </si>
  <si>
    <t>IJF-TRANSMIT-000009 Joinery - Prototype Drawings - Rev C2  -1724</t>
  </si>
  <si>
    <t>Auscool-TRANSMIT-000064 Missed Precast Penetrations – Mark-up for Review - IFA  -1508</t>
  </si>
  <si>
    <t>M.2-TRANSMIT-000069 Electrical Services Lighting layouts - L00, L01 &amp; Typical L02-05 -1643</t>
  </si>
  <si>
    <t>Rejected to update document type tp The data - DRAFT-011762</t>
  </si>
  <si>
    <t>KPTG-TRANSMIT-003279</t>
  </si>
  <si>
    <t>IFC- Waiting for Oliver advise  KPTG-IntCorr-001333
proceed IFC  - KPTG-IntCorr-001334</t>
  </si>
  <si>
    <t>KPTG-TRANSMIT-003282
2 are terminated already</t>
  </si>
  <si>
    <t>KPTG-TRANSMIT-003285
6 are terminated already</t>
  </si>
  <si>
    <t>KPTG-TRANSMIT-003288</t>
  </si>
  <si>
    <t>IFC Register and Transmit  KPTG-TRANSMIT-003291</t>
  </si>
  <si>
    <t>Auscool-TRANSMIT-000064 Re Missed Precast Penetrations – Mark-up for Review -1506</t>
  </si>
  <si>
    <t>Auspan-TRANSMIT-000639: Re: Precast SD Audit. Level 3 zone 4,5.</t>
  </si>
  <si>
    <t>Auscool-TRANSMIT-000079 Greystar Kensington MSSB Schematics </t>
  </si>
  <si>
    <t>Auspan-TRANSMIT-000640: Update IFCed precast shop drawings.</t>
  </si>
  <si>
    <t>RDSBIM-TRANSMIT-000093 352MAC LEVEL 02 CONCRETE PROFILE PLAN ZONE 5  -1668</t>
  </si>
  <si>
    <t>POTTSENG-TRANSMIT-000071: GMAC: HYDRAULIC SERVICES - DRAINAGE - BASEMENT 1 - ZONE 5 LAYOUT</t>
  </si>
  <si>
    <t>Waiting for Kapitol advise - KPTG-IntCorr-001337</t>
  </si>
  <si>
    <t>Auspan-TRANSMIT-000637 Re: Precast SD Audit. Level 3 Zone 3.</t>
  </si>
  <si>
    <t>Auspan-TRANSMIT-000638 Re: Precast SD Audit. Levels 3, 4 Zone 1, 2.</t>
  </si>
  <si>
    <t xml:space="preserve">QC OK ifc - waiting for Oliver advise - KPTG-IntCorr-001338 - </t>
  </si>
  <si>
    <t>QC OK ifc - waiting for Oliver advise - KPTG-IntCorr-001339</t>
  </si>
  <si>
    <t>QC OK ifc - waiting for Oliver advise - KPTG-IntCorr-001340</t>
  </si>
  <si>
    <t>KPTG-TRANSMIT-003293</t>
  </si>
  <si>
    <t>IFC- Waiting for Oliver advise-KPTG-IntCorr-001342</t>
  </si>
  <si>
    <t>ACC#1793 | WF-000829</t>
  </si>
  <si>
    <t>M.2-TRANSMIT-000086 Electrical Services Basement &amp; Level 00 Cabletray and Penetrations</t>
  </si>
  <si>
    <t>Auspan-TRANSMIT-000641: Re: 2P349 - NLB? Update IFCed precast shop drawings.</t>
  </si>
  <si>
    <t>IFC- Waiting for Oliver advise-KPTG-IntCorr-001345</t>
  </si>
  <si>
    <t>POTTSENG-TRANSMIT-000072: GAMC: HYDRAULIC SERVICES - WATER - GROUND TO LEVEL 05 - ZONES 1-5 LAYOUTS</t>
  </si>
  <si>
    <t>ACC#1797 | WF-000830</t>
  </si>
  <si>
    <t>ACC#1799 | WF-000831</t>
  </si>
  <si>
    <t>IJF-TRANSMIT-000011: Joinery prototype drawings - Rev C3</t>
  </si>
  <si>
    <t>ACC#1803 | WF-000832</t>
  </si>
  <si>
    <t>INDS-TRANSMIT-000066: Wet Fire - Ground Zone 1, 2 &amp; 4</t>
  </si>
  <si>
    <t>INDS-TRANSMIT-000067: Wet Fire - Level 1</t>
  </si>
  <si>
    <t>Auspan-TRANSMIT-000642: Resubmit precast shop drawings for approval.</t>
  </si>
  <si>
    <t>Auspan-TRANSMIT-000643: Precast shop drawings for construction. Level 3</t>
  </si>
  <si>
    <t>Auspan-TRANSMIT-000644: Precast shop drawings for construction. Level 4</t>
  </si>
  <si>
    <t>Auspan-TRANSMIT-000645: Precast shop drawings for construction. Level 5.</t>
  </si>
  <si>
    <t>Auspan-TRANSMIT-000646: Precast shop drawings for construction. Level 6.</t>
  </si>
  <si>
    <t>please ifc -KPTG-IntCorr-001346</t>
  </si>
  <si>
    <t>KPTG-IntCorr-001347  -Please IFC panels without comments on the attached</t>
  </si>
  <si>
    <t>KPTG-IntCorr-001348 - Please IFC</t>
  </si>
  <si>
    <t>KPTG-IntCorr-001349 -Please only transmit 3P5053</t>
  </si>
  <si>
    <t>IFA- ACC#1805 | WF-000833</t>
  </si>
  <si>
    <t>IFC- ACC#1807 | WF-000834</t>
  </si>
  <si>
    <t>IFC- Waiting for Oliver advise-KPTG-IntCorr-001351</t>
  </si>
  <si>
    <t>RDSBIM-TRANSMIT-000097 GREYSTAR LEVEL 03 CONCRETE PROFILE PLAN - 1768</t>
  </si>
  <si>
    <t>PSGANZ-TRANSMIT-000007 Tech Data</t>
  </si>
  <si>
    <t>KPTG-TRANSMIT-003299</t>
  </si>
  <si>
    <r>
      <t xml:space="preserve">IFC- Waiting for Julianne and Brent advise-KPTG-IntCorr-001350
</t>
    </r>
    <r>
      <rPr>
        <b/>
        <sz val="11"/>
        <color theme="1"/>
        <rFont val="Calibri"/>
        <family val="2"/>
      </rPr>
      <t>ACC#1809 | WF-000835</t>
    </r>
  </si>
  <si>
    <t>IFC- KPTG-TRANSMIT-003302, 3 Rejected as advised by Kapitol PC. KPTG-IntCorr-001349</t>
  </si>
  <si>
    <t>IFC - Update register and trasmit- KPTG-TRANSMIT-003304,</t>
  </si>
  <si>
    <t>10 OK TO IFC- KPTG-TRANSMIT-003306, 4 Rejected as advised by Kapitol PC. KPTG-IntCorr-001347</t>
  </si>
  <si>
    <t>3 OK TO IFC- KPTG-TRANSMIT-003308,  10 No action required. as advised by Kapitol PC. KPTG-IntCorr-001346</t>
  </si>
  <si>
    <t>IFC - Waiting for Oliver advise-KPTG-IntCorr-001359</t>
  </si>
  <si>
    <t>IFC - Waiting for Oliver advise-KPTG-IntCorr-001360</t>
  </si>
  <si>
    <t xml:space="preserve">Auscool-TRANSMIT-000080 AC Schedules </t>
  </si>
  <si>
    <t>WF-000836</t>
  </si>
  <si>
    <t>Auscool-TRANSMIT-000081: Ac Selections</t>
  </si>
  <si>
    <t>WF-000837</t>
  </si>
  <si>
    <t>WF-000838</t>
  </si>
  <si>
    <t xml:space="preserve">IFC- Waiting for Oliver advise-KPTG-IntCorr-001353
</t>
  </si>
  <si>
    <t>IFC- Waiting for Oliver advise-KPTG-IntCorr-001353</t>
  </si>
  <si>
    <t>Rinco-TRANSMIT-000069: Structural drawings Issued for Construction</t>
  </si>
  <si>
    <t>Auspan-TRANSMIT-000643 Precast shop drawings for construction. Level 3</t>
  </si>
  <si>
    <t>RDSBIM-TRANSMIT-000098 GREYSTAR LEVEL 04 CONCRETE PROFILE PLAN  -1770</t>
  </si>
  <si>
    <t>JCBa-TRANSMIT-000104 Architectural Documentation - Joinery Details &amp; Materials &amp; Finishes - 1610</t>
  </si>
  <si>
    <t>RDSBIM-TRANSMIT-000088 GREYSTAR GROUND FLOOR STAIR MID LANDING LAYOUT  -1616</t>
  </si>
  <si>
    <t>Auspan-TRANSMIT-000648: Update IFCed precast shop drawings for construction due to penos added.</t>
  </si>
  <si>
    <t>JCBa-TRANSMIT-000163 Updated Architectural Documentation - Waterproofing Plans &amp; Facade Assembly Sections  -1676</t>
  </si>
  <si>
    <t>RDSBIM-TRANSMIT-000079 GREYSTAR BASEMENT LEVEL PARTITION WAL -1404</t>
  </si>
  <si>
    <t>POTTSENG-TRANSMIT-000062 GMAC HYDRAULIC SERVICES - PENETRATION - LEVEL 02 - ZONE 5 LAYOUT -1665</t>
  </si>
  <si>
    <t>KPTG-TRANSMIT-003312</t>
  </si>
  <si>
    <t>KPTG-TRANSMIT-003315</t>
  </si>
  <si>
    <t>ACC#1815 | WF-000839</t>
  </si>
  <si>
    <t>KPTG-TRANSMIT-003318</t>
  </si>
  <si>
    <t>KPTG-TRANSMIT-003321</t>
  </si>
  <si>
    <t>KPTG-TRANSMIT-003324</t>
  </si>
  <si>
    <t>Auspan-TRANSMIT-000647: Re: L4 IFC Drawings</t>
  </si>
  <si>
    <t>Auspan-TRANSMIT-000551 Re Resubmit shop drawings for approval. Zone 3 and 5 level 4   1569</t>
  </si>
  <si>
    <t>IFC- Waiting for Oliver advise-KPTG-IntCorr-001366
KPTG-IntCorr-001368 -IFC L3 &amp; L4 drawings only.</t>
  </si>
  <si>
    <t>Registered and Transmitted -KPTG-TRANSMIT-003328</t>
  </si>
  <si>
    <t>KPTG-TRANSMIT-003329</t>
  </si>
  <si>
    <t>Auspan-TRANSMIT-000649 Re: Zone 1 RFi 91. Update IFCed shop drawings. Penos for overflow added</t>
  </si>
  <si>
    <t>IFC waiting for Kapitol advise - KPTG-IntCorr-001372</t>
  </si>
  <si>
    <r>
      <t xml:space="preserve">IFC- Waiting for Julianne and Brent advise-KPTG-IntCorr-001350 - 1 drawings ins on Hold
</t>
    </r>
    <r>
      <rPr>
        <b/>
        <sz val="11"/>
        <color theme="1"/>
        <rFont val="Calibri"/>
        <family val="2"/>
      </rPr>
      <t>ACC#1809 | WF-000835</t>
    </r>
  </si>
  <si>
    <t>Rejected- Difference in revision- KPTG-SADV-004453 - 2 Drawings
22 are OK TO IFC -KPTG-TRANSMIT-003330, 22 are rejected advised by Kapitol PC-KPTG-IntCorr-001367 
Published -22 
Total 46</t>
  </si>
  <si>
    <t xml:space="preserve">Rejected- Difference in revision- KPTG-SADV-004453 - 2 Drawings
22 are OK TO IFC -KPTG-TRANSMIT-003330, 22 are rejected advised by Kapitol PC-KPTG-IntCorr-001367 </t>
  </si>
  <si>
    <t>KPTG-IntCorr-001356- IFC- 1 drawing only - Drawing superseded by  Auspan-TRANSMIT-000648</t>
  </si>
  <si>
    <t>KPTG-TRANSMIT-003332</t>
  </si>
  <si>
    <t>IFC- Waiting for Oliver advise-KPTG-IntCorr-001366</t>
  </si>
  <si>
    <t>Auspan-TRANSMIT-000650: Precast shop drawings for construction. Level 3.</t>
  </si>
  <si>
    <t>Auspan-TRANSMIT-000651: Update IFCed precast shop drawings due to penos added. Level 4.</t>
  </si>
  <si>
    <t>Auspan-TRANSMIT-000652: Precast shop drawings for construction. Level 5.</t>
  </si>
  <si>
    <t>Auspan-TRANSMIT-000653: Precast shop drawings for construction. Level 6</t>
  </si>
  <si>
    <t>Auspan-TRANSMIT-000654: Update IFCed precast shop drawings. Level 4.</t>
  </si>
  <si>
    <t>Auspan-TRANSMIT-000655: Resubmit shop drawings for approval</t>
  </si>
  <si>
    <t>IFA - ACC#1819 | WF-000840</t>
  </si>
  <si>
    <t>Rejected - difference in status - KPTG-SADV-004498</t>
  </si>
  <si>
    <t>JCBa-TRANSMIT-000165 Updated Architectural Documentation - GA Plans, Door Schedule &amp; Door Elevations -1715</t>
  </si>
  <si>
    <t>IFC- Waiting for Oliver advise-KPTG-IntCorr-001377</t>
  </si>
  <si>
    <t>IFC- Waiting for Oliver advise-KPTG-IntCorr-001378</t>
  </si>
  <si>
    <t>M.2-TRANSMIT-000088: Carprark Ramp Lighting Lux Reports</t>
  </si>
  <si>
    <t>IFC- Waiting for Oliver advise-KPTG-IntCorr-001379</t>
  </si>
  <si>
    <t>KPTG-TRANSMIT-003335</t>
  </si>
  <si>
    <t>For Information - to be confirmed by Kapitol. KPTG-IntCorr-001380</t>
  </si>
  <si>
    <t>POTTSENG-TRANSMIT-000064 GMAC HYDRAULIC SERVICES - PENETRATION - LEVEL 01 - ZONE 3 LAYOUT -1683</t>
  </si>
  <si>
    <t>IFC- Waiting for Oliver advise-KPTG-IntCorr-001381</t>
  </si>
  <si>
    <t>Rinco-TRANSMIT-000070: Structural drawings Issued for Construction</t>
  </si>
  <si>
    <t>ACC#1821 |WF-000841</t>
  </si>
  <si>
    <t>FC- Waiting for Oliver advise-KPTG-IntCorr-001375
- No Action required.</t>
  </si>
  <si>
    <t xml:space="preserve">FC- Waiting for Oliver advise-KPTG-IntCorr-001375
- No Action required. - KPTG-IntCorr-001376 </t>
  </si>
  <si>
    <t>Rinco-TRANSMIT-000066 Structural drawings Issued for Construction -ACC#1656</t>
  </si>
  <si>
    <t>KPTG-TRANSMIT-003338</t>
  </si>
  <si>
    <t>KPTG-TRANSMIT-003339</t>
  </si>
  <si>
    <t>POTTSENG-TRANSMIT-000066 GMAC HYDRAULIC SERVICES - PENETRATION - LEVEL 02 - ZONE 4 LAYOUT  -1699</t>
  </si>
  <si>
    <t>POTTSENG-TRANSMIT-000065 GMAC HYDRAULIC SERVICES - PENETRATION - LEVELS 03-05 - ZONES 1-5 LAYOUTS -1687</t>
  </si>
  <si>
    <t>KPTG-TRANSMIT-003343</t>
  </si>
  <si>
    <t>Rinco-TRANSMIT-000065 L2 to L7 Drawings Update for RFI -1575</t>
  </si>
  <si>
    <t>M.2-TRANSMIT-000075 Electrical Services - B1, Ground and Level 6 lighting layouts  -1735</t>
  </si>
  <si>
    <t>IJF-TRANSMIT-000011 Joinery prototype drawings - Rev C3 -1803</t>
  </si>
  <si>
    <t>KPTG-TRANSMIT-003346</t>
  </si>
  <si>
    <t>KPTG-TRANSMIT-003349</t>
  </si>
  <si>
    <t>KPTG-TRANSMIT-003350</t>
  </si>
  <si>
    <t>KPTG-TRANSMIT-003353</t>
  </si>
  <si>
    <t>Auspan-TRANSMIT-000656: Precast panel 5P1034 for construction</t>
  </si>
  <si>
    <t>Auspan-TRANSMIT-000657: Re: Resubmit shop drawings for approval.</t>
  </si>
  <si>
    <t>Auspan-TRANSMIT-000658: Re: Corbel - Zone 4</t>
  </si>
  <si>
    <t>INDS-TRANSMIT-000068: L2 to L7 Zone 2 - Typical Floor Penetration Layout</t>
  </si>
  <si>
    <t>ACC#1824 | WF-000842</t>
  </si>
  <si>
    <t>Please IFC all except 4P5011 -KPTG-IntCorr-001384</t>
  </si>
  <si>
    <t>IFC- Waiting for Oliver advise-KPTG-IntCorr-001387</t>
  </si>
  <si>
    <t>IFC- Waiting for Oliver advise-KPTG-IntCorr-001388</t>
  </si>
  <si>
    <t>6 are registered and Transmit - KPTG-TRANSMIT-003357
Please IFC all except 4P5011 -KPTG-IntCorr-001384</t>
  </si>
  <si>
    <r>
      <t xml:space="preserve">Brent to advise -KPTG-IntCorr-001282
</t>
    </r>
    <r>
      <rPr>
        <b/>
        <sz val="11"/>
        <color theme="1"/>
        <rFont val="Calibri"/>
        <family val="2"/>
      </rPr>
      <t>WF-000843</t>
    </r>
  </si>
  <si>
    <t>KPTG-IntCorr-001391 - send to Stantec for review.</t>
  </si>
  <si>
    <t>ACC#1827 | WF-000844</t>
  </si>
  <si>
    <t>Auspan-TRANSMIT-000659: Re: Elevation 05</t>
  </si>
  <si>
    <t>Auspan-TRANSMIT-000660: Re: Corbel - Zone 4</t>
  </si>
  <si>
    <t>IFC 0 waiting for Oliver advise - KPTG-IntCorr-001392</t>
  </si>
  <si>
    <t>KPTG-TRANSMIT-003235 Balustrade &amp; Screen Shop Drawing Details IFA -1751</t>
  </si>
  <si>
    <t>IFC- Waiting for Oliver advise-KPTG-IntCorr-001393</t>
  </si>
  <si>
    <t>JCBa-TRANSMIT-000164 Updated Architectural Documentation - Partition Plans &amp; Partition Detail Sections -1697</t>
  </si>
  <si>
    <t>KPTG-IntCorr-001394: IJF approved samples - register documents</t>
  </si>
  <si>
    <t>KPTG-TRANSMIT-003361</t>
  </si>
  <si>
    <t>ArcadiaL-TRANSMIT-000004: Landscape Architectural -Eastern 2-way Road IFC drawings</t>
  </si>
  <si>
    <t>JCBa-TRANSMIT-000168: Updated Architectural Documentation - Joinery Details &amp; Joinery Schedules</t>
  </si>
  <si>
    <t>KPTG-TRANSMIT-003365</t>
  </si>
  <si>
    <t>Rejected due to incorrect revison - KPTG-DA-001833</t>
  </si>
  <si>
    <t>Rejected due to incorrect revison - DRAFT-012153</t>
  </si>
  <si>
    <t>KPTG-TRANSMIT-003368</t>
  </si>
  <si>
    <t>KPTG-TRANSMIT-003361 - Update register and transmit to Kapitol PC - Faye.</t>
  </si>
  <si>
    <t>Rejected due to incorrect revisIon - DRAFT-012153</t>
  </si>
  <si>
    <t>IJF-TRANSMIT-000013: Joinery - Kitchen Drawings - Delivery 2</t>
  </si>
  <si>
    <t>Auspan-TRANSMIT-000662: Precast dowel layout for level 3 up.</t>
  </si>
  <si>
    <t>Rejected due to drawing QA issues. - DRAFT-012157</t>
  </si>
  <si>
    <t xml:space="preserve">Rejected - difference in status and titles- DRAFT-012159
</t>
  </si>
  <si>
    <t>Rinco-TRANSMIT-000071: Structural drawings Issued for Construction</t>
  </si>
  <si>
    <t>Please IFC L3 Only - KPTG-IntCorr-001398</t>
  </si>
  <si>
    <t>NOT DONE</t>
  </si>
  <si>
    <t xml:space="preserve">IJF-TRANSMIT-000014: Joinery Drawings - Kitchens - Delivery 2 </t>
  </si>
  <si>
    <t>POTTSENG-TRANSMIT-000073: GMAC: HYDRAULIC SERVICES - DRAINAGE - BASEMENT 1 - ZONES 1-5 LAYOUTS</t>
  </si>
  <si>
    <t>ACC#1829 | WF-000846</t>
  </si>
  <si>
    <t>Review void as requested -KPTG-SADV-004555</t>
  </si>
  <si>
    <t>Rejected One drawing PDF is missing- KPTG-SADV-004555</t>
  </si>
  <si>
    <t>POTTSENG-TRANSMIT-000074: GMAC: HYDRAULIC SERVICES - DRAINAGE - BASEMENT 1 - ZONES 1--5 LAYOUTS</t>
  </si>
  <si>
    <t>ACC#1831 |WF-000847</t>
  </si>
  <si>
    <t>ACC#1833 | WF-000848</t>
  </si>
  <si>
    <t>IJF-TRANSMIT-000015: JO202 - Prototype Drawomh</t>
  </si>
  <si>
    <t>M.2-TRANSMIT-000089: Electrical Services Typical apartment show drawings</t>
  </si>
  <si>
    <t>KPTG-IntCorr-001401 -Please IFC drawings without comments</t>
  </si>
  <si>
    <t>KPTG-IntCorr-001400  -Please ifc drawings without comments on the attached</t>
  </si>
  <si>
    <t>KPTG-IntCorr-001402 - Please see attached and proceeed</t>
  </si>
  <si>
    <t>ACC#1837 |WF-000849</t>
  </si>
  <si>
    <t>22 ARE OK TO IFC- KPTG-TRANSMIT-003372
6 are Rejected advised by Kapitol PC:KPTG-IntCorr-001400</t>
  </si>
  <si>
    <t>29 ARE OK TO IFC- KPTG-TRANSMIT-003370
4 Drawings are updated and superseeded
14 are Rejected advised by Kapitol PC: KPTG-IntCorr-001401</t>
  </si>
  <si>
    <t>ACC#1839 | WF-000850</t>
  </si>
  <si>
    <t>POTTSENG-TRANSMIT-000071 GMAC HYDRAULIC SERVICES - DRAINAGE - BASEMENT 1 - ZONE 5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</si>
</sst>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charset val="134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333333"/>
      <name val="Helvetica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C00000"/>
      <name val="Calibri"/>
      <family val="2"/>
    </font>
    <font>
      <b/>
      <sz val="11"/>
      <name val="Calibri"/>
      <family val="2"/>
    </font>
    <font>
      <sz val="8"/>
      <name val="Aptos Narrow"/>
      <family val="2"/>
      <charset val="134"/>
      <scheme val="minor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3" borderId="2" xfId="0" applyFont="1" applyFill="1" applyBorder="1" applyAlignment="1">
      <alignment vertical="center"/>
    </xf>
    <xf numFmtId="14" fontId="1" fillId="3" borderId="3" xfId="0" applyNumberFormat="1" applyFont="1" applyFill="1" applyBorder="1" applyAlignment="1">
      <alignment horizontal="left" vertical="center"/>
    </xf>
    <xf numFmtId="14" fontId="1" fillId="3" borderId="3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5" fillId="7" borderId="1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8" borderId="1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vertical="center"/>
    </xf>
    <xf numFmtId="0" fontId="5" fillId="0" borderId="12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5795-9482-4EAC-A3B3-8DBCCC7A39BF}">
  <sheetPr>
    <pageSetUpPr fitToPage="1"/>
  </sheetPr>
  <dimension ref="A1:I53"/>
  <sheetViews>
    <sheetView zoomScale="85" zoomScaleNormal="85" workbookViewId="0">
      <selection activeCell="A6" sqref="A6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46237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3" customHeight="1" x14ac:dyDescent="0.15">
      <c r="A6" s="15" t="s">
        <v>60</v>
      </c>
      <c r="B6" s="16">
        <v>81</v>
      </c>
      <c r="C6" s="16">
        <v>0</v>
      </c>
      <c r="D6" s="30">
        <v>0</v>
      </c>
      <c r="E6" s="15" t="s">
        <v>71</v>
      </c>
      <c r="F6" s="15" t="s">
        <v>65</v>
      </c>
      <c r="G6" s="16">
        <v>81</v>
      </c>
      <c r="H6" s="16">
        <v>0</v>
      </c>
      <c r="I6" s="15" t="s">
        <v>72</v>
      </c>
    </row>
    <row r="7" spans="1:9" ht="60" x14ac:dyDescent="0.15">
      <c r="A7" s="15" t="s">
        <v>61</v>
      </c>
      <c r="B7" s="16">
        <v>5</v>
      </c>
      <c r="C7" s="16">
        <v>0</v>
      </c>
      <c r="D7" s="30">
        <v>0</v>
      </c>
      <c r="E7" s="15" t="s">
        <v>67</v>
      </c>
      <c r="F7" s="15" t="s">
        <v>66</v>
      </c>
      <c r="G7" s="16">
        <v>2</v>
      </c>
      <c r="H7" s="16">
        <v>0</v>
      </c>
      <c r="I7" s="15" t="s">
        <v>73</v>
      </c>
    </row>
    <row r="8" spans="1:9" ht="61.5" customHeight="1" x14ac:dyDescent="0.15">
      <c r="A8" s="15" t="s">
        <v>62</v>
      </c>
      <c r="B8" s="16">
        <v>12</v>
      </c>
      <c r="C8" s="16">
        <v>0</v>
      </c>
      <c r="D8" s="32">
        <v>12</v>
      </c>
      <c r="E8" s="15" t="s">
        <v>70</v>
      </c>
      <c r="F8" s="15" t="s">
        <v>68</v>
      </c>
      <c r="G8" s="16">
        <v>1</v>
      </c>
      <c r="H8" s="16">
        <v>0</v>
      </c>
      <c r="I8" s="15" t="s">
        <v>74</v>
      </c>
    </row>
    <row r="9" spans="1:9" ht="61.5" customHeight="1" x14ac:dyDescent="0.15">
      <c r="A9" s="15" t="s">
        <v>62</v>
      </c>
      <c r="B9" s="16">
        <v>1</v>
      </c>
      <c r="C9" s="16">
        <v>0</v>
      </c>
      <c r="D9" s="30">
        <v>0</v>
      </c>
      <c r="E9" s="15" t="s">
        <v>69</v>
      </c>
      <c r="F9" s="15" t="s">
        <v>63</v>
      </c>
      <c r="G9" s="16">
        <v>2</v>
      </c>
      <c r="H9" s="16">
        <v>0</v>
      </c>
      <c r="I9" s="15" t="s">
        <v>76</v>
      </c>
    </row>
    <row r="10" spans="1:9" ht="56.25" customHeight="1" x14ac:dyDescent="0.15">
      <c r="A10" s="15" t="s">
        <v>63</v>
      </c>
      <c r="B10" s="16">
        <v>13</v>
      </c>
      <c r="C10" s="16">
        <v>0</v>
      </c>
      <c r="D10" s="32">
        <v>13</v>
      </c>
      <c r="E10" s="15" t="s">
        <v>75</v>
      </c>
      <c r="F10" s="15" t="s">
        <v>62</v>
      </c>
      <c r="G10" s="16">
        <v>1</v>
      </c>
      <c r="H10" s="16">
        <v>0</v>
      </c>
      <c r="I10" s="15" t="s">
        <v>69</v>
      </c>
    </row>
    <row r="11" spans="1:9" ht="56.25" customHeight="1" x14ac:dyDescent="0.15">
      <c r="A11" s="15" t="s">
        <v>63</v>
      </c>
      <c r="B11" s="16">
        <v>2</v>
      </c>
      <c r="C11" s="16">
        <v>0</v>
      </c>
      <c r="D11" s="30">
        <v>0</v>
      </c>
      <c r="E11" s="15" t="s">
        <v>76</v>
      </c>
      <c r="F11" s="15"/>
      <c r="G11" s="16"/>
      <c r="H11" s="16"/>
      <c r="I11" s="15"/>
    </row>
    <row r="12" spans="1:9" ht="57.75" customHeight="1" x14ac:dyDescent="0.15">
      <c r="A12" s="15" t="s">
        <v>64</v>
      </c>
      <c r="B12" s="16">
        <v>5</v>
      </c>
      <c r="C12" s="16">
        <v>0</v>
      </c>
      <c r="D12" s="32">
        <v>5</v>
      </c>
      <c r="E12" s="15" t="s">
        <v>77</v>
      </c>
      <c r="F12" s="15"/>
      <c r="G12" s="16"/>
      <c r="H12" s="16"/>
      <c r="I12" s="15"/>
    </row>
    <row r="13" spans="1:9" ht="57" customHeight="1" x14ac:dyDescent="0.15">
      <c r="A13" s="15" t="s">
        <v>78</v>
      </c>
      <c r="B13" s="16">
        <v>1</v>
      </c>
      <c r="C13" s="16">
        <v>0</v>
      </c>
      <c r="D13" s="17">
        <v>0</v>
      </c>
      <c r="E13" s="15" t="s">
        <v>79</v>
      </c>
      <c r="F13" s="15"/>
      <c r="G13" s="16"/>
      <c r="H13" s="16"/>
      <c r="I13" s="15"/>
    </row>
    <row r="14" spans="1:9" ht="57" customHeight="1" x14ac:dyDescent="0.15">
      <c r="A14" s="15"/>
      <c r="B14" s="16"/>
      <c r="C14" s="16"/>
      <c r="D14" s="17"/>
      <c r="E14" s="15"/>
      <c r="F14" s="15"/>
      <c r="G14" s="16"/>
      <c r="H14" s="16"/>
      <c r="I14" s="15"/>
    </row>
    <row r="15" spans="1:9" ht="57" customHeight="1" x14ac:dyDescent="0.15">
      <c r="A15" s="15"/>
      <c r="B15" s="16"/>
      <c r="C15" s="16"/>
      <c r="D15" s="17"/>
      <c r="E15" s="15"/>
      <c r="F15" s="15"/>
      <c r="G15" s="16"/>
      <c r="H15" s="16"/>
      <c r="I15" s="15"/>
    </row>
    <row r="16" spans="1:9" ht="62.25" customHeight="1" x14ac:dyDescent="0.15">
      <c r="A16" s="15"/>
      <c r="B16" s="16"/>
      <c r="C16" s="16"/>
      <c r="D16" s="17"/>
      <c r="E16" s="15"/>
      <c r="F16" s="15"/>
      <c r="G16" s="16"/>
      <c r="H16" s="16"/>
      <c r="I16" s="15"/>
    </row>
    <row r="17" spans="1:9" ht="62.25" customHeight="1" x14ac:dyDescent="0.15">
      <c r="A17" s="15"/>
      <c r="B17" s="16"/>
      <c r="C17" s="16"/>
      <c r="D17" s="17"/>
      <c r="E17" s="15"/>
      <c r="F17" s="15"/>
      <c r="G17" s="16"/>
      <c r="H17" s="16"/>
      <c r="I17" s="15"/>
    </row>
    <row r="18" spans="1:9" ht="53.25" customHeight="1" x14ac:dyDescent="0.15">
      <c r="A18" s="15"/>
      <c r="B18" s="16"/>
      <c r="C18" s="16"/>
      <c r="D18" s="16"/>
      <c r="E18" s="15"/>
      <c r="F18" s="15"/>
      <c r="G18" s="16"/>
      <c r="H18" s="16"/>
      <c r="I18" s="15"/>
    </row>
    <row r="19" spans="1:9" ht="30" customHeight="1" x14ac:dyDescent="0.15">
      <c r="A19" s="28" t="s">
        <v>12</v>
      </c>
      <c r="B19" s="29">
        <f>SUM(B6:B18)</f>
        <v>120</v>
      </c>
      <c r="C19" s="29">
        <f>SUM(C6:C18)</f>
        <v>0</v>
      </c>
      <c r="D19" s="29">
        <f>SUM(D6:D18)</f>
        <v>30</v>
      </c>
      <c r="E19" s="29"/>
      <c r="F19" s="29"/>
      <c r="G19" s="29">
        <f>SUM(G6:G18)</f>
        <v>87</v>
      </c>
      <c r="H19" s="29">
        <f>SUM(H6:H18)</f>
        <v>0</v>
      </c>
      <c r="I19" s="29"/>
    </row>
    <row r="22" spans="1:9" ht="30" customHeight="1" x14ac:dyDescent="0.15">
      <c r="A22" s="43" t="s">
        <v>13</v>
      </c>
      <c r="B22" s="43"/>
      <c r="C22" s="43"/>
      <c r="D22" s="43"/>
      <c r="E22" s="43"/>
      <c r="F22" s="43"/>
    </row>
    <row r="23" spans="1:9" ht="30" customHeight="1" x14ac:dyDescent="0.15">
      <c r="A23" s="20" t="s">
        <v>7</v>
      </c>
      <c r="B23" s="18" t="s">
        <v>1</v>
      </c>
      <c r="C23" s="18" t="s">
        <v>11</v>
      </c>
      <c r="D23" s="19" t="s">
        <v>10</v>
      </c>
      <c r="E23" s="19" t="s">
        <v>6</v>
      </c>
      <c r="F23" s="35"/>
    </row>
    <row r="24" spans="1:9" ht="53.25" customHeight="1" x14ac:dyDescent="0.15">
      <c r="A24" s="15" t="s">
        <v>14</v>
      </c>
      <c r="B24" s="31">
        <v>46199</v>
      </c>
      <c r="C24" s="16">
        <v>2</v>
      </c>
      <c r="D24" s="33">
        <v>2</v>
      </c>
      <c r="E24" s="27" t="s">
        <v>15</v>
      </c>
      <c r="F24" s="45" t="s">
        <v>20</v>
      </c>
    </row>
    <row r="25" spans="1:9" ht="53.25" customHeight="1" x14ac:dyDescent="0.15">
      <c r="A25" s="15" t="s">
        <v>17</v>
      </c>
      <c r="B25" s="31">
        <v>46203</v>
      </c>
      <c r="C25" s="16">
        <v>34</v>
      </c>
      <c r="D25" s="33">
        <v>34</v>
      </c>
      <c r="E25" s="37" t="s">
        <v>16</v>
      </c>
      <c r="F25" s="45" t="s">
        <v>22</v>
      </c>
    </row>
    <row r="26" spans="1:9" ht="57.75" customHeight="1" x14ac:dyDescent="0.15">
      <c r="A26" s="15" t="s">
        <v>18</v>
      </c>
      <c r="B26" s="31">
        <v>46206</v>
      </c>
      <c r="C26" s="16">
        <v>1</v>
      </c>
      <c r="D26" s="33">
        <v>1</v>
      </c>
      <c r="E26" s="37" t="s">
        <v>19</v>
      </c>
      <c r="F26" s="45" t="s">
        <v>21</v>
      </c>
    </row>
    <row r="27" spans="1:9" ht="53.25" customHeight="1" x14ac:dyDescent="0.15">
      <c r="A27" s="15" t="s">
        <v>23</v>
      </c>
      <c r="B27" s="31">
        <v>46213</v>
      </c>
      <c r="C27" s="16">
        <v>46</v>
      </c>
      <c r="D27" s="33">
        <v>46</v>
      </c>
      <c r="E27" s="27" t="s">
        <v>24</v>
      </c>
      <c r="F27" s="34"/>
    </row>
    <row r="28" spans="1:9" ht="66.75" customHeight="1" x14ac:dyDescent="0.15">
      <c r="A28" s="27" t="s">
        <v>25</v>
      </c>
      <c r="B28" s="31">
        <v>46216</v>
      </c>
      <c r="C28" s="46">
        <v>30</v>
      </c>
      <c r="D28" s="36">
        <v>11</v>
      </c>
      <c r="E28" s="27" t="s">
        <v>27</v>
      </c>
      <c r="F28" s="45" t="s">
        <v>45</v>
      </c>
    </row>
    <row r="29" spans="1:9" ht="53.25" customHeight="1" x14ac:dyDescent="0.15">
      <c r="A29" s="15" t="s">
        <v>26</v>
      </c>
      <c r="B29" s="31">
        <v>46216</v>
      </c>
      <c r="C29" s="16">
        <v>6</v>
      </c>
      <c r="D29" s="32">
        <v>6</v>
      </c>
      <c r="E29" s="27" t="s">
        <v>28</v>
      </c>
      <c r="F29" s="45" t="s">
        <v>29</v>
      </c>
    </row>
    <row r="30" spans="1:9" ht="53.25" customHeight="1" x14ac:dyDescent="0.15">
      <c r="A30" s="49" t="s">
        <v>30</v>
      </c>
      <c r="B30" s="31">
        <v>46224</v>
      </c>
      <c r="C30" s="16">
        <v>1</v>
      </c>
      <c r="D30" s="33">
        <v>1</v>
      </c>
      <c r="E30" s="27" t="s">
        <v>31</v>
      </c>
      <c r="F30" s="34"/>
    </row>
    <row r="31" spans="1:9" ht="53.25" customHeight="1" x14ac:dyDescent="0.15">
      <c r="A31" s="15" t="s">
        <v>32</v>
      </c>
      <c r="B31" s="31">
        <v>46226</v>
      </c>
      <c r="C31" s="16">
        <v>20</v>
      </c>
      <c r="D31" s="33">
        <v>20</v>
      </c>
      <c r="E31" s="27" t="s">
        <v>33</v>
      </c>
      <c r="F31" s="34"/>
    </row>
    <row r="32" spans="1:9" ht="53.25" customHeight="1" x14ac:dyDescent="0.15">
      <c r="A32" s="15" t="s">
        <v>34</v>
      </c>
      <c r="B32" s="31">
        <v>46227</v>
      </c>
      <c r="C32" s="30">
        <v>28</v>
      </c>
      <c r="D32" s="32">
        <v>28</v>
      </c>
      <c r="E32" s="27" t="s">
        <v>35</v>
      </c>
      <c r="F32" s="34"/>
    </row>
    <row r="33" spans="1:6" ht="53.25" customHeight="1" x14ac:dyDescent="0.15">
      <c r="A33" s="15" t="s">
        <v>36</v>
      </c>
      <c r="B33" s="31">
        <v>46227</v>
      </c>
      <c r="C33" s="30">
        <v>2</v>
      </c>
      <c r="D33" s="36">
        <v>2</v>
      </c>
      <c r="E33" s="27" t="s">
        <v>37</v>
      </c>
      <c r="F33" s="34"/>
    </row>
    <row r="34" spans="1:6" ht="53.25" customHeight="1" x14ac:dyDescent="0.15">
      <c r="A34" s="26" t="s">
        <v>38</v>
      </c>
      <c r="B34" s="31">
        <v>46230</v>
      </c>
      <c r="C34" s="30">
        <v>25</v>
      </c>
      <c r="D34" s="32">
        <v>25</v>
      </c>
      <c r="E34" s="26" t="s">
        <v>39</v>
      </c>
      <c r="F34" s="34"/>
    </row>
    <row r="35" spans="1:6" ht="53.25" customHeight="1" x14ac:dyDescent="0.15">
      <c r="A35" s="26" t="s">
        <v>40</v>
      </c>
      <c r="B35" s="31">
        <v>46230</v>
      </c>
      <c r="C35" s="30">
        <v>2</v>
      </c>
      <c r="D35" s="32">
        <v>2</v>
      </c>
      <c r="E35" s="26" t="s">
        <v>41</v>
      </c>
      <c r="F35" s="34"/>
    </row>
    <row r="36" spans="1:6" ht="53.25" customHeight="1" x14ac:dyDescent="0.15">
      <c r="A36" s="26" t="s">
        <v>42</v>
      </c>
      <c r="B36" s="31">
        <v>46230</v>
      </c>
      <c r="C36" s="30">
        <v>3</v>
      </c>
      <c r="D36" s="32">
        <v>3</v>
      </c>
      <c r="E36" s="26" t="s">
        <v>43</v>
      </c>
      <c r="F36" s="34"/>
    </row>
    <row r="37" spans="1:6" ht="53.25" customHeight="1" x14ac:dyDescent="0.15">
      <c r="A37" s="26" t="s">
        <v>44</v>
      </c>
      <c r="B37" s="31">
        <v>46231</v>
      </c>
      <c r="C37" s="47">
        <v>4</v>
      </c>
      <c r="D37" s="32">
        <v>4</v>
      </c>
      <c r="E37" s="26" t="s">
        <v>46</v>
      </c>
      <c r="F37" s="34"/>
    </row>
    <row r="38" spans="1:6" ht="53.25" customHeight="1" x14ac:dyDescent="0.15">
      <c r="A38" s="15" t="s">
        <v>47</v>
      </c>
      <c r="B38" s="31">
        <v>46232</v>
      </c>
      <c r="C38" s="30">
        <v>6</v>
      </c>
      <c r="D38" s="32">
        <v>6</v>
      </c>
      <c r="E38" s="15" t="s">
        <v>48</v>
      </c>
      <c r="F38" s="34"/>
    </row>
    <row r="39" spans="1:6" ht="53.25" customHeight="1" x14ac:dyDescent="0.15">
      <c r="A39" s="49" t="s">
        <v>51</v>
      </c>
      <c r="B39" s="31">
        <v>46233</v>
      </c>
      <c r="C39" s="30">
        <v>10</v>
      </c>
      <c r="D39" s="32">
        <v>10</v>
      </c>
      <c r="E39" s="15" t="s">
        <v>52</v>
      </c>
      <c r="F39" s="34" t="s">
        <v>59</v>
      </c>
    </row>
    <row r="40" spans="1:6" ht="60.6" customHeight="1" x14ac:dyDescent="0.15">
      <c r="A40" s="15" t="s">
        <v>49</v>
      </c>
      <c r="B40" s="31">
        <v>46233</v>
      </c>
      <c r="C40" s="30">
        <v>2</v>
      </c>
      <c r="D40" s="32">
        <v>2</v>
      </c>
      <c r="E40" s="15" t="s">
        <v>50</v>
      </c>
      <c r="F40" s="34"/>
    </row>
    <row r="41" spans="1:6" ht="66.75" customHeight="1" x14ac:dyDescent="0.15">
      <c r="A41" s="15" t="s">
        <v>54</v>
      </c>
      <c r="B41" s="31">
        <v>46234</v>
      </c>
      <c r="C41" s="30">
        <v>1</v>
      </c>
      <c r="D41" s="32">
        <v>1</v>
      </c>
      <c r="E41" s="15" t="s">
        <v>55</v>
      </c>
      <c r="F41" s="48"/>
    </row>
    <row r="42" spans="1:6" ht="59.25" customHeight="1" x14ac:dyDescent="0.15">
      <c r="A42" s="15" t="s">
        <v>57</v>
      </c>
      <c r="B42" s="31">
        <v>46234</v>
      </c>
      <c r="C42" s="30">
        <v>5</v>
      </c>
      <c r="D42" s="32">
        <v>5</v>
      </c>
      <c r="E42" s="15" t="s">
        <v>58</v>
      </c>
      <c r="F42" s="34"/>
    </row>
    <row r="43" spans="1:6" ht="53.25" customHeight="1" x14ac:dyDescent="0.15">
      <c r="A43" s="15" t="s">
        <v>53</v>
      </c>
      <c r="B43" s="31">
        <v>46234</v>
      </c>
      <c r="C43" s="30">
        <v>28</v>
      </c>
      <c r="D43" s="32">
        <v>28</v>
      </c>
      <c r="E43" s="15" t="s">
        <v>56</v>
      </c>
      <c r="F43" s="34"/>
    </row>
    <row r="44" spans="1:6" ht="53.25" customHeight="1" x14ac:dyDescent="0.15">
      <c r="A44" s="26"/>
      <c r="B44" s="31"/>
      <c r="C44" s="47"/>
      <c r="D44" s="30"/>
      <c r="E44" s="26"/>
      <c r="F44" s="34"/>
    </row>
    <row r="45" spans="1:6" ht="53.25" customHeight="1" x14ac:dyDescent="0.15">
      <c r="A45" s="15"/>
      <c r="B45" s="31"/>
      <c r="C45" s="30"/>
      <c r="D45" s="30"/>
      <c r="E45" s="15"/>
      <c r="F45" s="34"/>
    </row>
    <row r="46" spans="1:6" ht="53.25" customHeight="1" x14ac:dyDescent="0.15">
      <c r="A46" s="15"/>
      <c r="B46" s="31"/>
      <c r="C46" s="16"/>
      <c r="D46" s="30"/>
      <c r="E46" s="15"/>
      <c r="F46" s="34"/>
    </row>
    <row r="47" spans="1:6" ht="75" customHeight="1" x14ac:dyDescent="0.15">
      <c r="A47" s="27"/>
      <c r="B47" s="31"/>
      <c r="C47" s="46"/>
      <c r="D47" s="46"/>
      <c r="E47" s="27"/>
      <c r="F47" s="34"/>
    </row>
    <row r="48" spans="1:6" ht="53.25" customHeight="1" x14ac:dyDescent="0.15">
      <c r="A48" s="27"/>
      <c r="B48" s="31"/>
      <c r="C48" s="30"/>
      <c r="D48" s="30"/>
      <c r="E48" s="27"/>
      <c r="F48" s="34"/>
    </row>
    <row r="49" spans="1:6" ht="53.25" customHeight="1" x14ac:dyDescent="0.15">
      <c r="A49" s="27"/>
      <c r="B49" s="31"/>
      <c r="C49" s="46"/>
      <c r="D49" s="46"/>
      <c r="E49" s="27"/>
      <c r="F49" s="34"/>
    </row>
    <row r="50" spans="1:6" ht="53.25" customHeight="1" x14ac:dyDescent="0.15">
      <c r="A50" s="15"/>
      <c r="B50" s="31"/>
      <c r="C50" s="16"/>
      <c r="D50" s="32"/>
      <c r="E50" s="27"/>
      <c r="F50" s="34"/>
    </row>
    <row r="51" spans="1:6" ht="38.25" customHeight="1" x14ac:dyDescent="0.15">
      <c r="A51" s="22" t="s">
        <v>12</v>
      </c>
      <c r="B51" s="21"/>
      <c r="C51" s="21">
        <f>SUM(C24:C50)</f>
        <v>256</v>
      </c>
      <c r="D51" s="21">
        <f>SUM(D24:D50)</f>
        <v>237</v>
      </c>
      <c r="E51" s="38"/>
      <c r="F51" s="39"/>
    </row>
    <row r="52" spans="1:6" ht="30" customHeight="1" x14ac:dyDescent="0.15">
      <c r="D52" s="44"/>
    </row>
    <row r="53" spans="1:6" ht="30" customHeight="1" x14ac:dyDescent="0.15">
      <c r="D53" s="44"/>
    </row>
  </sheetData>
  <pageMargins left="0.7" right="0.7" top="0.75" bottom="0.75" header="0.3" footer="0.3"/>
  <pageSetup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31D-1226-41EC-B729-6955062EC991}">
  <sheetPr>
    <pageSetUpPr fitToPage="1"/>
  </sheetPr>
  <dimension ref="A1:I61"/>
  <sheetViews>
    <sheetView zoomScale="85" zoomScaleNormal="85" workbookViewId="0">
      <selection activeCell="A54" sqref="A54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46238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3" customHeight="1" x14ac:dyDescent="0.15">
      <c r="A6" s="15" t="s">
        <v>80</v>
      </c>
      <c r="B6" s="16">
        <v>2</v>
      </c>
      <c r="C6" s="16">
        <v>0</v>
      </c>
      <c r="D6" s="32">
        <v>2</v>
      </c>
      <c r="E6" s="15" t="s">
        <v>89</v>
      </c>
      <c r="F6" s="15" t="s">
        <v>82</v>
      </c>
      <c r="G6" s="16">
        <v>11</v>
      </c>
      <c r="H6" s="16">
        <v>0</v>
      </c>
      <c r="I6" s="15" t="s">
        <v>83</v>
      </c>
    </row>
    <row r="7" spans="1:9" ht="61.5" customHeight="1" x14ac:dyDescent="0.15">
      <c r="A7" s="15" t="s">
        <v>81</v>
      </c>
      <c r="B7" s="16">
        <v>17</v>
      </c>
      <c r="C7" s="16">
        <v>0</v>
      </c>
      <c r="D7" s="32">
        <v>17</v>
      </c>
      <c r="E7" s="15" t="s">
        <v>84</v>
      </c>
      <c r="F7" s="15" t="s">
        <v>54</v>
      </c>
      <c r="G7" s="16">
        <v>1</v>
      </c>
      <c r="H7" s="16">
        <v>0</v>
      </c>
      <c r="I7" s="15" t="s">
        <v>100</v>
      </c>
    </row>
    <row r="8" spans="1:9" ht="56.25" customHeight="1" x14ac:dyDescent="0.15">
      <c r="A8" s="15" t="s">
        <v>82</v>
      </c>
      <c r="B8" s="16">
        <v>11</v>
      </c>
      <c r="C8" s="16">
        <v>0</v>
      </c>
      <c r="D8" s="30">
        <v>0</v>
      </c>
      <c r="E8" s="15" t="s">
        <v>83</v>
      </c>
      <c r="F8" s="15" t="s">
        <v>38</v>
      </c>
      <c r="G8" s="16">
        <v>25</v>
      </c>
      <c r="H8" s="16">
        <v>0</v>
      </c>
      <c r="I8" s="15" t="s">
        <v>122</v>
      </c>
    </row>
    <row r="9" spans="1:9" ht="57.75" customHeight="1" x14ac:dyDescent="0.15">
      <c r="A9" s="15" t="s">
        <v>93</v>
      </c>
      <c r="B9" s="16">
        <v>5</v>
      </c>
      <c r="C9" s="16">
        <v>0</v>
      </c>
      <c r="D9" s="17">
        <v>0</v>
      </c>
      <c r="E9" s="15" t="s">
        <v>127</v>
      </c>
      <c r="F9" s="15" t="s">
        <v>42</v>
      </c>
      <c r="G9" s="16">
        <v>3</v>
      </c>
      <c r="H9" s="16">
        <v>0</v>
      </c>
      <c r="I9" s="15" t="s">
        <v>101</v>
      </c>
    </row>
    <row r="10" spans="1:9" ht="57" customHeight="1" x14ac:dyDescent="0.15">
      <c r="A10" s="15" t="s">
        <v>109</v>
      </c>
      <c r="B10" s="16">
        <v>44</v>
      </c>
      <c r="C10" s="16">
        <v>0</v>
      </c>
      <c r="D10" s="17">
        <v>0</v>
      </c>
      <c r="E10" s="15" t="s">
        <v>118</v>
      </c>
      <c r="F10" s="15" t="s">
        <v>44</v>
      </c>
      <c r="G10" s="16">
        <v>4</v>
      </c>
      <c r="H10" s="16">
        <v>0</v>
      </c>
      <c r="I10" s="15" t="s">
        <v>102</v>
      </c>
    </row>
    <row r="11" spans="1:9" ht="57" customHeight="1" x14ac:dyDescent="0.15">
      <c r="A11" s="15" t="s">
        <v>112</v>
      </c>
      <c r="B11" s="16">
        <v>17</v>
      </c>
      <c r="C11" s="16">
        <v>0</v>
      </c>
      <c r="D11" s="17">
        <v>0</v>
      </c>
      <c r="E11" s="15" t="s">
        <v>126</v>
      </c>
      <c r="F11" s="15" t="s">
        <v>47</v>
      </c>
      <c r="G11" s="16">
        <v>6</v>
      </c>
      <c r="H11" s="16">
        <v>0</v>
      </c>
      <c r="I11" s="15" t="s">
        <v>103</v>
      </c>
    </row>
    <row r="12" spans="1:9" ht="57" customHeight="1" x14ac:dyDescent="0.15">
      <c r="A12" s="15"/>
      <c r="B12" s="16"/>
      <c r="C12" s="16"/>
      <c r="D12" s="17"/>
      <c r="E12" s="15"/>
      <c r="F12" s="15" t="s">
        <v>49</v>
      </c>
      <c r="G12" s="16">
        <v>2</v>
      </c>
      <c r="H12" s="16">
        <v>0</v>
      </c>
      <c r="I12" s="15" t="s">
        <v>108</v>
      </c>
    </row>
    <row r="13" spans="1:9" ht="62.25" customHeight="1" x14ac:dyDescent="0.15">
      <c r="A13" s="15"/>
      <c r="B13" s="16"/>
      <c r="C13" s="16"/>
      <c r="D13" s="17"/>
      <c r="E13" s="15"/>
      <c r="F13" s="15" t="s">
        <v>57</v>
      </c>
      <c r="G13" s="16">
        <v>5</v>
      </c>
      <c r="H13" s="16">
        <v>0</v>
      </c>
      <c r="I13" s="15" t="s">
        <v>107</v>
      </c>
    </row>
    <row r="14" spans="1:9" ht="62.25" customHeight="1" x14ac:dyDescent="0.15">
      <c r="A14" s="15"/>
      <c r="B14" s="16"/>
      <c r="C14" s="16"/>
      <c r="D14" s="17"/>
      <c r="E14" s="15"/>
      <c r="F14" s="15" t="s">
        <v>62</v>
      </c>
      <c r="G14" s="16">
        <v>12</v>
      </c>
      <c r="H14" s="16">
        <v>0</v>
      </c>
      <c r="I14" s="15" t="s">
        <v>110</v>
      </c>
    </row>
    <row r="15" spans="1:9" ht="62.25" customHeight="1" x14ac:dyDescent="0.15">
      <c r="A15" s="15"/>
      <c r="B15" s="16"/>
      <c r="C15" s="16"/>
      <c r="D15" s="17"/>
      <c r="E15" s="15"/>
      <c r="F15" s="15" t="s">
        <v>93</v>
      </c>
      <c r="G15" s="16">
        <v>5</v>
      </c>
      <c r="H15" s="16">
        <v>0</v>
      </c>
      <c r="I15" s="15" t="s">
        <v>94</v>
      </c>
    </row>
    <row r="16" spans="1:9" ht="62.25" customHeight="1" x14ac:dyDescent="0.15">
      <c r="A16" s="15"/>
      <c r="B16" s="16"/>
      <c r="C16" s="16"/>
      <c r="D16" s="17"/>
      <c r="E16" s="15"/>
      <c r="F16" s="15" t="s">
        <v>95</v>
      </c>
      <c r="G16" s="16">
        <v>1</v>
      </c>
      <c r="H16" s="16">
        <v>0</v>
      </c>
      <c r="I16" s="15" t="s">
        <v>104</v>
      </c>
    </row>
    <row r="17" spans="1:9" ht="62.25" customHeight="1" x14ac:dyDescent="0.15">
      <c r="A17" s="15"/>
      <c r="B17" s="16"/>
      <c r="C17" s="16"/>
      <c r="D17" s="17"/>
      <c r="E17" s="15"/>
      <c r="F17" s="15" t="s">
        <v>96</v>
      </c>
      <c r="G17" s="16">
        <v>2</v>
      </c>
      <c r="H17" s="16">
        <v>0</v>
      </c>
      <c r="I17" s="15" t="s">
        <v>105</v>
      </c>
    </row>
    <row r="18" spans="1:9" ht="62.25" customHeight="1" x14ac:dyDescent="0.15">
      <c r="A18" s="15"/>
      <c r="B18" s="16"/>
      <c r="C18" s="16"/>
      <c r="D18" s="17"/>
      <c r="E18" s="15"/>
      <c r="F18" s="15" t="s">
        <v>98</v>
      </c>
      <c r="G18" s="16">
        <v>1</v>
      </c>
      <c r="H18" s="16">
        <v>0</v>
      </c>
      <c r="I18" s="15" t="s">
        <v>106</v>
      </c>
    </row>
    <row r="19" spans="1:9" ht="62.25" customHeight="1" x14ac:dyDescent="0.15">
      <c r="A19" s="15"/>
      <c r="B19" s="16"/>
      <c r="C19" s="16"/>
      <c r="D19" s="17"/>
      <c r="E19" s="15"/>
      <c r="F19" s="15" t="s">
        <v>99</v>
      </c>
      <c r="G19" s="16">
        <v>2</v>
      </c>
      <c r="H19" s="16">
        <v>0</v>
      </c>
      <c r="I19" s="15" t="s">
        <v>116</v>
      </c>
    </row>
    <row r="20" spans="1:9" ht="62.25" customHeight="1" x14ac:dyDescent="0.15">
      <c r="A20" s="15"/>
      <c r="B20" s="16"/>
      <c r="C20" s="16"/>
      <c r="D20" s="17"/>
      <c r="E20" s="15"/>
      <c r="F20" s="15" t="s">
        <v>111</v>
      </c>
      <c r="G20" s="16">
        <v>32</v>
      </c>
      <c r="H20" s="16">
        <v>0</v>
      </c>
      <c r="I20" s="15" t="s">
        <v>117</v>
      </c>
    </row>
    <row r="21" spans="1:9" ht="62.25" customHeight="1" x14ac:dyDescent="0.15">
      <c r="A21" s="15"/>
      <c r="B21" s="16"/>
      <c r="C21" s="16"/>
      <c r="D21" s="17"/>
      <c r="E21" s="15"/>
      <c r="F21" s="15" t="s">
        <v>113</v>
      </c>
      <c r="G21" s="16">
        <v>35</v>
      </c>
      <c r="H21" s="16">
        <v>0</v>
      </c>
      <c r="I21" s="15" t="s">
        <v>119</v>
      </c>
    </row>
    <row r="22" spans="1:9" ht="62.25" customHeight="1" x14ac:dyDescent="0.15">
      <c r="A22" s="15"/>
      <c r="B22" s="16"/>
      <c r="C22" s="16"/>
      <c r="D22" s="17"/>
      <c r="E22" s="15"/>
      <c r="F22" s="15" t="s">
        <v>114</v>
      </c>
      <c r="G22" s="16">
        <v>20</v>
      </c>
      <c r="H22" s="16">
        <v>0</v>
      </c>
      <c r="I22" s="15" t="s">
        <v>123</v>
      </c>
    </row>
    <row r="23" spans="1:9" ht="62.25" customHeight="1" x14ac:dyDescent="0.15">
      <c r="A23" s="15"/>
      <c r="B23" s="16"/>
      <c r="C23" s="16"/>
      <c r="D23" s="17"/>
      <c r="E23" s="15"/>
      <c r="F23" s="15" t="s">
        <v>115</v>
      </c>
      <c r="G23" s="16">
        <v>1</v>
      </c>
      <c r="H23" s="16">
        <v>0</v>
      </c>
      <c r="I23" s="15" t="s">
        <v>124</v>
      </c>
    </row>
    <row r="24" spans="1:9" ht="62.25" customHeight="1" x14ac:dyDescent="0.15">
      <c r="A24" s="15"/>
      <c r="B24" s="16"/>
      <c r="C24" s="16"/>
      <c r="D24" s="17"/>
      <c r="E24" s="15"/>
      <c r="F24" s="15" t="s">
        <v>120</v>
      </c>
      <c r="G24" s="16">
        <v>2</v>
      </c>
      <c r="H24" s="16">
        <v>0</v>
      </c>
      <c r="I24" s="15" t="s">
        <v>125</v>
      </c>
    </row>
    <row r="25" spans="1:9" ht="62.25" customHeight="1" x14ac:dyDescent="0.15">
      <c r="A25" s="15"/>
      <c r="B25" s="16"/>
      <c r="C25" s="16"/>
      <c r="D25" s="17"/>
      <c r="E25" s="15"/>
      <c r="F25" s="15"/>
      <c r="G25" s="16"/>
      <c r="H25" s="16"/>
      <c r="I25" s="15"/>
    </row>
    <row r="26" spans="1:9" ht="53.25" customHeight="1" x14ac:dyDescent="0.15">
      <c r="A26" s="15"/>
      <c r="B26" s="16"/>
      <c r="C26" s="16"/>
      <c r="D26" s="16"/>
      <c r="E26" s="15"/>
      <c r="F26" s="15"/>
      <c r="G26" s="16"/>
      <c r="H26" s="16"/>
      <c r="I26" s="15"/>
    </row>
    <row r="27" spans="1:9" ht="30" customHeight="1" x14ac:dyDescent="0.15">
      <c r="A27" s="28" t="s">
        <v>12</v>
      </c>
      <c r="B27" s="29">
        <f>SUM(B6:B26)</f>
        <v>96</v>
      </c>
      <c r="C27" s="29">
        <f>SUM(C6:C26)</f>
        <v>0</v>
      </c>
      <c r="D27" s="29">
        <f>SUM(D6:D26)</f>
        <v>19</v>
      </c>
      <c r="E27" s="29"/>
      <c r="F27" s="29"/>
      <c r="G27" s="29">
        <f>SUM(G6:G26)</f>
        <v>170</v>
      </c>
      <c r="H27" s="29">
        <f>SUM(H6:H26)</f>
        <v>0</v>
      </c>
      <c r="I27" s="29"/>
    </row>
    <row r="30" spans="1:9" ht="30" customHeight="1" x14ac:dyDescent="0.15">
      <c r="A30" s="43" t="s">
        <v>13</v>
      </c>
      <c r="B30" s="43"/>
      <c r="C30" s="43"/>
      <c r="D30" s="43"/>
      <c r="E30" s="43"/>
      <c r="F30" s="43"/>
    </row>
    <row r="31" spans="1:9" ht="30" customHeight="1" x14ac:dyDescent="0.15">
      <c r="A31" s="20" t="s">
        <v>7</v>
      </c>
      <c r="B31" s="18" t="s">
        <v>1</v>
      </c>
      <c r="C31" s="18" t="s">
        <v>11</v>
      </c>
      <c r="D31" s="19" t="s">
        <v>10</v>
      </c>
      <c r="E31" s="19" t="s">
        <v>6</v>
      </c>
      <c r="F31" s="35"/>
    </row>
    <row r="32" spans="1:9" ht="53.25" customHeight="1" x14ac:dyDescent="0.15">
      <c r="A32" s="15" t="s">
        <v>14</v>
      </c>
      <c r="B32" s="31">
        <v>46199</v>
      </c>
      <c r="C32" s="16">
        <v>2</v>
      </c>
      <c r="D32" s="33">
        <v>2</v>
      </c>
      <c r="E32" s="27" t="s">
        <v>15</v>
      </c>
      <c r="F32" s="45" t="s">
        <v>20</v>
      </c>
    </row>
    <row r="33" spans="1:6" ht="53.25" customHeight="1" x14ac:dyDescent="0.15">
      <c r="A33" s="15" t="s">
        <v>17</v>
      </c>
      <c r="B33" s="31">
        <v>46203</v>
      </c>
      <c r="C33" s="16">
        <v>34</v>
      </c>
      <c r="D33" s="33">
        <v>34</v>
      </c>
      <c r="E33" s="37" t="s">
        <v>16</v>
      </c>
      <c r="F33" s="45" t="s">
        <v>22</v>
      </c>
    </row>
    <row r="34" spans="1:6" ht="57.75" customHeight="1" x14ac:dyDescent="0.15">
      <c r="A34" s="15" t="s">
        <v>18</v>
      </c>
      <c r="B34" s="31">
        <v>46206</v>
      </c>
      <c r="C34" s="16">
        <v>1</v>
      </c>
      <c r="D34" s="33">
        <v>1</v>
      </c>
      <c r="E34" s="37" t="s">
        <v>19</v>
      </c>
      <c r="F34" s="45" t="s">
        <v>21</v>
      </c>
    </row>
    <row r="35" spans="1:6" ht="53.25" customHeight="1" x14ac:dyDescent="0.15">
      <c r="A35" s="15" t="s">
        <v>23</v>
      </c>
      <c r="B35" s="31">
        <v>46213</v>
      </c>
      <c r="C35" s="16">
        <v>46</v>
      </c>
      <c r="D35" s="33">
        <v>46</v>
      </c>
      <c r="E35" s="27" t="s">
        <v>24</v>
      </c>
      <c r="F35" s="34"/>
    </row>
    <row r="36" spans="1:6" ht="66.75" customHeight="1" x14ac:dyDescent="0.15">
      <c r="A36" s="27" t="s">
        <v>25</v>
      </c>
      <c r="B36" s="31">
        <v>46216</v>
      </c>
      <c r="C36" s="46">
        <v>30</v>
      </c>
      <c r="D36" s="36">
        <v>11</v>
      </c>
      <c r="E36" s="27" t="s">
        <v>27</v>
      </c>
      <c r="F36" s="45" t="s">
        <v>45</v>
      </c>
    </row>
    <row r="37" spans="1:6" ht="53.25" customHeight="1" x14ac:dyDescent="0.15">
      <c r="A37" s="15" t="s">
        <v>26</v>
      </c>
      <c r="B37" s="31">
        <v>46216</v>
      </c>
      <c r="C37" s="16">
        <v>6</v>
      </c>
      <c r="D37" s="32">
        <v>6</v>
      </c>
      <c r="E37" s="27" t="s">
        <v>28</v>
      </c>
      <c r="F37" s="45" t="s">
        <v>29</v>
      </c>
    </row>
    <row r="38" spans="1:6" ht="53.25" customHeight="1" x14ac:dyDescent="0.15">
      <c r="A38" s="49" t="s">
        <v>30</v>
      </c>
      <c r="B38" s="31">
        <v>46224</v>
      </c>
      <c r="C38" s="16">
        <v>1</v>
      </c>
      <c r="D38" s="33">
        <v>1</v>
      </c>
      <c r="E38" s="27" t="s">
        <v>31</v>
      </c>
      <c r="F38" s="34"/>
    </row>
    <row r="39" spans="1:6" ht="53.25" customHeight="1" x14ac:dyDescent="0.15">
      <c r="A39" s="15" t="s">
        <v>32</v>
      </c>
      <c r="B39" s="31">
        <v>46226</v>
      </c>
      <c r="C39" s="16">
        <v>20</v>
      </c>
      <c r="D39" s="33">
        <v>20</v>
      </c>
      <c r="E39" s="27" t="s">
        <v>33</v>
      </c>
      <c r="F39" s="34"/>
    </row>
    <row r="40" spans="1:6" ht="53.25" customHeight="1" x14ac:dyDescent="0.15">
      <c r="A40" s="15" t="s">
        <v>34</v>
      </c>
      <c r="B40" s="31">
        <v>46227</v>
      </c>
      <c r="C40" s="30">
        <v>28</v>
      </c>
      <c r="D40" s="32">
        <v>28</v>
      </c>
      <c r="E40" s="27" t="s">
        <v>35</v>
      </c>
      <c r="F40" s="34"/>
    </row>
    <row r="41" spans="1:6" ht="53.25" customHeight="1" x14ac:dyDescent="0.15">
      <c r="A41" s="15" t="s">
        <v>36</v>
      </c>
      <c r="B41" s="31">
        <v>46227</v>
      </c>
      <c r="C41" s="30">
        <v>2</v>
      </c>
      <c r="D41" s="36">
        <v>2</v>
      </c>
      <c r="E41" s="27" t="s">
        <v>37</v>
      </c>
      <c r="F41" s="34"/>
    </row>
    <row r="42" spans="1:6" ht="53.25" customHeight="1" x14ac:dyDescent="0.15">
      <c r="A42" s="26" t="s">
        <v>40</v>
      </c>
      <c r="B42" s="31">
        <v>46230</v>
      </c>
      <c r="C42" s="30">
        <v>2</v>
      </c>
      <c r="D42" s="32">
        <v>2</v>
      </c>
      <c r="E42" s="26" t="s">
        <v>41</v>
      </c>
      <c r="F42" s="34"/>
    </row>
    <row r="43" spans="1:6" ht="53.25" customHeight="1" x14ac:dyDescent="0.15">
      <c r="A43" s="15" t="s">
        <v>53</v>
      </c>
      <c r="B43" s="31">
        <v>46234</v>
      </c>
      <c r="C43" s="30">
        <v>28</v>
      </c>
      <c r="D43" s="32">
        <v>28</v>
      </c>
      <c r="E43" s="15" t="s">
        <v>56</v>
      </c>
      <c r="F43" s="34"/>
    </row>
    <row r="44" spans="1:6" ht="53.25" customHeight="1" x14ac:dyDescent="0.15">
      <c r="A44" s="15" t="s">
        <v>63</v>
      </c>
      <c r="B44" s="31">
        <v>46237</v>
      </c>
      <c r="C44" s="30">
        <v>13</v>
      </c>
      <c r="D44" s="32">
        <v>13</v>
      </c>
      <c r="E44" s="15" t="s">
        <v>75</v>
      </c>
      <c r="F44" s="34"/>
    </row>
    <row r="45" spans="1:6" ht="53.25" customHeight="1" x14ac:dyDescent="0.15">
      <c r="A45" s="15" t="s">
        <v>64</v>
      </c>
      <c r="B45" s="31">
        <v>46237</v>
      </c>
      <c r="C45" s="30">
        <v>5</v>
      </c>
      <c r="D45" s="32">
        <v>5</v>
      </c>
      <c r="E45" s="15" t="s">
        <v>77</v>
      </c>
      <c r="F45" s="34"/>
    </row>
    <row r="46" spans="1:6" ht="66.75" customHeight="1" x14ac:dyDescent="0.15">
      <c r="A46" s="15" t="s">
        <v>54</v>
      </c>
      <c r="B46" s="31">
        <v>46234</v>
      </c>
      <c r="C46" s="30">
        <v>1</v>
      </c>
      <c r="D46" s="30">
        <v>0</v>
      </c>
      <c r="E46" s="15" t="s">
        <v>55</v>
      </c>
      <c r="F46" s="34" t="s">
        <v>85</v>
      </c>
    </row>
    <row r="47" spans="1:6" ht="53.25" customHeight="1" x14ac:dyDescent="0.15">
      <c r="A47" s="26" t="s">
        <v>38</v>
      </c>
      <c r="B47" s="31">
        <v>46230</v>
      </c>
      <c r="C47" s="30">
        <v>25</v>
      </c>
      <c r="D47" s="30">
        <v>0</v>
      </c>
      <c r="E47" s="26" t="s">
        <v>39</v>
      </c>
      <c r="F47" s="34" t="s">
        <v>121</v>
      </c>
    </row>
    <row r="48" spans="1:6" ht="53.25" customHeight="1" x14ac:dyDescent="0.15">
      <c r="A48" s="26" t="s">
        <v>42</v>
      </c>
      <c r="B48" s="31">
        <v>46230</v>
      </c>
      <c r="C48" s="30">
        <v>3</v>
      </c>
      <c r="D48" s="30">
        <v>0</v>
      </c>
      <c r="E48" s="26" t="s">
        <v>43</v>
      </c>
      <c r="F48" s="34" t="s">
        <v>86</v>
      </c>
    </row>
    <row r="49" spans="1:6" ht="53.25" customHeight="1" x14ac:dyDescent="0.15">
      <c r="A49" s="26" t="s">
        <v>44</v>
      </c>
      <c r="B49" s="31">
        <v>46231</v>
      </c>
      <c r="C49" s="47">
        <v>4</v>
      </c>
      <c r="D49" s="30">
        <v>0</v>
      </c>
      <c r="E49" s="26" t="s">
        <v>46</v>
      </c>
      <c r="F49" s="34" t="s">
        <v>87</v>
      </c>
    </row>
    <row r="50" spans="1:6" ht="53.25" customHeight="1" x14ac:dyDescent="0.15">
      <c r="A50" s="15" t="s">
        <v>47</v>
      </c>
      <c r="B50" s="31">
        <v>46232</v>
      </c>
      <c r="C50" s="30">
        <v>6</v>
      </c>
      <c r="D50" s="30">
        <v>0</v>
      </c>
      <c r="E50" s="15" t="s">
        <v>48</v>
      </c>
      <c r="F50" s="34" t="s">
        <v>88</v>
      </c>
    </row>
    <row r="51" spans="1:6" ht="60.6" customHeight="1" x14ac:dyDescent="0.15">
      <c r="A51" s="15" t="s">
        <v>49</v>
      </c>
      <c r="B51" s="31">
        <v>46233</v>
      </c>
      <c r="C51" s="30">
        <v>2</v>
      </c>
      <c r="D51" s="30">
        <v>0</v>
      </c>
      <c r="E51" s="15" t="s">
        <v>50</v>
      </c>
      <c r="F51" s="34" t="s">
        <v>90</v>
      </c>
    </row>
    <row r="52" spans="1:6" ht="59.25" customHeight="1" x14ac:dyDescent="0.15">
      <c r="A52" s="15" t="s">
        <v>57</v>
      </c>
      <c r="B52" s="31">
        <v>46234</v>
      </c>
      <c r="C52" s="30">
        <v>5</v>
      </c>
      <c r="D52" s="30">
        <v>0</v>
      </c>
      <c r="E52" s="15" t="s">
        <v>58</v>
      </c>
      <c r="F52" s="34" t="s">
        <v>91</v>
      </c>
    </row>
    <row r="53" spans="1:6" ht="53.25" customHeight="1" x14ac:dyDescent="0.15">
      <c r="A53" s="15" t="s">
        <v>62</v>
      </c>
      <c r="B53" s="31">
        <v>46237</v>
      </c>
      <c r="C53" s="30">
        <v>12</v>
      </c>
      <c r="D53" s="30">
        <v>0</v>
      </c>
      <c r="E53" s="15" t="s">
        <v>70</v>
      </c>
      <c r="F53" s="34" t="s">
        <v>92</v>
      </c>
    </row>
    <row r="54" spans="1:6" ht="53.25" customHeight="1" x14ac:dyDescent="0.15">
      <c r="A54" s="15" t="s">
        <v>51</v>
      </c>
      <c r="B54" s="31">
        <v>46233</v>
      </c>
      <c r="C54" s="30">
        <v>10</v>
      </c>
      <c r="D54" s="30">
        <v>0</v>
      </c>
      <c r="E54" s="15" t="s">
        <v>97</v>
      </c>
      <c r="F54" s="34" t="s">
        <v>59</v>
      </c>
    </row>
    <row r="55" spans="1:6" ht="75" customHeight="1" x14ac:dyDescent="0.15">
      <c r="A55" s="27"/>
      <c r="B55" s="31"/>
      <c r="C55" s="46"/>
      <c r="D55" s="46"/>
      <c r="E55" s="27"/>
      <c r="F55" s="34"/>
    </row>
    <row r="56" spans="1:6" ht="53.25" customHeight="1" x14ac:dyDescent="0.15">
      <c r="A56" s="27"/>
      <c r="B56" s="31"/>
      <c r="C56" s="30"/>
      <c r="D56" s="30"/>
      <c r="E56" s="27"/>
      <c r="F56" s="34"/>
    </row>
    <row r="57" spans="1:6" ht="53.25" customHeight="1" x14ac:dyDescent="0.15">
      <c r="A57" s="27"/>
      <c r="B57" s="31"/>
      <c r="C57" s="46"/>
      <c r="D57" s="46"/>
      <c r="E57" s="27"/>
      <c r="F57" s="34"/>
    </row>
    <row r="58" spans="1:6" ht="53.25" customHeight="1" x14ac:dyDescent="0.15">
      <c r="A58" s="15"/>
      <c r="B58" s="31"/>
      <c r="C58" s="16"/>
      <c r="D58" s="32"/>
      <c r="E58" s="27"/>
      <c r="F58" s="34"/>
    </row>
    <row r="59" spans="1:6" ht="38.25" customHeight="1" x14ac:dyDescent="0.15">
      <c r="A59" s="22" t="s">
        <v>12</v>
      </c>
      <c r="B59" s="21"/>
      <c r="C59" s="21">
        <f>SUM(C32:C58)</f>
        <v>286</v>
      </c>
      <c r="D59" s="21">
        <f>SUM(D32:D58)</f>
        <v>199</v>
      </c>
      <c r="E59" s="38"/>
      <c r="F59" s="39"/>
    </row>
    <row r="60" spans="1:6" ht="30" customHeight="1" x14ac:dyDescent="0.15">
      <c r="D60" s="44"/>
    </row>
    <row r="61" spans="1:6" ht="30" customHeight="1" x14ac:dyDescent="0.15">
      <c r="D61" s="44"/>
    </row>
  </sheetData>
  <pageMargins left="0.7" right="0.7" top="0.75" bottom="0.75" header="0.3" footer="0.3"/>
  <pageSetup scale="3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1524-7286-4975-99C9-8774A1D0CC29}">
  <sheetPr>
    <pageSetUpPr fitToPage="1"/>
  </sheetPr>
  <dimension ref="A1:J51"/>
  <sheetViews>
    <sheetView zoomScale="85" zoomScaleNormal="85" workbookViewId="0">
      <selection activeCell="A7" sqref="A7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10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10" s="1" customFormat="1" ht="30" customHeight="1" x14ac:dyDescent="0.15">
      <c r="A2" s="4" t="s">
        <v>1</v>
      </c>
      <c r="B2" s="5">
        <v>46239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10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10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10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10" ht="63" customHeight="1" x14ac:dyDescent="0.15">
      <c r="A6" s="15" t="s">
        <v>128</v>
      </c>
      <c r="B6" s="16">
        <v>2</v>
      </c>
      <c r="C6" s="16">
        <v>0</v>
      </c>
      <c r="D6" s="32">
        <v>2</v>
      </c>
      <c r="E6" s="15" t="s">
        <v>130</v>
      </c>
      <c r="F6" s="15" t="s">
        <v>132</v>
      </c>
      <c r="G6" s="16">
        <v>6</v>
      </c>
      <c r="H6" s="16">
        <v>0</v>
      </c>
      <c r="I6" s="15" t="s">
        <v>133</v>
      </c>
    </row>
    <row r="7" spans="1:10" ht="61.5" customHeight="1" x14ac:dyDescent="0.15">
      <c r="A7" s="15" t="s">
        <v>129</v>
      </c>
      <c r="B7" s="16">
        <v>5</v>
      </c>
      <c r="C7" s="16">
        <v>0</v>
      </c>
      <c r="D7" s="32">
        <v>5</v>
      </c>
      <c r="E7" s="15" t="s">
        <v>131</v>
      </c>
      <c r="F7" s="15" t="s">
        <v>80</v>
      </c>
      <c r="G7" s="16">
        <v>2</v>
      </c>
      <c r="H7" s="16">
        <v>0</v>
      </c>
      <c r="I7" s="15" t="s">
        <v>135</v>
      </c>
      <c r="J7" s="50" t="s">
        <v>136</v>
      </c>
    </row>
    <row r="8" spans="1:10" ht="56.25" customHeight="1" x14ac:dyDescent="0.15">
      <c r="A8" s="15"/>
      <c r="B8" s="16"/>
      <c r="C8" s="16"/>
      <c r="D8" s="30"/>
      <c r="E8" s="15"/>
      <c r="F8" s="15"/>
      <c r="G8" s="16"/>
      <c r="H8" s="16"/>
      <c r="I8" s="15"/>
    </row>
    <row r="9" spans="1:10" ht="62.25" customHeight="1" x14ac:dyDescent="0.15">
      <c r="A9" s="15"/>
      <c r="B9" s="16"/>
      <c r="C9" s="16"/>
      <c r="D9" s="17"/>
      <c r="E9" s="15"/>
      <c r="F9" s="15"/>
      <c r="G9" s="16"/>
      <c r="H9" s="16"/>
      <c r="I9" s="15"/>
    </row>
    <row r="10" spans="1:10" ht="62.25" customHeight="1" x14ac:dyDescent="0.15">
      <c r="A10" s="15"/>
      <c r="B10" s="16"/>
      <c r="C10" s="16"/>
      <c r="D10" s="17"/>
      <c r="E10" s="15"/>
      <c r="F10" s="15"/>
      <c r="G10" s="16"/>
      <c r="H10" s="16"/>
      <c r="I10" s="15"/>
    </row>
    <row r="11" spans="1:10" ht="62.25" customHeight="1" x14ac:dyDescent="0.15">
      <c r="A11" s="15"/>
      <c r="B11" s="16"/>
      <c r="C11" s="16"/>
      <c r="D11" s="17"/>
      <c r="E11" s="15"/>
      <c r="F11" s="15"/>
      <c r="G11" s="16"/>
      <c r="H11" s="16"/>
      <c r="I11" s="15"/>
    </row>
    <row r="12" spans="1:10" ht="62.25" customHeight="1" x14ac:dyDescent="0.15">
      <c r="A12" s="15"/>
      <c r="B12" s="16"/>
      <c r="C12" s="16"/>
      <c r="D12" s="17"/>
      <c r="E12" s="15"/>
      <c r="F12" s="15"/>
      <c r="G12" s="16"/>
      <c r="H12" s="16"/>
      <c r="I12" s="15"/>
    </row>
    <row r="13" spans="1:10" ht="62.25" customHeight="1" x14ac:dyDescent="0.15">
      <c r="A13" s="15"/>
      <c r="B13" s="16"/>
      <c r="C13" s="16"/>
      <c r="D13" s="17"/>
      <c r="E13" s="15"/>
      <c r="F13" s="15"/>
      <c r="G13" s="16"/>
      <c r="H13" s="16"/>
      <c r="I13" s="15"/>
    </row>
    <row r="14" spans="1:10" ht="62.25" customHeight="1" x14ac:dyDescent="0.15">
      <c r="A14" s="15"/>
      <c r="B14" s="16"/>
      <c r="C14" s="16"/>
      <c r="D14" s="17"/>
      <c r="E14" s="15"/>
      <c r="F14" s="15"/>
      <c r="G14" s="16"/>
      <c r="H14" s="16"/>
      <c r="I14" s="15"/>
    </row>
    <row r="15" spans="1:10" ht="62.25" customHeight="1" x14ac:dyDescent="0.15">
      <c r="A15" s="15"/>
      <c r="B15" s="16"/>
      <c r="C15" s="16"/>
      <c r="D15" s="17"/>
      <c r="E15" s="15"/>
      <c r="F15" s="15"/>
      <c r="G15" s="16"/>
      <c r="H15" s="16"/>
      <c r="I15" s="15"/>
    </row>
    <row r="16" spans="1:10" ht="53.25" customHeight="1" x14ac:dyDescent="0.15">
      <c r="A16" s="15"/>
      <c r="B16" s="16"/>
      <c r="C16" s="16"/>
      <c r="D16" s="16"/>
      <c r="E16" s="15"/>
      <c r="F16" s="15"/>
      <c r="G16" s="16"/>
      <c r="H16" s="16"/>
      <c r="I16" s="15"/>
    </row>
    <row r="17" spans="1:9" ht="30" customHeight="1" x14ac:dyDescent="0.15">
      <c r="A17" s="28" t="s">
        <v>12</v>
      </c>
      <c r="B17" s="29">
        <f>SUM(B6:B16)</f>
        <v>7</v>
      </c>
      <c r="C17" s="29">
        <f>SUM(C6:C16)</f>
        <v>0</v>
      </c>
      <c r="D17" s="29">
        <f>SUM(D6:D16)</f>
        <v>7</v>
      </c>
      <c r="E17" s="29"/>
      <c r="F17" s="29"/>
      <c r="G17" s="29">
        <f>SUM(G6:G16)</f>
        <v>8</v>
      </c>
      <c r="H17" s="29">
        <f>SUM(H6:H16)</f>
        <v>0</v>
      </c>
      <c r="I17" s="29"/>
    </row>
    <row r="20" spans="1:9" ht="30" customHeight="1" x14ac:dyDescent="0.15">
      <c r="A20" s="43" t="s">
        <v>13</v>
      </c>
      <c r="B20" s="43"/>
      <c r="C20" s="43"/>
      <c r="D20" s="43"/>
      <c r="E20" s="43"/>
      <c r="F20" s="43"/>
    </row>
    <row r="21" spans="1:9" ht="30" customHeight="1" x14ac:dyDescent="0.15">
      <c r="A21" s="20" t="s">
        <v>7</v>
      </c>
      <c r="B21" s="18" t="s">
        <v>1</v>
      </c>
      <c r="C21" s="18" t="s">
        <v>11</v>
      </c>
      <c r="D21" s="19" t="s">
        <v>10</v>
      </c>
      <c r="E21" s="19" t="s">
        <v>6</v>
      </c>
      <c r="F21" s="35"/>
    </row>
    <row r="22" spans="1:9" ht="53.25" customHeight="1" x14ac:dyDescent="0.15">
      <c r="A22" s="15" t="s">
        <v>14</v>
      </c>
      <c r="B22" s="31">
        <v>46199</v>
      </c>
      <c r="C22" s="16">
        <v>2</v>
      </c>
      <c r="D22" s="33">
        <v>2</v>
      </c>
      <c r="E22" s="27" t="s">
        <v>15</v>
      </c>
      <c r="F22" s="45" t="s">
        <v>20</v>
      </c>
    </row>
    <row r="23" spans="1:9" ht="53.25" customHeight="1" x14ac:dyDescent="0.15">
      <c r="A23" s="15" t="s">
        <v>17</v>
      </c>
      <c r="B23" s="31">
        <v>46203</v>
      </c>
      <c r="C23" s="16">
        <v>34</v>
      </c>
      <c r="D23" s="33">
        <v>34</v>
      </c>
      <c r="E23" s="37" t="s">
        <v>16</v>
      </c>
      <c r="F23" s="45" t="s">
        <v>22</v>
      </c>
    </row>
    <row r="24" spans="1:9" ht="57.75" customHeight="1" x14ac:dyDescent="0.15">
      <c r="A24" s="15" t="s">
        <v>18</v>
      </c>
      <c r="B24" s="31">
        <v>46206</v>
      </c>
      <c r="C24" s="16">
        <v>1</v>
      </c>
      <c r="D24" s="33">
        <v>1</v>
      </c>
      <c r="E24" s="37" t="s">
        <v>19</v>
      </c>
      <c r="F24" s="45" t="s">
        <v>21</v>
      </c>
    </row>
    <row r="25" spans="1:9" ht="53.25" customHeight="1" x14ac:dyDescent="0.15">
      <c r="A25" s="15" t="s">
        <v>23</v>
      </c>
      <c r="B25" s="31">
        <v>46213</v>
      </c>
      <c r="C25" s="16">
        <v>46</v>
      </c>
      <c r="D25" s="33">
        <v>46</v>
      </c>
      <c r="E25" s="27" t="s">
        <v>24</v>
      </c>
      <c r="F25" s="34"/>
    </row>
    <row r="26" spans="1:9" ht="66.75" customHeight="1" x14ac:dyDescent="0.15">
      <c r="A26" s="27" t="s">
        <v>25</v>
      </c>
      <c r="B26" s="31">
        <v>46216</v>
      </c>
      <c r="C26" s="46">
        <v>11</v>
      </c>
      <c r="D26" s="36">
        <v>11</v>
      </c>
      <c r="E26" s="27" t="s">
        <v>27</v>
      </c>
      <c r="F26" s="45" t="s">
        <v>45</v>
      </c>
    </row>
    <row r="27" spans="1:9" ht="53.25" customHeight="1" x14ac:dyDescent="0.15">
      <c r="A27" s="15" t="s">
        <v>26</v>
      </c>
      <c r="B27" s="31">
        <v>46216</v>
      </c>
      <c r="C27" s="16">
        <v>6</v>
      </c>
      <c r="D27" s="32">
        <v>6</v>
      </c>
      <c r="E27" s="27" t="s">
        <v>28</v>
      </c>
      <c r="F27" s="45" t="s">
        <v>29</v>
      </c>
    </row>
    <row r="28" spans="1:9" ht="53.25" customHeight="1" x14ac:dyDescent="0.15">
      <c r="A28" s="49" t="s">
        <v>30</v>
      </c>
      <c r="B28" s="31">
        <v>46224</v>
      </c>
      <c r="C28" s="16">
        <v>1</v>
      </c>
      <c r="D28" s="33">
        <v>1</v>
      </c>
      <c r="E28" s="27" t="s">
        <v>31</v>
      </c>
      <c r="F28" s="34"/>
    </row>
    <row r="29" spans="1:9" ht="53.25" customHeight="1" x14ac:dyDescent="0.15">
      <c r="A29" s="15" t="s">
        <v>32</v>
      </c>
      <c r="B29" s="31">
        <v>46226</v>
      </c>
      <c r="C29" s="16">
        <v>20</v>
      </c>
      <c r="D29" s="33">
        <v>20</v>
      </c>
      <c r="E29" s="27" t="s">
        <v>33</v>
      </c>
      <c r="F29" s="34"/>
    </row>
    <row r="30" spans="1:9" ht="53.25" customHeight="1" x14ac:dyDescent="0.15">
      <c r="A30" s="15" t="s">
        <v>34</v>
      </c>
      <c r="B30" s="31">
        <v>46227</v>
      </c>
      <c r="C30" s="30">
        <v>28</v>
      </c>
      <c r="D30" s="32">
        <v>28</v>
      </c>
      <c r="E30" s="27" t="s">
        <v>35</v>
      </c>
      <c r="F30" s="34"/>
    </row>
    <row r="31" spans="1:9" ht="53.25" customHeight="1" x14ac:dyDescent="0.15">
      <c r="A31" s="15" t="s">
        <v>36</v>
      </c>
      <c r="B31" s="31">
        <v>46227</v>
      </c>
      <c r="C31" s="30">
        <v>2</v>
      </c>
      <c r="D31" s="36">
        <v>2</v>
      </c>
      <c r="E31" s="27" t="s">
        <v>37</v>
      </c>
      <c r="F31" s="34"/>
    </row>
    <row r="32" spans="1:9" ht="53.25" customHeight="1" x14ac:dyDescent="0.15">
      <c r="A32" s="26" t="s">
        <v>40</v>
      </c>
      <c r="B32" s="31">
        <v>46230</v>
      </c>
      <c r="C32" s="30">
        <v>2</v>
      </c>
      <c r="D32" s="32">
        <v>2</v>
      </c>
      <c r="E32" s="26" t="s">
        <v>41</v>
      </c>
      <c r="F32" s="34"/>
    </row>
    <row r="33" spans="1:6" ht="53.25" customHeight="1" x14ac:dyDescent="0.15">
      <c r="A33" s="15" t="s">
        <v>53</v>
      </c>
      <c r="B33" s="31">
        <v>46234</v>
      </c>
      <c r="C33" s="30">
        <v>28</v>
      </c>
      <c r="D33" s="32">
        <v>28</v>
      </c>
      <c r="E33" s="15" t="s">
        <v>56</v>
      </c>
      <c r="F33" s="34"/>
    </row>
    <row r="34" spans="1:6" ht="53.25" customHeight="1" x14ac:dyDescent="0.15">
      <c r="A34" s="15" t="s">
        <v>63</v>
      </c>
      <c r="B34" s="31">
        <v>46237</v>
      </c>
      <c r="C34" s="30">
        <v>13</v>
      </c>
      <c r="D34" s="32">
        <v>13</v>
      </c>
      <c r="E34" s="15" t="s">
        <v>75</v>
      </c>
      <c r="F34" s="34"/>
    </row>
    <row r="35" spans="1:6" ht="53.25" customHeight="1" x14ac:dyDescent="0.15">
      <c r="A35" s="15" t="s">
        <v>64</v>
      </c>
      <c r="B35" s="31">
        <v>46237</v>
      </c>
      <c r="C35" s="30">
        <v>5</v>
      </c>
      <c r="D35" s="32">
        <v>5</v>
      </c>
      <c r="E35" s="15" t="s">
        <v>77</v>
      </c>
      <c r="F35" s="34"/>
    </row>
    <row r="36" spans="1:6" ht="53.25" customHeight="1" x14ac:dyDescent="0.15">
      <c r="A36" s="26" t="s">
        <v>81</v>
      </c>
      <c r="B36" s="31">
        <v>46238</v>
      </c>
      <c r="C36" s="30">
        <v>17</v>
      </c>
      <c r="D36" s="32">
        <v>17</v>
      </c>
      <c r="E36" s="15" t="s">
        <v>84</v>
      </c>
      <c r="F36" s="34"/>
    </row>
    <row r="37" spans="1:6" ht="66.75" customHeight="1" x14ac:dyDescent="0.15">
      <c r="A37" s="15" t="s">
        <v>80</v>
      </c>
      <c r="B37" s="31">
        <v>46238</v>
      </c>
      <c r="C37" s="30">
        <v>2</v>
      </c>
      <c r="D37" s="30">
        <v>0</v>
      </c>
      <c r="E37" s="15" t="s">
        <v>89</v>
      </c>
      <c r="F37" s="34" t="s">
        <v>134</v>
      </c>
    </row>
    <row r="38" spans="1:6" ht="53.25" customHeight="1" x14ac:dyDescent="0.15">
      <c r="A38" s="26"/>
      <c r="B38" s="31"/>
      <c r="C38" s="30"/>
      <c r="D38" s="30"/>
      <c r="E38" s="26"/>
      <c r="F38" s="34"/>
    </row>
    <row r="39" spans="1:6" ht="53.25" customHeight="1" x14ac:dyDescent="0.15">
      <c r="A39" s="26"/>
      <c r="B39" s="31"/>
      <c r="C39" s="47"/>
      <c r="D39" s="30"/>
      <c r="E39" s="26"/>
      <c r="F39" s="34"/>
    </row>
    <row r="40" spans="1:6" ht="53.25" customHeight="1" x14ac:dyDescent="0.15">
      <c r="A40" s="15"/>
      <c r="B40" s="31"/>
      <c r="C40" s="30"/>
      <c r="D40" s="30"/>
      <c r="E40" s="15"/>
      <c r="F40" s="34"/>
    </row>
    <row r="41" spans="1:6" ht="60.6" customHeight="1" x14ac:dyDescent="0.15">
      <c r="A41" s="15"/>
      <c r="B41" s="31"/>
      <c r="C41" s="30"/>
      <c r="D41" s="30"/>
      <c r="E41" s="15"/>
      <c r="F41" s="34"/>
    </row>
    <row r="42" spans="1:6" ht="59.25" customHeight="1" x14ac:dyDescent="0.15">
      <c r="A42" s="15"/>
      <c r="B42" s="31"/>
      <c r="C42" s="30"/>
      <c r="D42" s="30"/>
      <c r="E42" s="15"/>
      <c r="F42" s="34"/>
    </row>
    <row r="43" spans="1:6" ht="53.25" customHeight="1" x14ac:dyDescent="0.15">
      <c r="A43" s="15"/>
      <c r="B43" s="31"/>
      <c r="C43" s="30"/>
      <c r="D43" s="30"/>
      <c r="E43" s="15"/>
      <c r="F43" s="34"/>
    </row>
    <row r="44" spans="1:6" ht="53.25" customHeight="1" x14ac:dyDescent="0.15">
      <c r="A44" s="15"/>
      <c r="B44" s="31"/>
      <c r="C44" s="30"/>
      <c r="D44" s="30"/>
      <c r="E44" s="15"/>
      <c r="F44" s="34"/>
    </row>
    <row r="45" spans="1:6" ht="75" customHeight="1" x14ac:dyDescent="0.15">
      <c r="A45" s="27"/>
      <c r="B45" s="31"/>
      <c r="C45" s="46"/>
      <c r="D45" s="46"/>
      <c r="E45" s="27"/>
      <c r="F45" s="34"/>
    </row>
    <row r="46" spans="1:6" ht="53.25" customHeight="1" x14ac:dyDescent="0.15">
      <c r="A46" s="27"/>
      <c r="B46" s="31"/>
      <c r="C46" s="30"/>
      <c r="D46" s="30"/>
      <c r="E46" s="27"/>
      <c r="F46" s="34"/>
    </row>
    <row r="47" spans="1:6" ht="53.25" customHeight="1" x14ac:dyDescent="0.15">
      <c r="A47" s="27"/>
      <c r="B47" s="31"/>
      <c r="C47" s="46"/>
      <c r="D47" s="46"/>
      <c r="E47" s="27"/>
      <c r="F47" s="34"/>
    </row>
    <row r="48" spans="1:6" ht="53.25" customHeight="1" x14ac:dyDescent="0.15">
      <c r="A48" s="15"/>
      <c r="B48" s="31"/>
      <c r="C48" s="16"/>
      <c r="D48" s="32"/>
      <c r="E48" s="27"/>
      <c r="F48" s="34"/>
    </row>
    <row r="49" spans="1:6" ht="38.25" customHeight="1" x14ac:dyDescent="0.15">
      <c r="A49" s="22" t="s">
        <v>12</v>
      </c>
      <c r="B49" s="21"/>
      <c r="C49" s="21">
        <f>SUM(C22:C48)</f>
        <v>218</v>
      </c>
      <c r="D49" s="21">
        <f>SUM(D22:D48)</f>
        <v>216</v>
      </c>
      <c r="E49" s="38"/>
      <c r="F49" s="39"/>
    </row>
    <row r="50" spans="1:6" ht="30" customHeight="1" x14ac:dyDescent="0.15">
      <c r="D50" s="44"/>
    </row>
    <row r="51" spans="1:6" ht="30" customHeight="1" x14ac:dyDescent="0.15">
      <c r="D51" s="44"/>
    </row>
  </sheetData>
  <pageMargins left="0.7" right="0.7" top="0.75" bottom="0.75" header="0.3" footer="0.3"/>
  <pageSetup scale="3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C0A3-7A92-4268-9846-3A4D61735EA9}">
  <sheetPr>
    <pageSetUpPr fitToPage="1"/>
  </sheetPr>
  <dimension ref="A1:I45"/>
  <sheetViews>
    <sheetView zoomScale="85" zoomScaleNormal="85" workbookViewId="0">
      <selection activeCell="F7" sqref="F7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46240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3" customHeight="1" x14ac:dyDescent="0.15">
      <c r="A6" s="15" t="s">
        <v>151</v>
      </c>
      <c r="B6" s="16">
        <v>6</v>
      </c>
      <c r="C6" s="16">
        <v>0</v>
      </c>
      <c r="D6" s="30">
        <v>0</v>
      </c>
      <c r="E6" s="15" t="s">
        <v>137</v>
      </c>
      <c r="F6" s="15" t="s">
        <v>141</v>
      </c>
      <c r="G6" s="16">
        <v>3</v>
      </c>
      <c r="H6" s="16">
        <v>0</v>
      </c>
      <c r="I6" s="15" t="s">
        <v>143</v>
      </c>
    </row>
    <row r="7" spans="1:9" ht="61.5" customHeight="1" x14ac:dyDescent="0.15">
      <c r="A7" s="15" t="s">
        <v>154</v>
      </c>
      <c r="B7" s="16">
        <v>1</v>
      </c>
      <c r="C7" s="16">
        <v>0</v>
      </c>
      <c r="D7" s="30">
        <v>0</v>
      </c>
      <c r="E7" s="15" t="s">
        <v>155</v>
      </c>
      <c r="F7" s="15" t="s">
        <v>146</v>
      </c>
      <c r="G7" s="16">
        <v>6</v>
      </c>
      <c r="H7" s="16">
        <v>0</v>
      </c>
      <c r="I7" s="15" t="s">
        <v>147</v>
      </c>
    </row>
    <row r="8" spans="1:9" ht="56.25" customHeight="1" x14ac:dyDescent="0.15">
      <c r="A8" s="15" t="s">
        <v>139</v>
      </c>
      <c r="B8" s="16">
        <v>3</v>
      </c>
      <c r="C8" s="16">
        <v>0</v>
      </c>
      <c r="D8" s="30">
        <v>0</v>
      </c>
      <c r="E8" s="15" t="s">
        <v>140</v>
      </c>
      <c r="F8" s="15" t="s">
        <v>148</v>
      </c>
      <c r="G8" s="16">
        <v>5</v>
      </c>
      <c r="H8" s="16">
        <v>0</v>
      </c>
      <c r="I8" s="15" t="s">
        <v>147</v>
      </c>
    </row>
    <row r="9" spans="1:9" ht="62.25" customHeight="1" x14ac:dyDescent="0.15">
      <c r="A9" s="15" t="s">
        <v>141</v>
      </c>
      <c r="B9" s="16">
        <v>3</v>
      </c>
      <c r="C9" s="16">
        <v>0</v>
      </c>
      <c r="D9" s="30">
        <v>0</v>
      </c>
      <c r="E9" s="15" t="s">
        <v>144</v>
      </c>
      <c r="F9" s="15" t="s">
        <v>149</v>
      </c>
      <c r="G9" s="16">
        <v>1</v>
      </c>
      <c r="H9" s="16">
        <v>0</v>
      </c>
      <c r="I9" s="15" t="s">
        <v>147</v>
      </c>
    </row>
    <row r="10" spans="1:9" ht="62.25" customHeight="1" x14ac:dyDescent="0.15">
      <c r="A10" s="15" t="s">
        <v>138</v>
      </c>
      <c r="B10" s="16">
        <v>1</v>
      </c>
      <c r="C10" s="16">
        <v>0</v>
      </c>
      <c r="D10" s="17">
        <v>0</v>
      </c>
      <c r="E10" s="15" t="s">
        <v>153</v>
      </c>
      <c r="F10" s="15" t="s">
        <v>154</v>
      </c>
      <c r="G10" s="16">
        <v>1</v>
      </c>
      <c r="H10" s="16">
        <v>0</v>
      </c>
      <c r="I10" s="15" t="s">
        <v>155</v>
      </c>
    </row>
    <row r="11" spans="1:9" ht="62.25" customHeight="1" x14ac:dyDescent="0.15">
      <c r="A11" s="15" t="s">
        <v>142</v>
      </c>
      <c r="B11" s="16">
        <v>2</v>
      </c>
      <c r="C11" s="16">
        <v>0</v>
      </c>
      <c r="D11" s="32">
        <v>2</v>
      </c>
      <c r="E11" s="15" t="s">
        <v>145</v>
      </c>
      <c r="F11" s="15"/>
      <c r="G11" s="16"/>
      <c r="H11" s="16"/>
      <c r="I11" s="15"/>
    </row>
    <row r="12" spans="1:9" ht="62.25" customHeight="1" x14ac:dyDescent="0.15">
      <c r="A12" s="15" t="s">
        <v>150</v>
      </c>
      <c r="B12" s="16">
        <v>1</v>
      </c>
      <c r="C12" s="16">
        <v>0</v>
      </c>
      <c r="D12" s="32">
        <v>1</v>
      </c>
      <c r="E12" s="15" t="s">
        <v>152</v>
      </c>
      <c r="F12" s="15"/>
      <c r="G12" s="16"/>
      <c r="H12" s="16"/>
      <c r="I12" s="15"/>
    </row>
    <row r="13" spans="1:9" ht="62.25" customHeight="1" x14ac:dyDescent="0.15">
      <c r="A13" s="15"/>
      <c r="B13" s="16"/>
      <c r="C13" s="16"/>
      <c r="D13" s="17"/>
      <c r="E13" s="15"/>
      <c r="F13" s="15"/>
      <c r="G13" s="16"/>
      <c r="H13" s="16"/>
      <c r="I13" s="15"/>
    </row>
    <row r="14" spans="1:9" ht="62.25" customHeight="1" x14ac:dyDescent="0.15">
      <c r="A14" s="15"/>
      <c r="B14" s="16"/>
      <c r="C14" s="16"/>
      <c r="D14" s="17"/>
      <c r="E14" s="15"/>
      <c r="F14" s="15"/>
      <c r="G14" s="16"/>
      <c r="H14" s="16"/>
      <c r="I14" s="15"/>
    </row>
    <row r="15" spans="1:9" ht="62.25" customHeight="1" x14ac:dyDescent="0.15">
      <c r="A15" s="15"/>
      <c r="B15" s="16"/>
      <c r="C15" s="16"/>
      <c r="D15" s="17"/>
      <c r="E15" s="15"/>
      <c r="F15" s="15"/>
      <c r="G15" s="16"/>
      <c r="H15" s="16"/>
      <c r="I15" s="15"/>
    </row>
    <row r="16" spans="1:9" ht="53.25" customHeight="1" x14ac:dyDescent="0.15">
      <c r="A16" s="15"/>
      <c r="B16" s="16"/>
      <c r="C16" s="16"/>
      <c r="D16" s="16"/>
      <c r="E16" s="15"/>
      <c r="F16" s="15"/>
      <c r="G16" s="16"/>
      <c r="H16" s="16"/>
      <c r="I16" s="15"/>
    </row>
    <row r="17" spans="1:9" ht="30" customHeight="1" x14ac:dyDescent="0.15">
      <c r="A17" s="28" t="s">
        <v>12</v>
      </c>
      <c r="B17" s="29">
        <f>SUM(B6:B16)</f>
        <v>17</v>
      </c>
      <c r="C17" s="29">
        <f>SUM(C6:C16)</f>
        <v>0</v>
      </c>
      <c r="D17" s="29">
        <f>SUM(D6:D16)</f>
        <v>3</v>
      </c>
      <c r="E17" s="29"/>
      <c r="F17" s="29"/>
      <c r="G17" s="29">
        <f>SUM(G6:G16)</f>
        <v>16</v>
      </c>
      <c r="H17" s="29">
        <f>SUM(H6:H16)</f>
        <v>0</v>
      </c>
      <c r="I17" s="29"/>
    </row>
    <row r="20" spans="1:9" ht="30" customHeight="1" x14ac:dyDescent="0.15">
      <c r="A20" s="43" t="s">
        <v>13</v>
      </c>
      <c r="B20" s="43"/>
      <c r="C20" s="43"/>
      <c r="D20" s="43"/>
      <c r="E20" s="43"/>
      <c r="F20" s="43"/>
    </row>
    <row r="21" spans="1:9" ht="30" customHeight="1" x14ac:dyDescent="0.15">
      <c r="A21" s="20" t="s">
        <v>7</v>
      </c>
      <c r="B21" s="18" t="s">
        <v>1</v>
      </c>
      <c r="C21" s="18" t="s">
        <v>11</v>
      </c>
      <c r="D21" s="19" t="s">
        <v>10</v>
      </c>
      <c r="E21" s="19" t="s">
        <v>6</v>
      </c>
      <c r="F21" s="35"/>
    </row>
    <row r="22" spans="1:9" ht="53.25" customHeight="1" x14ac:dyDescent="0.15">
      <c r="A22" s="15" t="s">
        <v>14</v>
      </c>
      <c r="B22" s="31">
        <v>46199</v>
      </c>
      <c r="C22" s="16">
        <v>2</v>
      </c>
      <c r="D22" s="33">
        <v>2</v>
      </c>
      <c r="E22" s="27" t="s">
        <v>15</v>
      </c>
      <c r="F22" s="45" t="s">
        <v>20</v>
      </c>
    </row>
    <row r="23" spans="1:9" ht="53.25" customHeight="1" x14ac:dyDescent="0.15">
      <c r="A23" s="15" t="s">
        <v>17</v>
      </c>
      <c r="B23" s="31">
        <v>46203</v>
      </c>
      <c r="C23" s="16">
        <v>34</v>
      </c>
      <c r="D23" s="33">
        <v>34</v>
      </c>
      <c r="E23" s="37" t="s">
        <v>16</v>
      </c>
      <c r="F23" s="45" t="s">
        <v>22</v>
      </c>
    </row>
    <row r="24" spans="1:9" ht="57.75" customHeight="1" x14ac:dyDescent="0.15">
      <c r="A24" s="15" t="s">
        <v>18</v>
      </c>
      <c r="B24" s="31">
        <v>46206</v>
      </c>
      <c r="C24" s="16">
        <v>1</v>
      </c>
      <c r="D24" s="33">
        <v>1</v>
      </c>
      <c r="E24" s="37" t="s">
        <v>19</v>
      </c>
      <c r="F24" s="45" t="s">
        <v>21</v>
      </c>
    </row>
    <row r="25" spans="1:9" ht="53.25" customHeight="1" x14ac:dyDescent="0.15">
      <c r="A25" s="15" t="s">
        <v>23</v>
      </c>
      <c r="B25" s="31">
        <v>46213</v>
      </c>
      <c r="C25" s="16">
        <v>46</v>
      </c>
      <c r="D25" s="33">
        <v>46</v>
      </c>
      <c r="E25" s="27" t="s">
        <v>24</v>
      </c>
      <c r="F25" s="34"/>
    </row>
    <row r="26" spans="1:9" ht="66.75" customHeight="1" x14ac:dyDescent="0.15">
      <c r="A26" s="27" t="s">
        <v>25</v>
      </c>
      <c r="B26" s="31">
        <v>46216</v>
      </c>
      <c r="C26" s="46">
        <v>11</v>
      </c>
      <c r="D26" s="36">
        <v>11</v>
      </c>
      <c r="E26" s="27" t="s">
        <v>27</v>
      </c>
      <c r="F26" s="45" t="s">
        <v>45</v>
      </c>
    </row>
    <row r="27" spans="1:9" ht="53.25" customHeight="1" x14ac:dyDescent="0.15">
      <c r="A27" s="15" t="s">
        <v>26</v>
      </c>
      <c r="B27" s="31">
        <v>46216</v>
      </c>
      <c r="C27" s="16">
        <v>6</v>
      </c>
      <c r="D27" s="32">
        <v>6</v>
      </c>
      <c r="E27" s="27" t="s">
        <v>28</v>
      </c>
      <c r="F27" s="45" t="s">
        <v>29</v>
      </c>
    </row>
    <row r="28" spans="1:9" ht="53.25" customHeight="1" x14ac:dyDescent="0.15">
      <c r="A28" s="49" t="s">
        <v>30</v>
      </c>
      <c r="B28" s="31">
        <v>46224</v>
      </c>
      <c r="C28" s="16">
        <v>1</v>
      </c>
      <c r="D28" s="33">
        <v>1</v>
      </c>
      <c r="E28" s="27" t="s">
        <v>31</v>
      </c>
      <c r="F28" s="34"/>
    </row>
    <row r="29" spans="1:9" ht="53.25" customHeight="1" x14ac:dyDescent="0.15">
      <c r="A29" s="15" t="s">
        <v>32</v>
      </c>
      <c r="B29" s="31">
        <v>46226</v>
      </c>
      <c r="C29" s="16">
        <v>20</v>
      </c>
      <c r="D29" s="33">
        <v>20</v>
      </c>
      <c r="E29" s="27" t="s">
        <v>33</v>
      </c>
      <c r="F29" s="34"/>
    </row>
    <row r="30" spans="1:9" ht="53.25" customHeight="1" x14ac:dyDescent="0.15">
      <c r="A30" s="15" t="s">
        <v>34</v>
      </c>
      <c r="B30" s="31">
        <v>46227</v>
      </c>
      <c r="C30" s="30">
        <v>28</v>
      </c>
      <c r="D30" s="32">
        <v>28</v>
      </c>
      <c r="E30" s="27" t="s">
        <v>35</v>
      </c>
      <c r="F30" s="34"/>
    </row>
    <row r="31" spans="1:9" ht="53.25" customHeight="1" x14ac:dyDescent="0.15">
      <c r="A31" s="15" t="s">
        <v>36</v>
      </c>
      <c r="B31" s="31">
        <v>46227</v>
      </c>
      <c r="C31" s="30">
        <v>2</v>
      </c>
      <c r="D31" s="36">
        <v>2</v>
      </c>
      <c r="E31" s="27" t="s">
        <v>37</v>
      </c>
      <c r="F31" s="34"/>
    </row>
    <row r="32" spans="1:9" ht="53.25" customHeight="1" x14ac:dyDescent="0.15">
      <c r="A32" s="26" t="s">
        <v>40</v>
      </c>
      <c r="B32" s="31">
        <v>46230</v>
      </c>
      <c r="C32" s="30">
        <v>2</v>
      </c>
      <c r="D32" s="32">
        <v>2</v>
      </c>
      <c r="E32" s="26" t="s">
        <v>41</v>
      </c>
      <c r="F32" s="34"/>
    </row>
    <row r="33" spans="1:6" ht="53.25" customHeight="1" x14ac:dyDescent="0.15">
      <c r="A33" s="15" t="s">
        <v>53</v>
      </c>
      <c r="B33" s="31">
        <v>46234</v>
      </c>
      <c r="C33" s="30">
        <v>28</v>
      </c>
      <c r="D33" s="32">
        <v>28</v>
      </c>
      <c r="E33" s="15" t="s">
        <v>56</v>
      </c>
      <c r="F33" s="34"/>
    </row>
    <row r="34" spans="1:6" ht="53.25" customHeight="1" x14ac:dyDescent="0.15">
      <c r="A34" s="15" t="s">
        <v>63</v>
      </c>
      <c r="B34" s="31">
        <v>46237</v>
      </c>
      <c r="C34" s="30">
        <v>13</v>
      </c>
      <c r="D34" s="32">
        <v>13</v>
      </c>
      <c r="E34" s="15" t="s">
        <v>75</v>
      </c>
      <c r="F34" s="34"/>
    </row>
    <row r="35" spans="1:6" ht="53.25" customHeight="1" x14ac:dyDescent="0.15">
      <c r="A35" s="15" t="s">
        <v>64</v>
      </c>
      <c r="B35" s="31">
        <v>46237</v>
      </c>
      <c r="C35" s="30">
        <v>5</v>
      </c>
      <c r="D35" s="32">
        <v>5</v>
      </c>
      <c r="E35" s="15" t="s">
        <v>77</v>
      </c>
      <c r="F35" s="34"/>
    </row>
    <row r="36" spans="1:6" ht="53.25" customHeight="1" x14ac:dyDescent="0.15">
      <c r="A36" s="26" t="s">
        <v>81</v>
      </c>
      <c r="B36" s="31">
        <v>46238</v>
      </c>
      <c r="C36" s="30">
        <v>17</v>
      </c>
      <c r="D36" s="32">
        <v>17</v>
      </c>
      <c r="E36" s="15" t="s">
        <v>84</v>
      </c>
      <c r="F36" s="34"/>
    </row>
    <row r="37" spans="1:6" ht="66.75" customHeight="1" x14ac:dyDescent="0.15">
      <c r="A37" s="15" t="s">
        <v>128</v>
      </c>
      <c r="B37" s="31">
        <v>46239</v>
      </c>
      <c r="C37" s="30">
        <v>2</v>
      </c>
      <c r="D37" s="32">
        <v>2</v>
      </c>
      <c r="E37" s="15" t="s">
        <v>130</v>
      </c>
      <c r="F37" s="34"/>
    </row>
    <row r="38" spans="1:6" ht="53.25" customHeight="1" x14ac:dyDescent="0.15">
      <c r="A38" s="26" t="s">
        <v>129</v>
      </c>
      <c r="B38" s="31">
        <v>46239</v>
      </c>
      <c r="C38" s="30">
        <v>5</v>
      </c>
      <c r="D38" s="32">
        <v>5</v>
      </c>
      <c r="E38" s="15" t="s">
        <v>131</v>
      </c>
      <c r="F38" s="34"/>
    </row>
    <row r="39" spans="1:6" ht="53.25" customHeight="1" x14ac:dyDescent="0.15">
      <c r="A39" s="26"/>
      <c r="B39" s="31"/>
      <c r="C39" s="47"/>
      <c r="D39" s="30"/>
      <c r="E39" s="26"/>
      <c r="F39" s="34"/>
    </row>
    <row r="40" spans="1:6" ht="53.25" customHeight="1" x14ac:dyDescent="0.15">
      <c r="A40" s="15"/>
      <c r="B40" s="31"/>
      <c r="C40" s="30"/>
      <c r="D40" s="30"/>
      <c r="E40" s="15"/>
      <c r="F40" s="34"/>
    </row>
    <row r="41" spans="1:6" ht="60.6" customHeight="1" x14ac:dyDescent="0.15">
      <c r="A41" s="15"/>
      <c r="B41" s="31"/>
      <c r="C41" s="30"/>
      <c r="D41" s="30"/>
      <c r="E41" s="15"/>
      <c r="F41" s="34"/>
    </row>
    <row r="42" spans="1:6" ht="53.25" customHeight="1" x14ac:dyDescent="0.15">
      <c r="A42" s="15"/>
      <c r="B42" s="31"/>
      <c r="C42" s="16"/>
      <c r="D42" s="32"/>
      <c r="E42" s="27"/>
      <c r="F42" s="34"/>
    </row>
    <row r="43" spans="1:6" ht="38.25" customHeight="1" x14ac:dyDescent="0.15">
      <c r="A43" s="22" t="s">
        <v>12</v>
      </c>
      <c r="B43" s="21"/>
      <c r="C43" s="21">
        <f>SUM(C22:C42)</f>
        <v>223</v>
      </c>
      <c r="D43" s="21">
        <f>SUM(D22:D42)</f>
        <v>223</v>
      </c>
      <c r="E43" s="38"/>
      <c r="F43" s="39"/>
    </row>
    <row r="44" spans="1:6" ht="30" customHeight="1" x14ac:dyDescent="0.15">
      <c r="D44" s="44"/>
    </row>
    <row r="45" spans="1:6" ht="30" customHeight="1" x14ac:dyDescent="0.15">
      <c r="D45" s="44"/>
    </row>
  </sheetData>
  <pageMargins left="0.7" right="0.7" top="0.75" bottom="0.75" header="0.3" footer="0.3"/>
  <pageSetup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F607-DFCD-4C99-B684-276E7E2D2CB4}">
  <sheetPr>
    <pageSetUpPr fitToPage="1"/>
  </sheetPr>
  <dimension ref="A1:I51"/>
  <sheetViews>
    <sheetView topLeftCell="A43" zoomScale="85" zoomScaleNormal="85" workbookViewId="0">
      <selection activeCell="G10" sqref="G10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46241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3" customHeight="1" x14ac:dyDescent="0.15">
      <c r="A6" s="15" t="s">
        <v>156</v>
      </c>
      <c r="B6" s="16">
        <v>1</v>
      </c>
      <c r="C6" s="16">
        <v>0</v>
      </c>
      <c r="D6" s="30">
        <v>0</v>
      </c>
      <c r="E6" s="15" t="s">
        <v>163</v>
      </c>
      <c r="F6" s="15" t="s">
        <v>178</v>
      </c>
      <c r="G6" s="16">
        <v>4</v>
      </c>
      <c r="H6" s="16">
        <v>0</v>
      </c>
      <c r="I6" s="15" t="s">
        <v>180</v>
      </c>
    </row>
    <row r="7" spans="1:9" ht="61.5" customHeight="1" x14ac:dyDescent="0.15">
      <c r="A7" s="15" t="s">
        <v>171</v>
      </c>
      <c r="B7" s="16">
        <v>1</v>
      </c>
      <c r="C7" s="16">
        <v>0</v>
      </c>
      <c r="D7" s="30">
        <v>0</v>
      </c>
      <c r="E7" s="15" t="s">
        <v>173</v>
      </c>
      <c r="F7" s="15"/>
      <c r="G7" s="16"/>
      <c r="H7" s="16"/>
      <c r="I7" s="15"/>
    </row>
    <row r="8" spans="1:9" ht="61.5" customHeight="1" x14ac:dyDescent="0.15">
      <c r="A8" s="15" t="s">
        <v>146</v>
      </c>
      <c r="B8" s="16">
        <v>5</v>
      </c>
      <c r="C8" s="16">
        <v>0</v>
      </c>
      <c r="D8" s="30">
        <v>0</v>
      </c>
      <c r="E8" s="15" t="s">
        <v>174</v>
      </c>
      <c r="F8" s="15"/>
      <c r="G8" s="16"/>
      <c r="H8" s="16"/>
      <c r="I8" s="15"/>
    </row>
    <row r="9" spans="1:9" ht="56.25" customHeight="1" x14ac:dyDescent="0.15">
      <c r="A9" s="15" t="s">
        <v>164</v>
      </c>
      <c r="B9" s="16">
        <v>1</v>
      </c>
      <c r="C9" s="16">
        <v>0</v>
      </c>
      <c r="D9" s="30">
        <v>0</v>
      </c>
      <c r="E9" s="15" t="s">
        <v>166</v>
      </c>
      <c r="F9" s="15"/>
      <c r="G9" s="16"/>
      <c r="H9" s="16"/>
      <c r="I9" s="15"/>
    </row>
    <row r="10" spans="1:9" ht="62.25" customHeight="1" x14ac:dyDescent="0.15">
      <c r="A10" s="15" t="s">
        <v>149</v>
      </c>
      <c r="B10" s="16">
        <v>1</v>
      </c>
      <c r="C10" s="16">
        <v>0</v>
      </c>
      <c r="D10" s="30">
        <v>0</v>
      </c>
      <c r="E10" s="15" t="s">
        <v>168</v>
      </c>
      <c r="F10" s="15"/>
      <c r="G10" s="16"/>
      <c r="H10" s="16"/>
      <c r="I10" s="15"/>
    </row>
    <row r="11" spans="1:9" ht="62.25" customHeight="1" x14ac:dyDescent="0.15">
      <c r="A11" s="15" t="s">
        <v>148</v>
      </c>
      <c r="B11" s="16">
        <v>4</v>
      </c>
      <c r="C11" s="16">
        <v>0</v>
      </c>
      <c r="D11" s="30">
        <v>0</v>
      </c>
      <c r="E11" s="15" t="s">
        <v>169</v>
      </c>
      <c r="F11" s="15"/>
      <c r="G11" s="16"/>
      <c r="H11" s="16"/>
      <c r="I11" s="15"/>
    </row>
    <row r="12" spans="1:9" ht="62.25" customHeight="1" x14ac:dyDescent="0.15">
      <c r="A12" s="15" t="s">
        <v>157</v>
      </c>
      <c r="B12" s="16">
        <v>6</v>
      </c>
      <c r="C12" s="16">
        <v>0</v>
      </c>
      <c r="D12" s="32">
        <v>6</v>
      </c>
      <c r="E12" s="15" t="s">
        <v>167</v>
      </c>
      <c r="F12" s="15"/>
      <c r="G12" s="16"/>
      <c r="H12" s="16"/>
      <c r="I12" s="15"/>
    </row>
    <row r="13" spans="1:9" ht="62.25" customHeight="1" x14ac:dyDescent="0.15">
      <c r="A13" s="15" t="s">
        <v>158</v>
      </c>
      <c r="B13" s="16">
        <v>3</v>
      </c>
      <c r="C13" s="16">
        <v>0</v>
      </c>
      <c r="D13" s="32">
        <v>3</v>
      </c>
      <c r="E13" s="15" t="s">
        <v>172</v>
      </c>
      <c r="F13" s="15"/>
      <c r="G13" s="16"/>
      <c r="H13" s="16"/>
      <c r="I13" s="15"/>
    </row>
    <row r="14" spans="1:9" ht="62.25" customHeight="1" x14ac:dyDescent="0.15">
      <c r="A14" s="15" t="s">
        <v>159</v>
      </c>
      <c r="B14" s="16">
        <v>5</v>
      </c>
      <c r="C14" s="16">
        <v>0</v>
      </c>
      <c r="D14" s="32">
        <v>5</v>
      </c>
      <c r="E14" s="15" t="s">
        <v>175</v>
      </c>
      <c r="F14" s="15"/>
      <c r="G14" s="16"/>
      <c r="H14" s="16"/>
      <c r="I14" s="15"/>
    </row>
    <row r="15" spans="1:9" ht="62.25" customHeight="1" x14ac:dyDescent="0.15">
      <c r="A15" s="15" t="s">
        <v>160</v>
      </c>
      <c r="B15" s="16">
        <v>35</v>
      </c>
      <c r="C15" s="16">
        <v>0</v>
      </c>
      <c r="D15" s="32">
        <v>35</v>
      </c>
      <c r="E15" s="15" t="s">
        <v>162</v>
      </c>
      <c r="F15" s="15"/>
      <c r="G15" s="16"/>
      <c r="H15" s="16"/>
      <c r="I15" s="15"/>
    </row>
    <row r="16" spans="1:9" ht="62.25" customHeight="1" x14ac:dyDescent="0.15">
      <c r="A16" s="15" t="s">
        <v>161</v>
      </c>
      <c r="B16" s="16">
        <v>5</v>
      </c>
      <c r="C16" s="16">
        <v>0</v>
      </c>
      <c r="D16" s="17">
        <v>0</v>
      </c>
      <c r="E16" s="15" t="s">
        <v>165</v>
      </c>
      <c r="F16" s="15"/>
      <c r="G16" s="16"/>
      <c r="H16" s="16"/>
      <c r="I16" s="15"/>
    </row>
    <row r="17" spans="1:9" ht="62.25" customHeight="1" x14ac:dyDescent="0.15">
      <c r="A17" s="15" t="s">
        <v>170</v>
      </c>
      <c r="B17" s="16">
        <v>10</v>
      </c>
      <c r="C17" s="16">
        <v>0</v>
      </c>
      <c r="D17" s="17">
        <v>0</v>
      </c>
      <c r="E17" s="15" t="s">
        <v>176</v>
      </c>
      <c r="F17" s="15"/>
      <c r="G17" s="16"/>
      <c r="H17" s="16"/>
      <c r="I17" s="15"/>
    </row>
    <row r="18" spans="1:9" ht="62.25" customHeight="1" x14ac:dyDescent="0.15">
      <c r="A18" s="15" t="s">
        <v>177</v>
      </c>
      <c r="B18" s="16">
        <v>1</v>
      </c>
      <c r="C18" s="16">
        <v>0</v>
      </c>
      <c r="D18" s="32">
        <v>1</v>
      </c>
      <c r="E18" s="15" t="s">
        <v>181</v>
      </c>
      <c r="F18" s="15"/>
      <c r="G18" s="16"/>
      <c r="H18" s="16"/>
      <c r="I18" s="15"/>
    </row>
    <row r="19" spans="1:9" ht="62.25" customHeight="1" x14ac:dyDescent="0.15">
      <c r="A19" s="15" t="s">
        <v>178</v>
      </c>
      <c r="B19" s="16">
        <v>4</v>
      </c>
      <c r="C19" s="16">
        <v>0</v>
      </c>
      <c r="D19" s="17">
        <v>0</v>
      </c>
      <c r="E19" s="15" t="s">
        <v>179</v>
      </c>
      <c r="F19" s="15"/>
      <c r="G19" s="16"/>
      <c r="H19" s="16"/>
      <c r="I19" s="15"/>
    </row>
    <row r="20" spans="1:9" ht="62.25" customHeight="1" x14ac:dyDescent="0.15">
      <c r="A20" s="15"/>
      <c r="B20" s="16"/>
      <c r="C20" s="16"/>
      <c r="D20" s="17"/>
      <c r="E20" s="15"/>
      <c r="F20" s="15"/>
      <c r="G20" s="16"/>
      <c r="H20" s="16"/>
      <c r="I20" s="15"/>
    </row>
    <row r="21" spans="1:9" ht="62.25" customHeight="1" x14ac:dyDescent="0.15">
      <c r="A21" s="15"/>
      <c r="B21" s="16"/>
      <c r="C21" s="16"/>
      <c r="D21" s="17"/>
      <c r="E21" s="15"/>
      <c r="F21" s="15"/>
      <c r="G21" s="16"/>
      <c r="H21" s="16"/>
      <c r="I21" s="15"/>
    </row>
    <row r="22" spans="1:9" ht="53.25" customHeight="1" x14ac:dyDescent="0.15">
      <c r="A22" s="15"/>
      <c r="B22" s="16"/>
      <c r="C22" s="16"/>
      <c r="D22" s="16"/>
      <c r="E22" s="15"/>
      <c r="F22" s="15"/>
      <c r="G22" s="16"/>
      <c r="H22" s="16"/>
      <c r="I22" s="15"/>
    </row>
    <row r="23" spans="1:9" ht="30" customHeight="1" x14ac:dyDescent="0.15">
      <c r="A23" s="28" t="s">
        <v>12</v>
      </c>
      <c r="B23" s="29">
        <f>SUM(B6:B22)</f>
        <v>82</v>
      </c>
      <c r="C23" s="29">
        <f>SUM(C6:C22)</f>
        <v>0</v>
      </c>
      <c r="D23" s="29">
        <f>SUM(D6:D22)</f>
        <v>50</v>
      </c>
      <c r="E23" s="29"/>
      <c r="F23" s="29"/>
      <c r="G23" s="29">
        <f>SUM(G6:G22)</f>
        <v>4</v>
      </c>
      <c r="H23" s="29">
        <f>SUM(H6:H22)</f>
        <v>0</v>
      </c>
      <c r="I23" s="29"/>
    </row>
    <row r="26" spans="1:9" ht="30" customHeight="1" x14ac:dyDescent="0.15">
      <c r="A26" s="43" t="s">
        <v>13</v>
      </c>
      <c r="B26" s="43"/>
      <c r="C26" s="43"/>
      <c r="D26" s="43"/>
      <c r="E26" s="43"/>
      <c r="F26" s="43"/>
    </row>
    <row r="27" spans="1:9" ht="30" customHeight="1" x14ac:dyDescent="0.15">
      <c r="A27" s="20" t="s">
        <v>7</v>
      </c>
      <c r="B27" s="18" t="s">
        <v>1</v>
      </c>
      <c r="C27" s="18" t="s">
        <v>11</v>
      </c>
      <c r="D27" s="19" t="s">
        <v>10</v>
      </c>
      <c r="E27" s="19" t="s">
        <v>6</v>
      </c>
      <c r="F27" s="35"/>
    </row>
    <row r="28" spans="1:9" ht="53.25" customHeight="1" x14ac:dyDescent="0.15">
      <c r="A28" s="15" t="s">
        <v>14</v>
      </c>
      <c r="B28" s="31">
        <v>46199</v>
      </c>
      <c r="C28" s="16">
        <v>2</v>
      </c>
      <c r="D28" s="33">
        <v>2</v>
      </c>
      <c r="E28" s="27" t="s">
        <v>15</v>
      </c>
      <c r="F28" s="45" t="s">
        <v>20</v>
      </c>
    </row>
    <row r="29" spans="1:9" ht="53.25" customHeight="1" x14ac:dyDescent="0.15">
      <c r="A29" s="15" t="s">
        <v>17</v>
      </c>
      <c r="B29" s="31">
        <v>46203</v>
      </c>
      <c r="C29" s="16">
        <v>34</v>
      </c>
      <c r="D29" s="33">
        <v>34</v>
      </c>
      <c r="E29" s="37" t="s">
        <v>16</v>
      </c>
      <c r="F29" s="45" t="s">
        <v>22</v>
      </c>
    </row>
    <row r="30" spans="1:9" ht="57.75" customHeight="1" x14ac:dyDescent="0.15">
      <c r="A30" s="15" t="s">
        <v>18</v>
      </c>
      <c r="B30" s="31">
        <v>46206</v>
      </c>
      <c r="C30" s="16">
        <v>1</v>
      </c>
      <c r="D30" s="33">
        <v>1</v>
      </c>
      <c r="E30" s="37" t="s">
        <v>19</v>
      </c>
      <c r="F30" s="45" t="s">
        <v>21</v>
      </c>
    </row>
    <row r="31" spans="1:9" ht="53.25" customHeight="1" x14ac:dyDescent="0.15">
      <c r="A31" s="15" t="s">
        <v>23</v>
      </c>
      <c r="B31" s="31">
        <v>46213</v>
      </c>
      <c r="C31" s="16">
        <v>46</v>
      </c>
      <c r="D31" s="33">
        <v>46</v>
      </c>
      <c r="E31" s="27" t="s">
        <v>24</v>
      </c>
      <c r="F31" s="34"/>
    </row>
    <row r="32" spans="1:9" ht="66.75" customHeight="1" x14ac:dyDescent="0.15">
      <c r="A32" s="27" t="s">
        <v>25</v>
      </c>
      <c r="B32" s="31">
        <v>46216</v>
      </c>
      <c r="C32" s="46">
        <v>11</v>
      </c>
      <c r="D32" s="36">
        <v>11</v>
      </c>
      <c r="E32" s="27" t="s">
        <v>27</v>
      </c>
      <c r="F32" s="45" t="s">
        <v>45</v>
      </c>
    </row>
    <row r="33" spans="1:6" ht="53.25" customHeight="1" x14ac:dyDescent="0.15">
      <c r="A33" s="15" t="s">
        <v>26</v>
      </c>
      <c r="B33" s="31">
        <v>46216</v>
      </c>
      <c r="C33" s="16">
        <v>6</v>
      </c>
      <c r="D33" s="32">
        <v>6</v>
      </c>
      <c r="E33" s="27" t="s">
        <v>28</v>
      </c>
      <c r="F33" s="45" t="s">
        <v>29</v>
      </c>
    </row>
    <row r="34" spans="1:6" ht="53.25" customHeight="1" x14ac:dyDescent="0.15">
      <c r="A34" s="49" t="s">
        <v>30</v>
      </c>
      <c r="B34" s="31">
        <v>46224</v>
      </c>
      <c r="C34" s="16">
        <v>1</v>
      </c>
      <c r="D34" s="33">
        <v>1</v>
      </c>
      <c r="E34" s="27" t="s">
        <v>31</v>
      </c>
      <c r="F34" s="34"/>
    </row>
    <row r="35" spans="1:6" ht="53.25" customHeight="1" x14ac:dyDescent="0.15">
      <c r="A35" s="15" t="s">
        <v>32</v>
      </c>
      <c r="B35" s="31">
        <v>46226</v>
      </c>
      <c r="C35" s="16">
        <v>20</v>
      </c>
      <c r="D35" s="33">
        <v>20</v>
      </c>
      <c r="E35" s="27" t="s">
        <v>33</v>
      </c>
      <c r="F35" s="34"/>
    </row>
    <row r="36" spans="1:6" ht="53.25" customHeight="1" x14ac:dyDescent="0.15">
      <c r="A36" s="15" t="s">
        <v>34</v>
      </c>
      <c r="B36" s="31">
        <v>46227</v>
      </c>
      <c r="C36" s="30">
        <v>28</v>
      </c>
      <c r="D36" s="32">
        <v>28</v>
      </c>
      <c r="E36" s="27" t="s">
        <v>35</v>
      </c>
      <c r="F36" s="34"/>
    </row>
    <row r="37" spans="1:6" ht="53.25" customHeight="1" x14ac:dyDescent="0.15">
      <c r="A37" s="15" t="s">
        <v>36</v>
      </c>
      <c r="B37" s="31">
        <v>46227</v>
      </c>
      <c r="C37" s="30">
        <v>2</v>
      </c>
      <c r="D37" s="36">
        <v>2</v>
      </c>
      <c r="E37" s="27" t="s">
        <v>37</v>
      </c>
      <c r="F37" s="34"/>
    </row>
    <row r="38" spans="1:6" ht="53.25" customHeight="1" x14ac:dyDescent="0.15">
      <c r="A38" s="26" t="s">
        <v>40</v>
      </c>
      <c r="B38" s="31">
        <v>46230</v>
      </c>
      <c r="C38" s="30">
        <v>2</v>
      </c>
      <c r="D38" s="32">
        <v>2</v>
      </c>
      <c r="E38" s="26" t="s">
        <v>41</v>
      </c>
      <c r="F38" s="34"/>
    </row>
    <row r="39" spans="1:6" ht="53.25" customHeight="1" x14ac:dyDescent="0.15">
      <c r="A39" s="15" t="s">
        <v>53</v>
      </c>
      <c r="B39" s="31">
        <v>46234</v>
      </c>
      <c r="C39" s="30">
        <v>28</v>
      </c>
      <c r="D39" s="32">
        <v>28</v>
      </c>
      <c r="E39" s="15" t="s">
        <v>56</v>
      </c>
      <c r="F39" s="34"/>
    </row>
    <row r="40" spans="1:6" ht="53.25" customHeight="1" x14ac:dyDescent="0.15">
      <c r="A40" s="15" t="s">
        <v>63</v>
      </c>
      <c r="B40" s="31">
        <v>46237</v>
      </c>
      <c r="C40" s="30">
        <v>13</v>
      </c>
      <c r="D40" s="32">
        <v>13</v>
      </c>
      <c r="E40" s="15" t="s">
        <v>75</v>
      </c>
      <c r="F40" s="34"/>
    </row>
    <row r="41" spans="1:6" ht="53.25" customHeight="1" x14ac:dyDescent="0.15">
      <c r="A41" s="15" t="s">
        <v>64</v>
      </c>
      <c r="B41" s="31">
        <v>46237</v>
      </c>
      <c r="C41" s="30">
        <v>5</v>
      </c>
      <c r="D41" s="32">
        <v>5</v>
      </c>
      <c r="E41" s="15" t="s">
        <v>77</v>
      </c>
      <c r="F41" s="34"/>
    </row>
    <row r="42" spans="1:6" ht="53.25" customHeight="1" x14ac:dyDescent="0.15">
      <c r="A42" s="26" t="s">
        <v>81</v>
      </c>
      <c r="B42" s="31">
        <v>46238</v>
      </c>
      <c r="C42" s="30">
        <v>17</v>
      </c>
      <c r="D42" s="32">
        <v>17</v>
      </c>
      <c r="E42" s="15" t="s">
        <v>84</v>
      </c>
      <c r="F42" s="34"/>
    </row>
    <row r="43" spans="1:6" ht="66.75" customHeight="1" x14ac:dyDescent="0.15">
      <c r="A43" s="15" t="s">
        <v>128</v>
      </c>
      <c r="B43" s="31">
        <v>46239</v>
      </c>
      <c r="C43" s="30">
        <v>2</v>
      </c>
      <c r="D43" s="32">
        <v>2</v>
      </c>
      <c r="E43" s="15" t="s">
        <v>130</v>
      </c>
      <c r="F43" s="34"/>
    </row>
    <row r="44" spans="1:6" ht="53.25" customHeight="1" x14ac:dyDescent="0.15">
      <c r="A44" s="26" t="s">
        <v>129</v>
      </c>
      <c r="B44" s="31">
        <v>46239</v>
      </c>
      <c r="C44" s="30">
        <v>5</v>
      </c>
      <c r="D44" s="32">
        <v>5</v>
      </c>
      <c r="E44" s="15" t="s">
        <v>131</v>
      </c>
      <c r="F44" s="34"/>
    </row>
    <row r="45" spans="1:6" ht="53.25" customHeight="1" x14ac:dyDescent="0.15">
      <c r="A45" s="15" t="s">
        <v>142</v>
      </c>
      <c r="B45" s="31">
        <v>46240</v>
      </c>
      <c r="C45" s="30">
        <v>2</v>
      </c>
      <c r="D45" s="32">
        <v>2</v>
      </c>
      <c r="E45" s="15" t="s">
        <v>145</v>
      </c>
      <c r="F45" s="34"/>
    </row>
    <row r="46" spans="1:6" ht="53.25" customHeight="1" x14ac:dyDescent="0.15">
      <c r="A46" s="15" t="s">
        <v>150</v>
      </c>
      <c r="B46" s="31">
        <v>46240</v>
      </c>
      <c r="C46" s="30">
        <v>1</v>
      </c>
      <c r="D46" s="32">
        <v>1</v>
      </c>
      <c r="E46" s="15" t="s">
        <v>152</v>
      </c>
      <c r="F46" s="34"/>
    </row>
    <row r="47" spans="1:6" ht="60.6" customHeight="1" x14ac:dyDescent="0.15">
      <c r="A47" s="15"/>
      <c r="B47" s="31"/>
      <c r="C47" s="30"/>
      <c r="D47" s="30"/>
      <c r="E47" s="15"/>
      <c r="F47" s="34"/>
    </row>
    <row r="48" spans="1:6" ht="53.25" customHeight="1" x14ac:dyDescent="0.15">
      <c r="A48" s="15"/>
      <c r="B48" s="31"/>
      <c r="C48" s="16"/>
      <c r="D48" s="32"/>
      <c r="E48" s="27"/>
      <c r="F48" s="34"/>
    </row>
    <row r="49" spans="1:6" ht="38.25" customHeight="1" x14ac:dyDescent="0.15">
      <c r="A49" s="22" t="s">
        <v>12</v>
      </c>
      <c r="B49" s="21"/>
      <c r="C49" s="21">
        <f>SUM(C28:C48)</f>
        <v>226</v>
      </c>
      <c r="D49" s="21">
        <f>SUM(D28:D48)</f>
        <v>226</v>
      </c>
      <c r="E49" s="38"/>
      <c r="F49" s="39"/>
    </row>
    <row r="50" spans="1:6" ht="30" customHeight="1" x14ac:dyDescent="0.15">
      <c r="D50" s="44"/>
    </row>
    <row r="51" spans="1:6" ht="30" customHeight="1" x14ac:dyDescent="0.15">
      <c r="D51" s="44"/>
    </row>
  </sheetData>
  <pageMargins left="0.7" right="0.7" top="0.75" bottom="0.75" header="0.3" footer="0.3"/>
  <pageSetup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49AE-F8B3-4F9C-8664-3DB1ED3E13AF}">
  <sheetPr>
    <pageSetUpPr fitToPage="1"/>
  </sheetPr>
  <dimension ref="A1:I64"/>
  <sheetViews>
    <sheetView zoomScale="85" zoomScaleNormal="85" workbookViewId="0">
      <selection activeCell="A12" sqref="A12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46244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3" customHeight="1" x14ac:dyDescent="0.15">
      <c r="A6" s="15" t="s">
        <v>190</v>
      </c>
      <c r="B6" s="16">
        <v>1</v>
      </c>
      <c r="C6" s="16">
        <v>0</v>
      </c>
      <c r="D6" s="32">
        <v>1</v>
      </c>
      <c r="E6" s="15" t="s">
        <v>201</v>
      </c>
      <c r="F6" s="15" t="s">
        <v>189</v>
      </c>
      <c r="G6" s="16">
        <v>1</v>
      </c>
      <c r="H6" s="16">
        <v>0</v>
      </c>
      <c r="I6" s="15" t="s">
        <v>219</v>
      </c>
    </row>
    <row r="7" spans="1:9" ht="61.5" customHeight="1" x14ac:dyDescent="0.15">
      <c r="A7" s="15" t="s">
        <v>191</v>
      </c>
      <c r="B7" s="16">
        <v>47</v>
      </c>
      <c r="C7" s="16">
        <v>0</v>
      </c>
      <c r="D7" s="32">
        <v>47</v>
      </c>
      <c r="E7" s="15" t="s">
        <v>195</v>
      </c>
      <c r="F7" s="15" t="s">
        <v>36</v>
      </c>
      <c r="G7" s="16">
        <v>2</v>
      </c>
      <c r="H7" s="16">
        <v>0</v>
      </c>
      <c r="I7" s="15" t="s">
        <v>224</v>
      </c>
    </row>
    <row r="8" spans="1:9" ht="61.5" customHeight="1" x14ac:dyDescent="0.15">
      <c r="A8" s="15" t="s">
        <v>192</v>
      </c>
      <c r="B8" s="16">
        <v>9</v>
      </c>
      <c r="C8" s="16">
        <v>0</v>
      </c>
      <c r="D8" s="32">
        <v>9</v>
      </c>
      <c r="E8" s="15" t="s">
        <v>199</v>
      </c>
      <c r="F8" s="15" t="s">
        <v>40</v>
      </c>
      <c r="G8" s="16">
        <v>2</v>
      </c>
      <c r="H8" s="16">
        <v>0</v>
      </c>
      <c r="I8" s="15" t="s">
        <v>225</v>
      </c>
    </row>
    <row r="9" spans="1:9" ht="56.25" customHeight="1" x14ac:dyDescent="0.15">
      <c r="A9" s="15" t="s">
        <v>193</v>
      </c>
      <c r="B9" s="16">
        <v>38</v>
      </c>
      <c r="C9" s="16">
        <v>0</v>
      </c>
      <c r="D9" s="30">
        <v>0</v>
      </c>
      <c r="E9" s="15" t="s">
        <v>196</v>
      </c>
      <c r="F9" s="15" t="s">
        <v>142</v>
      </c>
      <c r="G9" s="16">
        <v>2</v>
      </c>
      <c r="H9" s="16">
        <v>0</v>
      </c>
      <c r="I9" s="15" t="s">
        <v>203</v>
      </c>
    </row>
    <row r="10" spans="1:9" ht="62.25" customHeight="1" x14ac:dyDescent="0.15">
      <c r="A10" s="15" t="s">
        <v>193</v>
      </c>
      <c r="B10" s="16">
        <v>4</v>
      </c>
      <c r="C10" s="16">
        <v>0</v>
      </c>
      <c r="D10" s="30">
        <v>0</v>
      </c>
      <c r="E10" s="15" t="s">
        <v>197</v>
      </c>
      <c r="F10" s="15" t="s">
        <v>157</v>
      </c>
      <c r="G10" s="16">
        <v>6</v>
      </c>
      <c r="H10" s="16">
        <v>0</v>
      </c>
      <c r="I10" s="15" t="s">
        <v>208</v>
      </c>
    </row>
    <row r="11" spans="1:9" ht="62.25" customHeight="1" x14ac:dyDescent="0.15">
      <c r="A11" s="15" t="s">
        <v>194</v>
      </c>
      <c r="B11" s="16">
        <v>3</v>
      </c>
      <c r="C11" s="16">
        <v>0</v>
      </c>
      <c r="D11" s="32">
        <v>3</v>
      </c>
      <c r="E11" s="15" t="s">
        <v>198</v>
      </c>
      <c r="F11" s="15" t="s">
        <v>160</v>
      </c>
      <c r="G11" s="16">
        <v>35</v>
      </c>
      <c r="H11" s="16">
        <v>0</v>
      </c>
      <c r="I11" s="15" t="s">
        <v>217</v>
      </c>
    </row>
    <row r="12" spans="1:9" ht="62.25" customHeight="1" x14ac:dyDescent="0.15">
      <c r="A12" s="15" t="s">
        <v>200</v>
      </c>
      <c r="B12" s="16">
        <v>11</v>
      </c>
      <c r="C12" s="16">
        <v>0</v>
      </c>
      <c r="D12" s="30">
        <v>0</v>
      </c>
      <c r="E12" s="15" t="s">
        <v>202</v>
      </c>
      <c r="F12" s="15" t="s">
        <v>177</v>
      </c>
      <c r="G12" s="16">
        <v>1</v>
      </c>
      <c r="H12" s="16">
        <v>0</v>
      </c>
      <c r="I12" s="15" t="s">
        <v>230</v>
      </c>
    </row>
    <row r="13" spans="1:9" ht="62.25" customHeight="1" x14ac:dyDescent="0.15">
      <c r="A13" s="15" t="s">
        <v>204</v>
      </c>
      <c r="B13" s="16">
        <v>3</v>
      </c>
      <c r="C13" s="16">
        <v>0</v>
      </c>
      <c r="D13" s="30">
        <v>0</v>
      </c>
      <c r="E13" s="15" t="s">
        <v>205</v>
      </c>
      <c r="F13" s="15" t="s">
        <v>193</v>
      </c>
      <c r="G13" s="16">
        <v>4</v>
      </c>
      <c r="H13" s="16">
        <v>0</v>
      </c>
      <c r="I13" s="27" t="s">
        <v>197</v>
      </c>
    </row>
    <row r="14" spans="1:9" ht="62.25" customHeight="1" x14ac:dyDescent="0.15">
      <c r="A14" s="15" t="s">
        <v>206</v>
      </c>
      <c r="B14" s="16">
        <v>1</v>
      </c>
      <c r="C14" s="16">
        <v>0</v>
      </c>
      <c r="D14" s="30">
        <v>0</v>
      </c>
      <c r="E14" s="15" t="s">
        <v>210</v>
      </c>
      <c r="F14" s="15" t="s">
        <v>204</v>
      </c>
      <c r="G14" s="16">
        <v>3</v>
      </c>
      <c r="H14" s="16">
        <v>0</v>
      </c>
      <c r="I14" s="15" t="s">
        <v>205</v>
      </c>
    </row>
    <row r="15" spans="1:9" ht="62.25" customHeight="1" x14ac:dyDescent="0.15">
      <c r="A15" s="15" t="s">
        <v>207</v>
      </c>
      <c r="B15" s="16">
        <v>1</v>
      </c>
      <c r="C15" s="16">
        <v>0</v>
      </c>
      <c r="D15" s="30">
        <v>0</v>
      </c>
      <c r="E15" s="15" t="s">
        <v>211</v>
      </c>
      <c r="F15" s="15" t="s">
        <v>213</v>
      </c>
      <c r="G15" s="16">
        <v>1</v>
      </c>
      <c r="H15" s="16">
        <v>0</v>
      </c>
      <c r="I15" s="15" t="s">
        <v>212</v>
      </c>
    </row>
    <row r="16" spans="1:9" ht="62.25" customHeight="1" x14ac:dyDescent="0.15">
      <c r="A16" s="15" t="s">
        <v>209</v>
      </c>
      <c r="B16" s="16">
        <v>15</v>
      </c>
      <c r="C16" s="16">
        <v>0</v>
      </c>
      <c r="D16" s="30">
        <v>0</v>
      </c>
      <c r="E16" s="15" t="s">
        <v>214</v>
      </c>
      <c r="F16" s="15" t="s">
        <v>220</v>
      </c>
      <c r="G16" s="16">
        <v>2</v>
      </c>
      <c r="H16" s="16">
        <v>0</v>
      </c>
      <c r="I16" s="15" t="s">
        <v>226</v>
      </c>
    </row>
    <row r="17" spans="1:9" ht="62.25" customHeight="1" x14ac:dyDescent="0.15">
      <c r="A17" s="15" t="s">
        <v>215</v>
      </c>
      <c r="B17" s="16">
        <v>1</v>
      </c>
      <c r="C17" s="16">
        <v>0</v>
      </c>
      <c r="D17" s="17">
        <v>0</v>
      </c>
      <c r="E17" s="15" t="s">
        <v>231</v>
      </c>
      <c r="F17" s="15" t="s">
        <v>221</v>
      </c>
      <c r="G17" s="16">
        <v>10</v>
      </c>
      <c r="H17" s="16">
        <v>0</v>
      </c>
      <c r="I17" s="15" t="s">
        <v>227</v>
      </c>
    </row>
    <row r="18" spans="1:9" ht="62.25" customHeight="1" x14ac:dyDescent="0.15">
      <c r="A18" s="15" t="s">
        <v>216</v>
      </c>
      <c r="B18" s="16">
        <v>8</v>
      </c>
      <c r="C18" s="16">
        <v>0</v>
      </c>
      <c r="D18" s="32">
        <v>8</v>
      </c>
      <c r="E18" s="15" t="s">
        <v>218</v>
      </c>
      <c r="F18" s="15" t="s">
        <v>222</v>
      </c>
      <c r="G18" s="16">
        <v>12</v>
      </c>
      <c r="H18" s="16">
        <v>0</v>
      </c>
      <c r="I18" s="15" t="s">
        <v>228</v>
      </c>
    </row>
    <row r="19" spans="1:9" ht="62.25" customHeight="1" x14ac:dyDescent="0.15">
      <c r="A19" s="15"/>
      <c r="B19" s="16"/>
      <c r="C19" s="16"/>
      <c r="D19" s="32"/>
      <c r="E19" s="15"/>
      <c r="F19" s="15" t="s">
        <v>223</v>
      </c>
      <c r="G19" s="16">
        <v>1</v>
      </c>
      <c r="H19" s="16">
        <v>0</v>
      </c>
      <c r="I19" s="15" t="s">
        <v>229</v>
      </c>
    </row>
    <row r="20" spans="1:9" ht="62.25" customHeight="1" x14ac:dyDescent="0.15">
      <c r="A20" s="15"/>
      <c r="B20" s="16"/>
      <c r="C20" s="16"/>
      <c r="D20" s="32"/>
      <c r="E20" s="15"/>
      <c r="F20" s="15"/>
      <c r="G20" s="16"/>
      <c r="H20" s="16"/>
      <c r="I20" s="15"/>
    </row>
    <row r="21" spans="1:9" ht="62.25" customHeight="1" x14ac:dyDescent="0.15">
      <c r="A21" s="15"/>
      <c r="B21" s="16"/>
      <c r="C21" s="16"/>
      <c r="D21" s="17"/>
      <c r="E21" s="15"/>
      <c r="F21" s="15"/>
      <c r="G21" s="16"/>
      <c r="H21" s="16"/>
      <c r="I21" s="15"/>
    </row>
    <row r="22" spans="1:9" ht="53.25" customHeight="1" x14ac:dyDescent="0.15">
      <c r="A22" s="15"/>
      <c r="B22" s="16"/>
      <c r="C22" s="16"/>
      <c r="D22" s="16"/>
      <c r="E22" s="15"/>
      <c r="F22" s="15"/>
      <c r="G22" s="16"/>
      <c r="H22" s="16"/>
      <c r="I22" s="15"/>
    </row>
    <row r="23" spans="1:9" ht="30" customHeight="1" x14ac:dyDescent="0.15">
      <c r="A23" s="28" t="s">
        <v>12</v>
      </c>
      <c r="B23" s="29">
        <f>SUM(B6:B22)</f>
        <v>142</v>
      </c>
      <c r="C23" s="29">
        <f>SUM(C6:C22)</f>
        <v>0</v>
      </c>
      <c r="D23" s="29">
        <f>SUM(D6:D22)</f>
        <v>68</v>
      </c>
      <c r="E23" s="29"/>
      <c r="F23" s="29"/>
      <c r="G23" s="29">
        <f>SUM(G6:G22)</f>
        <v>82</v>
      </c>
      <c r="H23" s="29">
        <f>SUM(H6:H22)</f>
        <v>0</v>
      </c>
      <c r="I23" s="29"/>
    </row>
    <row r="26" spans="1:9" ht="30" customHeight="1" x14ac:dyDescent="0.15">
      <c r="A26" s="43" t="s">
        <v>13</v>
      </c>
      <c r="B26" s="43"/>
      <c r="C26" s="43"/>
      <c r="D26" s="43"/>
      <c r="E26" s="43"/>
      <c r="F26" s="43"/>
    </row>
    <row r="27" spans="1:9" ht="30" customHeight="1" x14ac:dyDescent="0.15">
      <c r="A27" s="20" t="s">
        <v>7</v>
      </c>
      <c r="B27" s="18" t="s">
        <v>1</v>
      </c>
      <c r="C27" s="18" t="s">
        <v>11</v>
      </c>
      <c r="D27" s="19" t="s">
        <v>10</v>
      </c>
      <c r="E27" s="19" t="s">
        <v>6</v>
      </c>
      <c r="F27" s="35"/>
    </row>
    <row r="28" spans="1:9" ht="53.25" customHeight="1" x14ac:dyDescent="0.15">
      <c r="A28" s="15" t="s">
        <v>14</v>
      </c>
      <c r="B28" s="31">
        <v>46199</v>
      </c>
      <c r="C28" s="16">
        <v>2</v>
      </c>
      <c r="D28" s="33">
        <v>2</v>
      </c>
      <c r="E28" s="27" t="s">
        <v>15</v>
      </c>
      <c r="F28" s="45" t="s">
        <v>20</v>
      </c>
    </row>
    <row r="29" spans="1:9" ht="53.25" customHeight="1" x14ac:dyDescent="0.15">
      <c r="A29" s="15" t="s">
        <v>17</v>
      </c>
      <c r="B29" s="31">
        <v>46203</v>
      </c>
      <c r="C29" s="16">
        <v>34</v>
      </c>
      <c r="D29" s="33">
        <v>34</v>
      </c>
      <c r="E29" s="37" t="s">
        <v>16</v>
      </c>
      <c r="F29" s="45" t="s">
        <v>22</v>
      </c>
    </row>
    <row r="30" spans="1:9" ht="53.25" customHeight="1" x14ac:dyDescent="0.15">
      <c r="A30" s="15" t="s">
        <v>23</v>
      </c>
      <c r="B30" s="31">
        <v>46213</v>
      </c>
      <c r="C30" s="16">
        <v>46</v>
      </c>
      <c r="D30" s="33">
        <v>46</v>
      </c>
      <c r="E30" s="27" t="s">
        <v>24</v>
      </c>
      <c r="F30" s="34"/>
    </row>
    <row r="31" spans="1:9" ht="66.75" customHeight="1" x14ac:dyDescent="0.15">
      <c r="A31" s="27" t="s">
        <v>25</v>
      </c>
      <c r="B31" s="31">
        <v>46216</v>
      </c>
      <c r="C31" s="46">
        <v>11</v>
      </c>
      <c r="D31" s="36">
        <v>11</v>
      </c>
      <c r="E31" s="27" t="s">
        <v>27</v>
      </c>
      <c r="F31" s="45" t="s">
        <v>45</v>
      </c>
    </row>
    <row r="32" spans="1:9" ht="53.25" customHeight="1" x14ac:dyDescent="0.15">
      <c r="A32" s="15" t="s">
        <v>26</v>
      </c>
      <c r="B32" s="31">
        <v>46216</v>
      </c>
      <c r="C32" s="16">
        <v>6</v>
      </c>
      <c r="D32" s="32">
        <v>6</v>
      </c>
      <c r="E32" s="27" t="s">
        <v>28</v>
      </c>
      <c r="F32" s="45" t="s">
        <v>29</v>
      </c>
    </row>
    <row r="33" spans="1:6" ht="53.25" customHeight="1" x14ac:dyDescent="0.15">
      <c r="A33" s="49" t="s">
        <v>30</v>
      </c>
      <c r="B33" s="31">
        <v>46224</v>
      </c>
      <c r="C33" s="16">
        <v>1</v>
      </c>
      <c r="D33" s="33">
        <v>1</v>
      </c>
      <c r="E33" s="27" t="s">
        <v>31</v>
      </c>
      <c r="F33" s="34"/>
    </row>
    <row r="34" spans="1:6" ht="53.25" customHeight="1" x14ac:dyDescent="0.15">
      <c r="A34" s="15" t="s">
        <v>32</v>
      </c>
      <c r="B34" s="31">
        <v>46226</v>
      </c>
      <c r="C34" s="16">
        <v>20</v>
      </c>
      <c r="D34" s="33">
        <v>20</v>
      </c>
      <c r="E34" s="27" t="s">
        <v>33</v>
      </c>
      <c r="F34" s="34"/>
    </row>
    <row r="35" spans="1:6" ht="53.25" customHeight="1" x14ac:dyDescent="0.15">
      <c r="A35" s="15" t="s">
        <v>34</v>
      </c>
      <c r="B35" s="31">
        <v>46227</v>
      </c>
      <c r="C35" s="30">
        <v>28</v>
      </c>
      <c r="D35" s="32">
        <v>28</v>
      </c>
      <c r="E35" s="27" t="s">
        <v>35</v>
      </c>
      <c r="F35" s="34"/>
    </row>
    <row r="36" spans="1:6" ht="53.25" customHeight="1" x14ac:dyDescent="0.15">
      <c r="A36" s="15" t="s">
        <v>53</v>
      </c>
      <c r="B36" s="31">
        <v>46234</v>
      </c>
      <c r="C36" s="30">
        <v>28</v>
      </c>
      <c r="D36" s="32">
        <v>28</v>
      </c>
      <c r="E36" s="15" t="s">
        <v>56</v>
      </c>
      <c r="F36" s="34"/>
    </row>
    <row r="37" spans="1:6" ht="53.25" customHeight="1" x14ac:dyDescent="0.15">
      <c r="A37" s="15" t="s">
        <v>63</v>
      </c>
      <c r="B37" s="31">
        <v>46237</v>
      </c>
      <c r="C37" s="30">
        <v>13</v>
      </c>
      <c r="D37" s="32">
        <v>13</v>
      </c>
      <c r="E37" s="15" t="s">
        <v>75</v>
      </c>
      <c r="F37" s="34"/>
    </row>
    <row r="38" spans="1:6" ht="53.25" customHeight="1" x14ac:dyDescent="0.15">
      <c r="A38" s="15" t="s">
        <v>64</v>
      </c>
      <c r="B38" s="31">
        <v>46237</v>
      </c>
      <c r="C38" s="30">
        <v>5</v>
      </c>
      <c r="D38" s="32">
        <v>5</v>
      </c>
      <c r="E38" s="15" t="s">
        <v>77</v>
      </c>
      <c r="F38" s="34"/>
    </row>
    <row r="39" spans="1:6" ht="53.25" customHeight="1" x14ac:dyDescent="0.15">
      <c r="A39" s="26" t="s">
        <v>81</v>
      </c>
      <c r="B39" s="31">
        <v>46238</v>
      </c>
      <c r="C39" s="30">
        <v>17</v>
      </c>
      <c r="D39" s="32">
        <v>17</v>
      </c>
      <c r="E39" s="15" t="s">
        <v>84</v>
      </c>
      <c r="F39" s="34"/>
    </row>
    <row r="40" spans="1:6" ht="66.75" customHeight="1" x14ac:dyDescent="0.15">
      <c r="A40" s="15" t="s">
        <v>128</v>
      </c>
      <c r="B40" s="31">
        <v>46239</v>
      </c>
      <c r="C40" s="30">
        <v>2</v>
      </c>
      <c r="D40" s="32">
        <v>2</v>
      </c>
      <c r="E40" s="15" t="s">
        <v>130</v>
      </c>
      <c r="F40" s="34"/>
    </row>
    <row r="41" spans="1:6" ht="53.25" customHeight="1" x14ac:dyDescent="0.15">
      <c r="A41" s="26" t="s">
        <v>129</v>
      </c>
      <c r="B41" s="31">
        <v>46239</v>
      </c>
      <c r="C41" s="30">
        <v>5</v>
      </c>
      <c r="D41" s="32">
        <v>5</v>
      </c>
      <c r="E41" s="15" t="s">
        <v>131</v>
      </c>
      <c r="F41" s="34"/>
    </row>
    <row r="42" spans="1:6" ht="53.25" customHeight="1" x14ac:dyDescent="0.15">
      <c r="A42" s="15" t="s">
        <v>150</v>
      </c>
      <c r="B42" s="31">
        <v>46240</v>
      </c>
      <c r="C42" s="30">
        <v>1</v>
      </c>
      <c r="D42" s="32">
        <v>1</v>
      </c>
      <c r="E42" s="15" t="s">
        <v>152</v>
      </c>
      <c r="F42" s="34"/>
    </row>
    <row r="43" spans="1:6" ht="53.25" customHeight="1" x14ac:dyDescent="0.15">
      <c r="A43" s="15" t="s">
        <v>158</v>
      </c>
      <c r="B43" s="31">
        <v>46241</v>
      </c>
      <c r="C43" s="30">
        <v>3</v>
      </c>
      <c r="D43" s="32">
        <v>3</v>
      </c>
      <c r="E43" s="15" t="s">
        <v>172</v>
      </c>
      <c r="F43" s="34"/>
    </row>
    <row r="44" spans="1:6" ht="53.25" customHeight="1" x14ac:dyDescent="0.15">
      <c r="A44" s="15" t="s">
        <v>159</v>
      </c>
      <c r="B44" s="31">
        <v>46241</v>
      </c>
      <c r="C44" s="30">
        <v>5</v>
      </c>
      <c r="D44" s="32">
        <v>5</v>
      </c>
      <c r="E44" s="15" t="s">
        <v>175</v>
      </c>
      <c r="F44" s="34"/>
    </row>
    <row r="45" spans="1:6" ht="53.25" customHeight="1" x14ac:dyDescent="0.15">
      <c r="A45" s="15" t="s">
        <v>160</v>
      </c>
      <c r="B45" s="31">
        <v>46241</v>
      </c>
      <c r="C45" s="30">
        <v>35</v>
      </c>
      <c r="D45" s="30">
        <v>0</v>
      </c>
      <c r="E45" s="15" t="s">
        <v>162</v>
      </c>
      <c r="F45" s="34" t="s">
        <v>183</v>
      </c>
    </row>
    <row r="46" spans="1:6" ht="53.25" customHeight="1" x14ac:dyDescent="0.15">
      <c r="A46" s="15" t="s">
        <v>177</v>
      </c>
      <c r="B46" s="31">
        <v>46241</v>
      </c>
      <c r="C46" s="30">
        <v>1</v>
      </c>
      <c r="D46" s="30">
        <v>0</v>
      </c>
      <c r="E46" s="15" t="s">
        <v>181</v>
      </c>
      <c r="F46" s="34" t="s">
        <v>182</v>
      </c>
    </row>
    <row r="47" spans="1:6" ht="57.75" customHeight="1" x14ac:dyDescent="0.15">
      <c r="A47" s="15" t="s">
        <v>18</v>
      </c>
      <c r="B47" s="31">
        <v>46206</v>
      </c>
      <c r="C47" s="16">
        <v>1</v>
      </c>
      <c r="D47" s="46">
        <v>0</v>
      </c>
      <c r="E47" s="37" t="s">
        <v>19</v>
      </c>
      <c r="F47" s="34" t="s">
        <v>186</v>
      </c>
    </row>
    <row r="48" spans="1:6" ht="53.25" customHeight="1" x14ac:dyDescent="0.15">
      <c r="A48" s="15" t="s">
        <v>36</v>
      </c>
      <c r="B48" s="31">
        <v>46227</v>
      </c>
      <c r="C48" s="30">
        <v>2</v>
      </c>
      <c r="D48" s="30">
        <v>0</v>
      </c>
      <c r="E48" s="27" t="s">
        <v>37</v>
      </c>
      <c r="F48" s="34" t="s">
        <v>187</v>
      </c>
    </row>
    <row r="49" spans="1:6" ht="53.25" customHeight="1" x14ac:dyDescent="0.15">
      <c r="A49" s="26" t="s">
        <v>40</v>
      </c>
      <c r="B49" s="31">
        <v>46230</v>
      </c>
      <c r="C49" s="30">
        <v>2</v>
      </c>
      <c r="D49" s="30">
        <v>0</v>
      </c>
      <c r="E49" s="26" t="s">
        <v>41</v>
      </c>
      <c r="F49" s="34" t="s">
        <v>188</v>
      </c>
    </row>
    <row r="50" spans="1:6" ht="53.25" customHeight="1" x14ac:dyDescent="0.15">
      <c r="A50" s="15" t="s">
        <v>142</v>
      </c>
      <c r="B50" s="31">
        <v>46240</v>
      </c>
      <c r="C50" s="30">
        <v>2</v>
      </c>
      <c r="D50" s="30">
        <v>0</v>
      </c>
      <c r="E50" s="15" t="s">
        <v>145</v>
      </c>
      <c r="F50" s="34" t="s">
        <v>185</v>
      </c>
    </row>
    <row r="51" spans="1:6" ht="53.25" customHeight="1" x14ac:dyDescent="0.15">
      <c r="A51" s="15" t="s">
        <v>157</v>
      </c>
      <c r="B51" s="31">
        <v>46241</v>
      </c>
      <c r="C51" s="30">
        <v>6</v>
      </c>
      <c r="D51" s="30">
        <v>0</v>
      </c>
      <c r="E51" s="15" t="s">
        <v>167</v>
      </c>
      <c r="F51" s="34" t="s">
        <v>184</v>
      </c>
    </row>
    <row r="52" spans="1:6" ht="53.25" customHeight="1" x14ac:dyDescent="0.15">
      <c r="A52" s="15"/>
      <c r="B52" s="31"/>
      <c r="C52" s="30"/>
      <c r="D52" s="32"/>
      <c r="E52" s="15"/>
      <c r="F52" s="34"/>
    </row>
    <row r="53" spans="1:6" ht="53.25" customHeight="1" x14ac:dyDescent="0.15">
      <c r="A53" s="15"/>
      <c r="B53" s="31"/>
      <c r="C53" s="30"/>
      <c r="D53" s="32"/>
      <c r="E53" s="15"/>
      <c r="F53" s="34"/>
    </row>
    <row r="54" spans="1:6" ht="53.25" customHeight="1" x14ac:dyDescent="0.15">
      <c r="A54" s="15"/>
      <c r="B54" s="31"/>
      <c r="C54" s="30"/>
      <c r="D54" s="32"/>
      <c r="E54" s="15"/>
      <c r="F54" s="34"/>
    </row>
    <row r="55" spans="1:6" ht="53.25" customHeight="1" x14ac:dyDescent="0.15">
      <c r="A55" s="15"/>
      <c r="B55" s="31"/>
      <c r="C55" s="30"/>
      <c r="D55" s="32"/>
      <c r="E55" s="15"/>
      <c r="F55" s="34"/>
    </row>
    <row r="56" spans="1:6" ht="53.25" customHeight="1" x14ac:dyDescent="0.15">
      <c r="A56" s="15"/>
      <c r="B56" s="31"/>
      <c r="C56" s="30"/>
      <c r="D56" s="32"/>
      <c r="E56" s="15"/>
      <c r="F56" s="34"/>
    </row>
    <row r="57" spans="1:6" ht="53.25" customHeight="1" x14ac:dyDescent="0.15">
      <c r="A57" s="15"/>
      <c r="B57" s="31"/>
      <c r="C57" s="30"/>
      <c r="D57" s="32"/>
      <c r="E57" s="15"/>
      <c r="F57" s="34"/>
    </row>
    <row r="58" spans="1:6" ht="53.25" customHeight="1" x14ac:dyDescent="0.15">
      <c r="A58" s="15"/>
      <c r="B58" s="31"/>
      <c r="C58" s="30"/>
      <c r="D58" s="32"/>
      <c r="E58" s="15"/>
      <c r="F58" s="34"/>
    </row>
    <row r="59" spans="1:6" ht="53.25" customHeight="1" x14ac:dyDescent="0.15">
      <c r="A59" s="15"/>
      <c r="B59" s="31"/>
      <c r="C59" s="30"/>
      <c r="D59" s="32"/>
      <c r="E59" s="15"/>
      <c r="F59" s="34"/>
    </row>
    <row r="60" spans="1:6" ht="60.6" customHeight="1" x14ac:dyDescent="0.15">
      <c r="A60" s="15"/>
      <c r="B60" s="31"/>
      <c r="C60" s="30"/>
      <c r="D60" s="30"/>
      <c r="E60" s="15"/>
      <c r="F60" s="34"/>
    </row>
    <row r="61" spans="1:6" ht="53.25" customHeight="1" x14ac:dyDescent="0.15">
      <c r="A61" s="15"/>
      <c r="B61" s="31"/>
      <c r="C61" s="16"/>
      <c r="D61" s="32"/>
      <c r="E61" s="27"/>
      <c r="F61" s="34"/>
    </row>
    <row r="62" spans="1:6" ht="38.25" customHeight="1" x14ac:dyDescent="0.15">
      <c r="A62" s="22" t="s">
        <v>12</v>
      </c>
      <c r="B62" s="21"/>
      <c r="C62" s="21">
        <f>SUM(C28:C61)</f>
        <v>276</v>
      </c>
      <c r="D62" s="21">
        <f>SUM(D28:D61)</f>
        <v>227</v>
      </c>
      <c r="E62" s="38"/>
      <c r="F62" s="39"/>
    </row>
    <row r="63" spans="1:6" ht="30" customHeight="1" x14ac:dyDescent="0.15">
      <c r="D63" s="44"/>
    </row>
    <row r="64" spans="1:6" ht="30" customHeight="1" x14ac:dyDescent="0.15">
      <c r="D64" s="44"/>
    </row>
  </sheetData>
  <pageMargins left="0.7" right="0.7" top="0.75" bottom="0.75" header="0.3" footer="0.3"/>
  <pageSetup scale="3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C5D8-25CC-4773-901B-25FC851988E3}">
  <sheetPr>
    <pageSetUpPr fitToPage="1"/>
  </sheetPr>
  <dimension ref="A1:I52"/>
  <sheetViews>
    <sheetView topLeftCell="A6" zoomScale="85" zoomScaleNormal="85" workbookViewId="0">
      <selection activeCell="I41" sqref="I41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46245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3" customHeight="1" x14ac:dyDescent="0.15">
      <c r="A6" s="15" t="s">
        <v>232</v>
      </c>
      <c r="B6" s="16">
        <v>13</v>
      </c>
      <c r="C6" s="16">
        <v>0</v>
      </c>
      <c r="D6" s="30">
        <v>0</v>
      </c>
      <c r="E6" s="15" t="s">
        <v>240</v>
      </c>
      <c r="F6" s="15" t="s">
        <v>235</v>
      </c>
      <c r="G6" s="16">
        <v>81</v>
      </c>
      <c r="H6" s="16">
        <v>0</v>
      </c>
      <c r="I6" s="15" t="s">
        <v>234</v>
      </c>
    </row>
    <row r="7" spans="1:9" ht="63" customHeight="1" x14ac:dyDescent="0.15">
      <c r="A7" s="15" t="s">
        <v>232</v>
      </c>
      <c r="B7" s="16">
        <v>2</v>
      </c>
      <c r="C7" s="16">
        <v>0</v>
      </c>
      <c r="D7" s="30">
        <v>0</v>
      </c>
      <c r="E7" s="15" t="s">
        <v>241</v>
      </c>
      <c r="F7" s="15" t="s">
        <v>236</v>
      </c>
      <c r="G7" s="16">
        <v>1</v>
      </c>
      <c r="H7" s="16">
        <v>0</v>
      </c>
      <c r="I7" s="15" t="s">
        <v>243</v>
      </c>
    </row>
    <row r="8" spans="1:9" ht="61.5" customHeight="1" x14ac:dyDescent="0.15">
      <c r="A8" s="15" t="s">
        <v>233</v>
      </c>
      <c r="B8" s="16">
        <v>7</v>
      </c>
      <c r="C8" s="16">
        <v>0</v>
      </c>
      <c r="D8" s="32">
        <v>7</v>
      </c>
      <c r="E8" s="15" t="s">
        <v>242</v>
      </c>
      <c r="F8" s="15" t="s">
        <v>239</v>
      </c>
      <c r="G8" s="16">
        <v>2</v>
      </c>
      <c r="H8" s="16">
        <v>0</v>
      </c>
      <c r="I8" s="15" t="s">
        <v>238</v>
      </c>
    </row>
    <row r="9" spans="1:9" ht="61.5" customHeight="1" x14ac:dyDescent="0.15">
      <c r="A9" s="15" t="s">
        <v>237</v>
      </c>
      <c r="B9" s="16">
        <v>0</v>
      </c>
      <c r="C9" s="16">
        <v>2</v>
      </c>
      <c r="D9" s="30">
        <v>0</v>
      </c>
      <c r="E9" s="15" t="s">
        <v>263</v>
      </c>
      <c r="F9" s="15" t="s">
        <v>247</v>
      </c>
      <c r="G9" s="16">
        <v>25</v>
      </c>
      <c r="H9" s="16">
        <v>0</v>
      </c>
      <c r="I9" s="15" t="s">
        <v>249</v>
      </c>
    </row>
    <row r="10" spans="1:9" ht="70.5" customHeight="1" x14ac:dyDescent="0.15">
      <c r="A10" s="15" t="s">
        <v>244</v>
      </c>
      <c r="B10" s="16">
        <v>44</v>
      </c>
      <c r="C10" s="16">
        <v>0</v>
      </c>
      <c r="D10" s="30">
        <v>0</v>
      </c>
      <c r="E10" s="15" t="s">
        <v>245</v>
      </c>
      <c r="F10" s="15" t="s">
        <v>64</v>
      </c>
      <c r="G10" s="16">
        <v>5</v>
      </c>
      <c r="H10" s="16">
        <v>0</v>
      </c>
      <c r="I10" s="15" t="s">
        <v>262</v>
      </c>
    </row>
    <row r="11" spans="1:9" ht="62.25" customHeight="1" x14ac:dyDescent="0.15">
      <c r="A11" s="15" t="s">
        <v>246</v>
      </c>
      <c r="B11" s="16">
        <v>2</v>
      </c>
      <c r="C11" s="16">
        <v>0</v>
      </c>
      <c r="D11" s="30">
        <v>0</v>
      </c>
      <c r="E11" s="15" t="s">
        <v>250</v>
      </c>
      <c r="F11" s="15" t="s">
        <v>232</v>
      </c>
      <c r="G11" s="16">
        <v>2</v>
      </c>
      <c r="H11" s="16">
        <v>0</v>
      </c>
      <c r="I11" s="15" t="s">
        <v>241</v>
      </c>
    </row>
    <row r="12" spans="1:9" ht="62.25" customHeight="1" x14ac:dyDescent="0.15">
      <c r="A12" s="15" t="s">
        <v>248</v>
      </c>
      <c r="B12" s="16">
        <v>1</v>
      </c>
      <c r="C12" s="16">
        <v>0</v>
      </c>
      <c r="D12" s="30">
        <v>0</v>
      </c>
      <c r="E12" s="15" t="s">
        <v>260</v>
      </c>
      <c r="F12" s="15"/>
      <c r="G12" s="16"/>
      <c r="H12" s="16"/>
      <c r="I12" s="15"/>
    </row>
    <row r="13" spans="1:9" ht="62.25" customHeight="1" x14ac:dyDescent="0.15">
      <c r="A13" s="15"/>
      <c r="B13" s="16"/>
      <c r="C13" s="16"/>
      <c r="D13" s="30"/>
      <c r="E13" s="15"/>
      <c r="F13" s="15"/>
      <c r="G13" s="16"/>
      <c r="H13" s="16"/>
      <c r="I13" s="15"/>
    </row>
    <row r="14" spans="1:9" ht="62.25" customHeight="1" x14ac:dyDescent="0.15">
      <c r="A14" s="15"/>
      <c r="B14" s="16"/>
      <c r="C14" s="16"/>
      <c r="D14" s="30"/>
      <c r="E14" s="15"/>
      <c r="F14" s="15"/>
      <c r="G14" s="16"/>
      <c r="H14" s="16"/>
      <c r="I14" s="15"/>
    </row>
    <row r="15" spans="1:9" ht="62.25" customHeight="1" x14ac:dyDescent="0.15">
      <c r="A15" s="15"/>
      <c r="B15" s="16"/>
      <c r="C15" s="16"/>
      <c r="D15" s="32"/>
      <c r="E15" s="15"/>
      <c r="F15" s="15"/>
      <c r="G15" s="16"/>
      <c r="H15" s="16"/>
      <c r="I15" s="15"/>
    </row>
    <row r="16" spans="1:9" ht="62.25" customHeight="1" x14ac:dyDescent="0.15">
      <c r="A16" s="15"/>
      <c r="B16" s="16"/>
      <c r="C16" s="16"/>
      <c r="D16" s="17"/>
      <c r="E16" s="15"/>
      <c r="F16" s="15"/>
      <c r="G16" s="16"/>
      <c r="H16" s="16"/>
      <c r="I16" s="15"/>
    </row>
    <row r="17" spans="1:9" ht="53.25" customHeight="1" x14ac:dyDescent="0.15">
      <c r="A17" s="15"/>
      <c r="B17" s="16"/>
      <c r="C17" s="16"/>
      <c r="D17" s="16"/>
      <c r="E17" s="15"/>
      <c r="F17" s="15"/>
      <c r="G17" s="16"/>
      <c r="H17" s="16"/>
      <c r="I17" s="15"/>
    </row>
    <row r="18" spans="1:9" ht="30" customHeight="1" x14ac:dyDescent="0.15">
      <c r="A18" s="28" t="s">
        <v>12</v>
      </c>
      <c r="B18" s="29">
        <f>SUM(B6:B17)</f>
        <v>69</v>
      </c>
      <c r="C18" s="29">
        <f>SUM(C6:C17)</f>
        <v>2</v>
      </c>
      <c r="D18" s="29">
        <f>SUM(D6:D17)</f>
        <v>7</v>
      </c>
      <c r="E18" s="29"/>
      <c r="F18" s="29"/>
      <c r="G18" s="29">
        <f>SUM(G6:G17)</f>
        <v>116</v>
      </c>
      <c r="H18" s="29">
        <f>SUM(H6:H17)</f>
        <v>0</v>
      </c>
      <c r="I18" s="29"/>
    </row>
    <row r="21" spans="1:9" ht="30" customHeight="1" x14ac:dyDescent="0.15">
      <c r="A21" s="43" t="s">
        <v>13</v>
      </c>
      <c r="B21" s="43"/>
      <c r="C21" s="43"/>
      <c r="D21" s="43"/>
      <c r="E21" s="43"/>
      <c r="F21" s="43"/>
    </row>
    <row r="22" spans="1:9" ht="30" customHeight="1" x14ac:dyDescent="0.15">
      <c r="A22" s="20" t="s">
        <v>7</v>
      </c>
      <c r="B22" s="18" t="s">
        <v>1</v>
      </c>
      <c r="C22" s="18" t="s">
        <v>11</v>
      </c>
      <c r="D22" s="19" t="s">
        <v>10</v>
      </c>
      <c r="E22" s="19" t="s">
        <v>6</v>
      </c>
      <c r="F22" s="35"/>
    </row>
    <row r="23" spans="1:9" ht="53.25" customHeight="1" x14ac:dyDescent="0.15">
      <c r="A23" s="15" t="s">
        <v>14</v>
      </c>
      <c r="B23" s="31">
        <v>46199</v>
      </c>
      <c r="C23" s="16">
        <v>2</v>
      </c>
      <c r="D23" s="33">
        <v>2</v>
      </c>
      <c r="E23" s="27" t="s">
        <v>15</v>
      </c>
      <c r="F23" s="45" t="s">
        <v>20</v>
      </c>
    </row>
    <row r="24" spans="1:9" ht="53.25" customHeight="1" x14ac:dyDescent="0.15">
      <c r="A24" s="15" t="s">
        <v>17</v>
      </c>
      <c r="B24" s="31">
        <v>46203</v>
      </c>
      <c r="C24" s="16">
        <v>34</v>
      </c>
      <c r="D24" s="33">
        <v>34</v>
      </c>
      <c r="E24" s="37" t="s">
        <v>16</v>
      </c>
      <c r="F24" s="45" t="s">
        <v>22</v>
      </c>
    </row>
    <row r="25" spans="1:9" ht="53.25" customHeight="1" x14ac:dyDescent="0.15">
      <c r="A25" s="15" t="s">
        <v>23</v>
      </c>
      <c r="B25" s="31">
        <v>46213</v>
      </c>
      <c r="C25" s="16">
        <v>46</v>
      </c>
      <c r="D25" s="33">
        <v>46</v>
      </c>
      <c r="E25" s="27" t="s">
        <v>24</v>
      </c>
      <c r="F25" s="34"/>
    </row>
    <row r="26" spans="1:9" ht="66.75" customHeight="1" x14ac:dyDescent="0.15">
      <c r="A26" s="27" t="s">
        <v>25</v>
      </c>
      <c r="B26" s="31">
        <v>46216</v>
      </c>
      <c r="C26" s="46">
        <v>11</v>
      </c>
      <c r="D26" s="36">
        <v>11</v>
      </c>
      <c r="E26" s="27" t="s">
        <v>27</v>
      </c>
      <c r="F26" s="45" t="s">
        <v>45</v>
      </c>
    </row>
    <row r="27" spans="1:9" ht="53.25" customHeight="1" x14ac:dyDescent="0.15">
      <c r="A27" s="15" t="s">
        <v>26</v>
      </c>
      <c r="B27" s="31">
        <v>46216</v>
      </c>
      <c r="C27" s="16">
        <v>6</v>
      </c>
      <c r="D27" s="32">
        <v>6</v>
      </c>
      <c r="E27" s="27" t="s">
        <v>28</v>
      </c>
      <c r="F27" s="45" t="s">
        <v>29</v>
      </c>
    </row>
    <row r="28" spans="1:9" ht="53.25" customHeight="1" x14ac:dyDescent="0.15">
      <c r="A28" s="49" t="s">
        <v>30</v>
      </c>
      <c r="B28" s="31">
        <v>46224</v>
      </c>
      <c r="C28" s="16">
        <v>1</v>
      </c>
      <c r="D28" s="33">
        <v>1</v>
      </c>
      <c r="E28" s="27" t="s">
        <v>31</v>
      </c>
      <c r="F28" s="34"/>
    </row>
    <row r="29" spans="1:9" ht="53.25" customHeight="1" x14ac:dyDescent="0.15">
      <c r="A29" s="15" t="s">
        <v>32</v>
      </c>
      <c r="B29" s="31">
        <v>46226</v>
      </c>
      <c r="C29" s="16">
        <v>20</v>
      </c>
      <c r="D29" s="33">
        <v>20</v>
      </c>
      <c r="E29" s="27" t="s">
        <v>33</v>
      </c>
      <c r="F29" s="34"/>
    </row>
    <row r="30" spans="1:9" ht="53.25" customHeight="1" x14ac:dyDescent="0.15">
      <c r="A30" s="15" t="s">
        <v>34</v>
      </c>
      <c r="B30" s="31">
        <v>46227</v>
      </c>
      <c r="C30" s="30">
        <v>28</v>
      </c>
      <c r="D30" s="32">
        <v>28</v>
      </c>
      <c r="E30" s="27" t="s">
        <v>35</v>
      </c>
      <c r="F30" s="34"/>
    </row>
    <row r="31" spans="1:9" ht="53.25" customHeight="1" x14ac:dyDescent="0.15">
      <c r="A31" s="15" t="s">
        <v>63</v>
      </c>
      <c r="B31" s="31">
        <v>46237</v>
      </c>
      <c r="C31" s="30">
        <v>13</v>
      </c>
      <c r="D31" s="32">
        <v>13</v>
      </c>
      <c r="E31" s="15" t="s">
        <v>75</v>
      </c>
      <c r="F31" s="34"/>
    </row>
    <row r="32" spans="1:9" ht="53.25" customHeight="1" x14ac:dyDescent="0.15">
      <c r="A32" s="26" t="s">
        <v>81</v>
      </c>
      <c r="B32" s="31">
        <v>46238</v>
      </c>
      <c r="C32" s="30">
        <v>17</v>
      </c>
      <c r="D32" s="32">
        <v>17</v>
      </c>
      <c r="E32" s="15" t="s">
        <v>84</v>
      </c>
      <c r="F32" s="34"/>
    </row>
    <row r="33" spans="1:7" ht="53.25" customHeight="1" x14ac:dyDescent="0.15">
      <c r="A33" s="26" t="s">
        <v>129</v>
      </c>
      <c r="B33" s="31">
        <v>46239</v>
      </c>
      <c r="C33" s="30">
        <v>5</v>
      </c>
      <c r="D33" s="32">
        <v>5</v>
      </c>
      <c r="E33" s="15" t="s">
        <v>131</v>
      </c>
      <c r="F33" s="34"/>
    </row>
    <row r="34" spans="1:7" ht="53.25" customHeight="1" x14ac:dyDescent="0.15">
      <c r="A34" s="15" t="s">
        <v>158</v>
      </c>
      <c r="B34" s="31">
        <v>46241</v>
      </c>
      <c r="C34" s="30">
        <v>3</v>
      </c>
      <c r="D34" s="32">
        <v>3</v>
      </c>
      <c r="E34" s="15" t="s">
        <v>172</v>
      </c>
      <c r="F34" s="34"/>
    </row>
    <row r="35" spans="1:7" ht="53.25" customHeight="1" x14ac:dyDescent="0.15">
      <c r="A35" s="15" t="s">
        <v>191</v>
      </c>
      <c r="B35" s="31">
        <v>46244</v>
      </c>
      <c r="C35" s="16">
        <v>47</v>
      </c>
      <c r="D35" s="33">
        <v>47</v>
      </c>
      <c r="E35" s="15" t="s">
        <v>195</v>
      </c>
      <c r="F35" s="34"/>
    </row>
    <row r="36" spans="1:7" ht="53.25" customHeight="1" x14ac:dyDescent="0.15">
      <c r="A36" s="15" t="s">
        <v>216</v>
      </c>
      <c r="B36" s="31">
        <v>46244</v>
      </c>
      <c r="C36" s="16">
        <v>8</v>
      </c>
      <c r="D36" s="33">
        <v>8</v>
      </c>
      <c r="E36" s="15" t="s">
        <v>218</v>
      </c>
      <c r="F36" s="34"/>
    </row>
    <row r="37" spans="1:7" ht="53.25" customHeight="1" x14ac:dyDescent="0.15">
      <c r="A37" s="15" t="s">
        <v>64</v>
      </c>
      <c r="B37" s="31">
        <v>46237</v>
      </c>
      <c r="C37" s="30">
        <v>5</v>
      </c>
      <c r="D37" s="30">
        <v>0</v>
      </c>
      <c r="E37" s="15" t="s">
        <v>77</v>
      </c>
      <c r="F37" s="34" t="s">
        <v>261</v>
      </c>
    </row>
    <row r="38" spans="1:7" ht="53.25" customHeight="1" x14ac:dyDescent="0.15">
      <c r="A38" s="15" t="s">
        <v>53</v>
      </c>
      <c r="B38" s="31">
        <v>46234</v>
      </c>
      <c r="C38" s="30">
        <v>28</v>
      </c>
      <c r="D38" s="32">
        <v>28</v>
      </c>
      <c r="E38" s="15" t="s">
        <v>56</v>
      </c>
      <c r="F38" s="45" t="s">
        <v>255</v>
      </c>
      <c r="G38" s="3" t="s">
        <v>252</v>
      </c>
    </row>
    <row r="39" spans="1:7" ht="66.75" customHeight="1" x14ac:dyDescent="0.15">
      <c r="A39" s="15" t="s">
        <v>128</v>
      </c>
      <c r="B39" s="31">
        <v>46239</v>
      </c>
      <c r="C39" s="30">
        <v>2</v>
      </c>
      <c r="D39" s="32">
        <v>2</v>
      </c>
      <c r="E39" s="15" t="s">
        <v>130</v>
      </c>
      <c r="F39" s="45" t="s">
        <v>257</v>
      </c>
      <c r="G39" s="3" t="s">
        <v>252</v>
      </c>
    </row>
    <row r="40" spans="1:7" ht="53.25" customHeight="1" x14ac:dyDescent="0.15">
      <c r="A40" s="15" t="s">
        <v>150</v>
      </c>
      <c r="B40" s="31">
        <v>46240</v>
      </c>
      <c r="C40" s="30">
        <v>1</v>
      </c>
      <c r="D40" s="32">
        <v>1</v>
      </c>
      <c r="E40" s="15" t="s">
        <v>152</v>
      </c>
      <c r="F40" s="45" t="s">
        <v>256</v>
      </c>
      <c r="G40" s="3" t="s">
        <v>252</v>
      </c>
    </row>
    <row r="41" spans="1:7" ht="53.25" customHeight="1" x14ac:dyDescent="0.15">
      <c r="A41" s="15" t="s">
        <v>159</v>
      </c>
      <c r="B41" s="31">
        <v>46241</v>
      </c>
      <c r="C41" s="30">
        <v>5</v>
      </c>
      <c r="D41" s="32">
        <v>5</v>
      </c>
      <c r="E41" s="15" t="s">
        <v>175</v>
      </c>
      <c r="F41" s="45" t="s">
        <v>258</v>
      </c>
      <c r="G41" s="3" t="s">
        <v>259</v>
      </c>
    </row>
    <row r="42" spans="1:7" ht="53.25" customHeight="1" x14ac:dyDescent="0.15">
      <c r="A42" s="15" t="s">
        <v>190</v>
      </c>
      <c r="B42" s="31">
        <v>46244</v>
      </c>
      <c r="C42" s="16">
        <v>1</v>
      </c>
      <c r="D42" s="33">
        <v>1</v>
      </c>
      <c r="E42" s="15" t="s">
        <v>201</v>
      </c>
      <c r="F42" s="45" t="s">
        <v>251</v>
      </c>
      <c r="G42" s="3" t="s">
        <v>252</v>
      </c>
    </row>
    <row r="43" spans="1:7" ht="57.75" customHeight="1" x14ac:dyDescent="0.15">
      <c r="A43" s="15" t="s">
        <v>192</v>
      </c>
      <c r="B43" s="31">
        <v>46244</v>
      </c>
      <c r="C43" s="16">
        <v>9</v>
      </c>
      <c r="D43" s="33">
        <v>9</v>
      </c>
      <c r="E43" s="15" t="s">
        <v>199</v>
      </c>
      <c r="F43" s="45" t="s">
        <v>254</v>
      </c>
      <c r="G43" s="3" t="s">
        <v>252</v>
      </c>
    </row>
    <row r="44" spans="1:7" ht="53.25" customHeight="1" x14ac:dyDescent="0.15">
      <c r="A44" s="15" t="s">
        <v>194</v>
      </c>
      <c r="B44" s="31">
        <v>46244</v>
      </c>
      <c r="C44" s="16">
        <v>3</v>
      </c>
      <c r="D44" s="33">
        <v>3</v>
      </c>
      <c r="E44" s="15" t="s">
        <v>198</v>
      </c>
      <c r="F44" s="45" t="s">
        <v>253</v>
      </c>
      <c r="G44" s="3" t="s">
        <v>252</v>
      </c>
    </row>
    <row r="45" spans="1:7" ht="53.25" customHeight="1" x14ac:dyDescent="0.15">
      <c r="A45" s="15"/>
      <c r="B45" s="31"/>
      <c r="C45" s="30"/>
      <c r="D45" s="30"/>
      <c r="E45" s="15"/>
      <c r="F45" s="34"/>
    </row>
    <row r="46" spans="1:7" ht="53.25" customHeight="1" x14ac:dyDescent="0.15">
      <c r="A46" s="15"/>
      <c r="B46" s="31"/>
      <c r="C46" s="30"/>
      <c r="D46" s="30"/>
      <c r="E46" s="15"/>
      <c r="F46" s="34"/>
    </row>
    <row r="47" spans="1:7" ht="53.25" customHeight="1" x14ac:dyDescent="0.15">
      <c r="A47" s="15"/>
      <c r="B47" s="31"/>
      <c r="C47" s="30"/>
      <c r="D47" s="32"/>
      <c r="E47" s="15"/>
      <c r="F47" s="34"/>
    </row>
    <row r="48" spans="1:7" ht="60.6" customHeight="1" x14ac:dyDescent="0.15">
      <c r="A48" s="15"/>
      <c r="B48" s="31"/>
      <c r="C48" s="30"/>
      <c r="D48" s="30"/>
      <c r="E48" s="15"/>
      <c r="F48" s="34"/>
    </row>
    <row r="49" spans="1:6" ht="53.25" customHeight="1" x14ac:dyDescent="0.15">
      <c r="A49" s="15"/>
      <c r="B49" s="31"/>
      <c r="C49" s="16"/>
      <c r="D49" s="32"/>
      <c r="E49" s="27"/>
      <c r="F49" s="34"/>
    </row>
    <row r="50" spans="1:6" ht="38.25" customHeight="1" x14ac:dyDescent="0.15">
      <c r="A50" s="22" t="s">
        <v>12</v>
      </c>
      <c r="B50" s="21"/>
      <c r="C50" s="21">
        <f>SUM(C23:C49)</f>
        <v>295</v>
      </c>
      <c r="D50" s="21">
        <f>SUM(D23:D49)</f>
        <v>290</v>
      </c>
      <c r="E50" s="38"/>
      <c r="F50" s="39"/>
    </row>
    <row r="51" spans="1:6" ht="30" customHeight="1" x14ac:dyDescent="0.15">
      <c r="D51" s="44"/>
    </row>
    <row r="52" spans="1:6" ht="30" customHeight="1" x14ac:dyDescent="0.15">
      <c r="D52" s="44"/>
    </row>
  </sheetData>
  <pageMargins left="0.7" right="0.7" top="0.75" bottom="0.75" header="0.3" footer="0.3"/>
  <pageSetup scale="3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C07A-A136-4F29-A9E4-89168B6C839B}">
  <sheetPr>
    <pageSetUpPr fitToPage="1"/>
  </sheetPr>
  <dimension ref="A1:I53"/>
  <sheetViews>
    <sheetView topLeftCell="A2" zoomScale="85" zoomScaleNormal="85" workbookViewId="0">
      <selection activeCell="H17" sqref="H17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46246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93.75" customHeight="1" x14ac:dyDescent="0.15">
      <c r="A6" s="15" t="s">
        <v>271</v>
      </c>
      <c r="B6" s="16">
        <v>4</v>
      </c>
      <c r="C6" s="16">
        <v>0</v>
      </c>
      <c r="D6" s="30">
        <v>0</v>
      </c>
      <c r="E6" s="15" t="s">
        <v>273</v>
      </c>
      <c r="F6" s="15" t="s">
        <v>53</v>
      </c>
      <c r="G6" s="30">
        <v>28</v>
      </c>
      <c r="H6" s="16">
        <v>0</v>
      </c>
      <c r="I6" s="34" t="s">
        <v>264</v>
      </c>
    </row>
    <row r="7" spans="1:9" ht="63" customHeight="1" x14ac:dyDescent="0.15">
      <c r="A7" s="15" t="s">
        <v>272</v>
      </c>
      <c r="B7" s="16">
        <v>2</v>
      </c>
      <c r="C7" s="16">
        <v>0</v>
      </c>
      <c r="D7" s="30">
        <v>0</v>
      </c>
      <c r="E7" s="15" t="s">
        <v>275</v>
      </c>
      <c r="F7" s="15" t="s">
        <v>128</v>
      </c>
      <c r="G7" s="30">
        <v>2</v>
      </c>
      <c r="H7" s="16">
        <v>0</v>
      </c>
      <c r="I7" s="34" t="s">
        <v>265</v>
      </c>
    </row>
    <row r="8" spans="1:9" ht="61.5" customHeight="1" x14ac:dyDescent="0.15">
      <c r="A8" s="15" t="s">
        <v>274</v>
      </c>
      <c r="B8" s="16">
        <v>0</v>
      </c>
      <c r="C8" s="16">
        <v>24</v>
      </c>
      <c r="D8" s="30">
        <v>0</v>
      </c>
      <c r="E8" s="15" t="s">
        <v>277</v>
      </c>
      <c r="F8" s="15" t="s">
        <v>150</v>
      </c>
      <c r="G8" s="30">
        <v>1</v>
      </c>
      <c r="H8" s="16">
        <v>0</v>
      </c>
      <c r="I8" s="34" t="s">
        <v>266</v>
      </c>
    </row>
    <row r="9" spans="1:9" ht="61.5" customHeight="1" x14ac:dyDescent="0.15">
      <c r="A9" s="15" t="s">
        <v>276</v>
      </c>
      <c r="B9" s="16">
        <v>18</v>
      </c>
      <c r="C9" s="16">
        <v>0</v>
      </c>
      <c r="D9" s="30">
        <v>18</v>
      </c>
      <c r="E9" s="15" t="s">
        <v>278</v>
      </c>
      <c r="F9" s="15" t="s">
        <v>159</v>
      </c>
      <c r="G9" s="30">
        <v>5</v>
      </c>
      <c r="H9" s="16">
        <v>0</v>
      </c>
      <c r="I9" s="34" t="s">
        <v>267</v>
      </c>
    </row>
    <row r="10" spans="1:9" ht="70.5" customHeight="1" x14ac:dyDescent="0.15">
      <c r="A10" s="15" t="s">
        <v>276</v>
      </c>
      <c r="B10" s="16">
        <v>2</v>
      </c>
      <c r="C10" s="16">
        <v>0</v>
      </c>
      <c r="D10" s="30">
        <v>0</v>
      </c>
      <c r="E10" s="15" t="s">
        <v>279</v>
      </c>
      <c r="F10" s="15" t="s">
        <v>190</v>
      </c>
      <c r="G10" s="16">
        <v>1</v>
      </c>
      <c r="H10" s="16">
        <v>0</v>
      </c>
      <c r="I10" s="34" t="s">
        <v>268</v>
      </c>
    </row>
    <row r="11" spans="1:9" ht="62.25" customHeight="1" x14ac:dyDescent="0.15">
      <c r="A11" s="15" t="s">
        <v>281</v>
      </c>
      <c r="B11" s="16">
        <v>3</v>
      </c>
      <c r="C11" s="16">
        <v>0</v>
      </c>
      <c r="D11" s="32">
        <v>3</v>
      </c>
      <c r="E11" s="15" t="s">
        <v>295</v>
      </c>
      <c r="F11" s="15" t="s">
        <v>192</v>
      </c>
      <c r="G11" s="16">
        <v>9</v>
      </c>
      <c r="H11" s="16">
        <v>0</v>
      </c>
      <c r="I11" s="34" t="s">
        <v>269</v>
      </c>
    </row>
    <row r="12" spans="1:9" ht="62.25" customHeight="1" x14ac:dyDescent="0.15">
      <c r="A12" s="15" t="s">
        <v>286</v>
      </c>
      <c r="B12" s="16">
        <v>1</v>
      </c>
      <c r="C12" s="16">
        <v>0</v>
      </c>
      <c r="D12" s="32">
        <v>1</v>
      </c>
      <c r="E12" s="15" t="s">
        <v>296</v>
      </c>
      <c r="F12" s="15" t="s">
        <v>194</v>
      </c>
      <c r="G12" s="16">
        <v>3</v>
      </c>
      <c r="H12" s="16">
        <v>0</v>
      </c>
      <c r="I12" s="34" t="s">
        <v>270</v>
      </c>
    </row>
    <row r="13" spans="1:9" ht="62.25" customHeight="1" x14ac:dyDescent="0.15">
      <c r="A13" s="15" t="s">
        <v>282</v>
      </c>
      <c r="B13" s="16">
        <v>1</v>
      </c>
      <c r="C13" s="16">
        <v>0</v>
      </c>
      <c r="D13" s="30">
        <v>0</v>
      </c>
      <c r="E13" s="15" t="s">
        <v>288</v>
      </c>
      <c r="F13" s="15" t="s">
        <v>276</v>
      </c>
      <c r="G13" s="16">
        <v>2</v>
      </c>
      <c r="H13" s="16">
        <v>0</v>
      </c>
      <c r="I13" s="15" t="s">
        <v>280</v>
      </c>
    </row>
    <row r="14" spans="1:9" ht="62.25" customHeight="1" x14ac:dyDescent="0.15">
      <c r="A14" s="15"/>
      <c r="B14" s="16"/>
      <c r="C14" s="16"/>
      <c r="D14" s="32"/>
      <c r="E14" s="15"/>
      <c r="F14" s="15" t="s">
        <v>284</v>
      </c>
      <c r="G14" s="16">
        <v>2</v>
      </c>
      <c r="H14" s="16">
        <v>0</v>
      </c>
      <c r="I14" s="15" t="s">
        <v>290</v>
      </c>
    </row>
    <row r="15" spans="1:9" ht="62.25" customHeight="1" x14ac:dyDescent="0.15">
      <c r="A15" s="15"/>
      <c r="B15" s="16"/>
      <c r="C15" s="16"/>
      <c r="D15" s="32"/>
      <c r="E15" s="15"/>
      <c r="F15" s="15" t="s">
        <v>285</v>
      </c>
      <c r="G15" s="16">
        <v>1</v>
      </c>
      <c r="H15" s="16">
        <v>0</v>
      </c>
      <c r="I15" s="15" t="s">
        <v>291</v>
      </c>
    </row>
    <row r="16" spans="1:9" ht="62.25" customHeight="1" x14ac:dyDescent="0.15">
      <c r="A16" s="15"/>
      <c r="B16" s="16"/>
      <c r="C16" s="16"/>
      <c r="D16" s="17"/>
      <c r="E16" s="15"/>
      <c r="F16" s="15" t="s">
        <v>282</v>
      </c>
      <c r="G16" s="16">
        <v>1</v>
      </c>
      <c r="H16" s="16">
        <v>0</v>
      </c>
      <c r="I16" s="27" t="s">
        <v>289</v>
      </c>
    </row>
    <row r="17" spans="1:9" ht="53.25" customHeight="1" x14ac:dyDescent="0.15">
      <c r="A17" s="15"/>
      <c r="B17" s="16"/>
      <c r="C17" s="16"/>
      <c r="D17" s="16"/>
      <c r="E17" s="15"/>
      <c r="F17" s="15"/>
      <c r="G17" s="16"/>
      <c r="H17" s="16"/>
      <c r="I17" s="15"/>
    </row>
    <row r="18" spans="1:9" ht="30" customHeight="1" x14ac:dyDescent="0.15">
      <c r="A18" s="28" t="s">
        <v>12</v>
      </c>
      <c r="B18" s="29">
        <f>SUM(B6:B17)</f>
        <v>31</v>
      </c>
      <c r="C18" s="29">
        <f>SUM(C6:C17)</f>
        <v>24</v>
      </c>
      <c r="D18" s="29">
        <f>SUM(D6:D17)</f>
        <v>22</v>
      </c>
      <c r="E18" s="29"/>
      <c r="F18" s="29"/>
      <c r="G18" s="29">
        <f>SUM(G6:G17)</f>
        <v>55</v>
      </c>
      <c r="H18" s="29">
        <f>SUM(H6:H17)</f>
        <v>0</v>
      </c>
      <c r="I18" s="29"/>
    </row>
    <row r="21" spans="1:9" ht="30" customHeight="1" x14ac:dyDescent="0.15">
      <c r="A21" s="43" t="s">
        <v>13</v>
      </c>
      <c r="B21" s="43"/>
      <c r="C21" s="43"/>
      <c r="D21" s="43"/>
      <c r="E21" s="43"/>
      <c r="F21" s="43"/>
    </row>
    <row r="22" spans="1:9" ht="30" customHeight="1" x14ac:dyDescent="0.15">
      <c r="A22" s="20" t="s">
        <v>7</v>
      </c>
      <c r="B22" s="18" t="s">
        <v>1</v>
      </c>
      <c r="C22" s="18" t="s">
        <v>11</v>
      </c>
      <c r="D22" s="19" t="s">
        <v>10</v>
      </c>
      <c r="E22" s="19" t="s">
        <v>6</v>
      </c>
      <c r="F22" s="35"/>
    </row>
    <row r="23" spans="1:9" ht="53.25" customHeight="1" x14ac:dyDescent="0.15">
      <c r="A23" s="15" t="s">
        <v>14</v>
      </c>
      <c r="B23" s="31">
        <v>46199</v>
      </c>
      <c r="C23" s="16">
        <v>2</v>
      </c>
      <c r="D23" s="33">
        <v>2</v>
      </c>
      <c r="E23" s="27" t="s">
        <v>15</v>
      </c>
      <c r="F23" s="45" t="s">
        <v>20</v>
      </c>
    </row>
    <row r="24" spans="1:9" ht="53.25" customHeight="1" x14ac:dyDescent="0.15">
      <c r="A24" s="15" t="s">
        <v>17</v>
      </c>
      <c r="B24" s="31">
        <v>46203</v>
      </c>
      <c r="C24" s="16">
        <v>34</v>
      </c>
      <c r="D24" s="33">
        <v>34</v>
      </c>
      <c r="E24" s="37" t="s">
        <v>16</v>
      </c>
      <c r="F24" s="45" t="s">
        <v>22</v>
      </c>
    </row>
    <row r="25" spans="1:9" ht="53.25" customHeight="1" x14ac:dyDescent="0.15">
      <c r="A25" s="15" t="s">
        <v>23</v>
      </c>
      <c r="B25" s="31">
        <v>46213</v>
      </c>
      <c r="C25" s="16">
        <v>46</v>
      </c>
      <c r="D25" s="33">
        <v>46</v>
      </c>
      <c r="E25" s="27" t="s">
        <v>24</v>
      </c>
      <c r="F25" s="45" t="s">
        <v>292</v>
      </c>
      <c r="G25" s="50" t="s">
        <v>252</v>
      </c>
    </row>
    <row r="26" spans="1:9" ht="66.75" customHeight="1" x14ac:dyDescent="0.15">
      <c r="A26" s="27" t="s">
        <v>25</v>
      </c>
      <c r="B26" s="31">
        <v>46216</v>
      </c>
      <c r="C26" s="46">
        <v>11</v>
      </c>
      <c r="D26" s="36">
        <v>11</v>
      </c>
      <c r="E26" s="27" t="s">
        <v>27</v>
      </c>
      <c r="F26" s="45" t="s">
        <v>45</v>
      </c>
    </row>
    <row r="27" spans="1:9" ht="53.25" customHeight="1" x14ac:dyDescent="0.15">
      <c r="A27" s="15" t="s">
        <v>26</v>
      </c>
      <c r="B27" s="31">
        <v>46216</v>
      </c>
      <c r="C27" s="16">
        <v>6</v>
      </c>
      <c r="D27" s="32">
        <v>6</v>
      </c>
      <c r="E27" s="27" t="s">
        <v>28</v>
      </c>
      <c r="F27" s="45" t="s">
        <v>29</v>
      </c>
    </row>
    <row r="28" spans="1:9" ht="53.25" customHeight="1" x14ac:dyDescent="0.15">
      <c r="A28" s="49" t="s">
        <v>30</v>
      </c>
      <c r="B28" s="31">
        <v>46224</v>
      </c>
      <c r="C28" s="16">
        <v>1</v>
      </c>
      <c r="D28" s="33">
        <v>1</v>
      </c>
      <c r="E28" s="27" t="s">
        <v>31</v>
      </c>
      <c r="F28" s="34"/>
    </row>
    <row r="29" spans="1:9" ht="53.25" customHeight="1" x14ac:dyDescent="0.15">
      <c r="A29" s="15" t="s">
        <v>32</v>
      </c>
      <c r="B29" s="31">
        <v>46226</v>
      </c>
      <c r="C29" s="16">
        <v>20</v>
      </c>
      <c r="D29" s="33">
        <v>20</v>
      </c>
      <c r="E29" s="27" t="s">
        <v>33</v>
      </c>
      <c r="F29" s="34"/>
    </row>
    <row r="30" spans="1:9" ht="53.25" customHeight="1" x14ac:dyDescent="0.15">
      <c r="A30" s="15" t="s">
        <v>34</v>
      </c>
      <c r="B30" s="31">
        <v>46227</v>
      </c>
      <c r="C30" s="30">
        <v>28</v>
      </c>
      <c r="D30" s="32">
        <v>28</v>
      </c>
      <c r="E30" s="27" t="s">
        <v>35</v>
      </c>
      <c r="F30" s="34"/>
    </row>
    <row r="31" spans="1:9" ht="53.25" customHeight="1" x14ac:dyDescent="0.15">
      <c r="A31" s="15" t="s">
        <v>63</v>
      </c>
      <c r="B31" s="31">
        <v>46237</v>
      </c>
      <c r="C31" s="30">
        <v>13</v>
      </c>
      <c r="D31" s="32">
        <v>13</v>
      </c>
      <c r="E31" s="15" t="s">
        <v>75</v>
      </c>
      <c r="F31" s="34"/>
    </row>
    <row r="32" spans="1:9" ht="53.25" customHeight="1" x14ac:dyDescent="0.15">
      <c r="A32" s="26" t="s">
        <v>81</v>
      </c>
      <c r="B32" s="31">
        <v>46238</v>
      </c>
      <c r="C32" s="30">
        <v>17</v>
      </c>
      <c r="D32" s="32">
        <v>17</v>
      </c>
      <c r="E32" s="15" t="s">
        <v>84</v>
      </c>
      <c r="F32" s="45" t="s">
        <v>294</v>
      </c>
      <c r="G32" s="50" t="s">
        <v>252</v>
      </c>
    </row>
    <row r="33" spans="1:7" ht="53.25" customHeight="1" x14ac:dyDescent="0.15">
      <c r="A33" s="26" t="s">
        <v>129</v>
      </c>
      <c r="B33" s="31">
        <v>46239</v>
      </c>
      <c r="C33" s="30">
        <v>5</v>
      </c>
      <c r="D33" s="32">
        <v>5</v>
      </c>
      <c r="E33" s="15" t="s">
        <v>131</v>
      </c>
      <c r="F33" s="34"/>
    </row>
    <row r="34" spans="1:7" ht="53.25" customHeight="1" x14ac:dyDescent="0.15">
      <c r="A34" s="15" t="s">
        <v>158</v>
      </c>
      <c r="B34" s="31">
        <v>46241</v>
      </c>
      <c r="C34" s="30">
        <v>3</v>
      </c>
      <c r="D34" s="32">
        <v>3</v>
      </c>
      <c r="E34" s="15" t="s">
        <v>172</v>
      </c>
      <c r="F34" s="45" t="s">
        <v>293</v>
      </c>
      <c r="G34" s="50" t="s">
        <v>252</v>
      </c>
    </row>
    <row r="35" spans="1:7" ht="53.25" customHeight="1" x14ac:dyDescent="0.15">
      <c r="A35" s="15" t="s">
        <v>191</v>
      </c>
      <c r="B35" s="31">
        <v>46244</v>
      </c>
      <c r="C35" s="16">
        <v>47</v>
      </c>
      <c r="D35" s="33">
        <v>47</v>
      </c>
      <c r="E35" s="15" t="s">
        <v>195</v>
      </c>
      <c r="F35" s="34"/>
    </row>
    <row r="36" spans="1:7" ht="53.25" customHeight="1" x14ac:dyDescent="0.15">
      <c r="A36" s="15" t="s">
        <v>216</v>
      </c>
      <c r="B36" s="31">
        <v>46244</v>
      </c>
      <c r="C36" s="16">
        <v>8</v>
      </c>
      <c r="D36" s="33">
        <v>8</v>
      </c>
      <c r="E36" s="15" t="s">
        <v>218</v>
      </c>
      <c r="F36" s="34"/>
    </row>
    <row r="37" spans="1:7" ht="53.25" customHeight="1" x14ac:dyDescent="0.15">
      <c r="A37" s="15" t="s">
        <v>233</v>
      </c>
      <c r="B37" s="31">
        <v>46245</v>
      </c>
      <c r="C37" s="16">
        <v>7</v>
      </c>
      <c r="D37" s="33">
        <v>7</v>
      </c>
      <c r="E37" s="15" t="s">
        <v>242</v>
      </c>
      <c r="F37" s="34"/>
    </row>
    <row r="38" spans="1:7" ht="53.25" customHeight="1" x14ac:dyDescent="0.15">
      <c r="A38" s="15" t="s">
        <v>64</v>
      </c>
      <c r="B38" s="31">
        <v>46237</v>
      </c>
      <c r="C38" s="30">
        <v>5</v>
      </c>
      <c r="D38" s="30">
        <v>0</v>
      </c>
      <c r="E38" s="15" t="s">
        <v>77</v>
      </c>
      <c r="F38" s="34" t="s">
        <v>261</v>
      </c>
    </row>
    <row r="39" spans="1:7" ht="53.25" customHeight="1" x14ac:dyDescent="0.15">
      <c r="A39" s="15" t="s">
        <v>53</v>
      </c>
      <c r="B39" s="31">
        <v>46234</v>
      </c>
      <c r="C39" s="30">
        <v>28</v>
      </c>
      <c r="D39" s="30">
        <v>0</v>
      </c>
      <c r="E39" s="15" t="s">
        <v>56</v>
      </c>
      <c r="F39" s="34" t="s">
        <v>255</v>
      </c>
    </row>
    <row r="40" spans="1:7" ht="66.75" customHeight="1" x14ac:dyDescent="0.15">
      <c r="A40" s="15" t="s">
        <v>128</v>
      </c>
      <c r="B40" s="31">
        <v>46239</v>
      </c>
      <c r="C40" s="30">
        <v>2</v>
      </c>
      <c r="D40" s="30">
        <v>0</v>
      </c>
      <c r="E40" s="15" t="s">
        <v>130</v>
      </c>
      <c r="F40" s="34" t="s">
        <v>257</v>
      </c>
    </row>
    <row r="41" spans="1:7" ht="53.25" customHeight="1" x14ac:dyDescent="0.15">
      <c r="A41" s="15" t="s">
        <v>150</v>
      </c>
      <c r="B41" s="31">
        <v>46240</v>
      </c>
      <c r="C41" s="30">
        <v>1</v>
      </c>
      <c r="D41" s="30">
        <v>0</v>
      </c>
      <c r="E41" s="15" t="s">
        <v>152</v>
      </c>
      <c r="F41" s="34" t="s">
        <v>256</v>
      </c>
    </row>
    <row r="42" spans="1:7" ht="53.25" customHeight="1" x14ac:dyDescent="0.15">
      <c r="A42" s="15" t="s">
        <v>159</v>
      </c>
      <c r="B42" s="31">
        <v>46241</v>
      </c>
      <c r="C42" s="30">
        <v>5</v>
      </c>
      <c r="D42" s="30">
        <v>0</v>
      </c>
      <c r="E42" s="15" t="s">
        <v>175</v>
      </c>
      <c r="F42" s="34" t="s">
        <v>258</v>
      </c>
    </row>
    <row r="43" spans="1:7" ht="53.25" customHeight="1" x14ac:dyDescent="0.15">
      <c r="A43" s="15" t="s">
        <v>190</v>
      </c>
      <c r="B43" s="31">
        <v>46244</v>
      </c>
      <c r="C43" s="16">
        <v>1</v>
      </c>
      <c r="D43" s="30">
        <v>0</v>
      </c>
      <c r="E43" s="15" t="s">
        <v>201</v>
      </c>
      <c r="F43" s="34" t="s">
        <v>251</v>
      </c>
    </row>
    <row r="44" spans="1:7" ht="57.75" customHeight="1" x14ac:dyDescent="0.15">
      <c r="A44" s="15" t="s">
        <v>192</v>
      </c>
      <c r="B44" s="31">
        <v>46244</v>
      </c>
      <c r="C44" s="16">
        <v>9</v>
      </c>
      <c r="D44" s="30">
        <v>0</v>
      </c>
      <c r="E44" s="15" t="s">
        <v>199</v>
      </c>
      <c r="F44" s="34" t="s">
        <v>254</v>
      </c>
    </row>
    <row r="45" spans="1:7" ht="53.25" customHeight="1" x14ac:dyDescent="0.15">
      <c r="A45" s="15" t="s">
        <v>194</v>
      </c>
      <c r="B45" s="31">
        <v>46244</v>
      </c>
      <c r="C45" s="16">
        <v>3</v>
      </c>
      <c r="D45" s="30">
        <v>0</v>
      </c>
      <c r="E45" s="15" t="s">
        <v>198</v>
      </c>
      <c r="F45" s="34" t="s">
        <v>253</v>
      </c>
    </row>
    <row r="46" spans="1:7" ht="53.25" customHeight="1" x14ac:dyDescent="0.15">
      <c r="A46" s="15"/>
      <c r="B46" s="31"/>
      <c r="C46" s="30"/>
      <c r="D46" s="30"/>
      <c r="E46" s="15"/>
      <c r="F46" s="34"/>
    </row>
    <row r="47" spans="1:7" ht="53.25" customHeight="1" x14ac:dyDescent="0.15">
      <c r="A47" s="15"/>
      <c r="B47" s="31"/>
      <c r="C47" s="30"/>
      <c r="D47" s="30"/>
      <c r="E47" s="15"/>
      <c r="F47" s="34"/>
    </row>
    <row r="48" spans="1:7" ht="53.25" customHeight="1" x14ac:dyDescent="0.15">
      <c r="A48" s="15"/>
      <c r="B48" s="31"/>
      <c r="C48" s="30"/>
      <c r="D48" s="32"/>
      <c r="E48" s="15"/>
      <c r="F48" s="34"/>
    </row>
    <row r="49" spans="1:6" ht="60.6" customHeight="1" x14ac:dyDescent="0.15">
      <c r="A49" s="15"/>
      <c r="B49" s="31"/>
      <c r="C49" s="30"/>
      <c r="D49" s="30"/>
      <c r="E49" s="15"/>
      <c r="F49" s="34"/>
    </row>
    <row r="50" spans="1:6" ht="53.25" customHeight="1" x14ac:dyDescent="0.15">
      <c r="A50" s="15"/>
      <c r="B50" s="31"/>
      <c r="C50" s="16"/>
      <c r="D50" s="32"/>
      <c r="E50" s="27"/>
      <c r="F50" s="34"/>
    </row>
    <row r="51" spans="1:6" ht="38.25" customHeight="1" x14ac:dyDescent="0.15">
      <c r="A51" s="22" t="s">
        <v>12</v>
      </c>
      <c r="B51" s="21"/>
      <c r="C51" s="21">
        <f>SUM(C23:C50)</f>
        <v>302</v>
      </c>
      <c r="D51" s="21">
        <f>SUM(D23:D50)</f>
        <v>248</v>
      </c>
      <c r="E51" s="38"/>
      <c r="F51" s="39"/>
    </row>
    <row r="52" spans="1:6" ht="30" customHeight="1" x14ac:dyDescent="0.15">
      <c r="D52" s="44"/>
    </row>
    <row r="53" spans="1:6" ht="30" customHeight="1" x14ac:dyDescent="0.15">
      <c r="D53" s="44"/>
    </row>
  </sheetData>
  <pageMargins left="0.7" right="0.7" top="0.75" bottom="0.75" header="0.3" footer="0.3"/>
  <pageSetup scale="3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A6B7-04B6-4309-8092-48EA73FDE17D}">
  <sheetPr>
    <pageSetUpPr fitToPage="1"/>
  </sheetPr>
  <dimension ref="A1:I67"/>
  <sheetViews>
    <sheetView topLeftCell="A23" zoomScale="85" zoomScaleNormal="85" workbookViewId="0">
      <selection activeCell="E27" sqref="E27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46247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15" t="s">
        <v>301</v>
      </c>
      <c r="B6" s="16">
        <v>48</v>
      </c>
      <c r="C6" s="16">
        <v>0</v>
      </c>
      <c r="D6" s="30">
        <v>0</v>
      </c>
      <c r="E6" s="15" t="s">
        <v>309</v>
      </c>
      <c r="F6" s="15" t="s">
        <v>283</v>
      </c>
      <c r="G6" s="16">
        <v>51</v>
      </c>
      <c r="H6" s="16">
        <v>0</v>
      </c>
      <c r="I6" s="15" t="s">
        <v>315</v>
      </c>
    </row>
    <row r="7" spans="1:9" ht="63" customHeight="1" x14ac:dyDescent="0.15">
      <c r="A7" s="15" t="s">
        <v>302</v>
      </c>
      <c r="B7" s="16">
        <v>0</v>
      </c>
      <c r="C7" s="16">
        <v>1</v>
      </c>
      <c r="D7" s="30">
        <v>0</v>
      </c>
      <c r="E7" s="15" t="s">
        <v>319</v>
      </c>
      <c r="F7" s="15" t="s">
        <v>287</v>
      </c>
      <c r="G7" s="16">
        <v>59</v>
      </c>
      <c r="H7" s="16">
        <v>0</v>
      </c>
      <c r="I7" s="15" t="s">
        <v>344</v>
      </c>
    </row>
    <row r="8" spans="1:9" ht="61.5" customHeight="1" x14ac:dyDescent="0.15">
      <c r="A8" s="15" t="s">
        <v>303</v>
      </c>
      <c r="B8" s="16">
        <v>1</v>
      </c>
      <c r="C8" s="16">
        <v>0</v>
      </c>
      <c r="D8" s="30">
        <v>0</v>
      </c>
      <c r="E8" s="15" t="s">
        <v>304</v>
      </c>
      <c r="F8" s="15" t="s">
        <v>300</v>
      </c>
      <c r="G8" s="16">
        <v>44</v>
      </c>
      <c r="H8" s="16">
        <v>0</v>
      </c>
      <c r="I8" s="15" t="s">
        <v>308</v>
      </c>
    </row>
    <row r="9" spans="1:9" ht="61.5" customHeight="1" x14ac:dyDescent="0.15">
      <c r="A9" s="15" t="s">
        <v>312</v>
      </c>
      <c r="B9" s="16">
        <v>0</v>
      </c>
      <c r="C9" s="16">
        <v>1</v>
      </c>
      <c r="D9" s="30">
        <v>0</v>
      </c>
      <c r="E9" s="15" t="s">
        <v>314</v>
      </c>
      <c r="F9" s="15" t="s">
        <v>23</v>
      </c>
      <c r="G9" s="16">
        <v>46</v>
      </c>
      <c r="H9" s="16">
        <v>0</v>
      </c>
      <c r="I9" s="34" t="s">
        <v>346</v>
      </c>
    </row>
    <row r="10" spans="1:9" ht="61.5" customHeight="1" x14ac:dyDescent="0.15">
      <c r="A10" s="15" t="s">
        <v>305</v>
      </c>
      <c r="B10" s="16">
        <v>7</v>
      </c>
      <c r="C10" s="16">
        <v>0</v>
      </c>
      <c r="D10" s="32">
        <v>7</v>
      </c>
      <c r="E10" s="15" t="s">
        <v>321</v>
      </c>
      <c r="F10" s="15" t="s">
        <v>81</v>
      </c>
      <c r="G10" s="16">
        <v>17</v>
      </c>
      <c r="H10" s="16">
        <v>0</v>
      </c>
      <c r="I10" s="34" t="s">
        <v>347</v>
      </c>
    </row>
    <row r="11" spans="1:9" ht="70.5" customHeight="1" x14ac:dyDescent="0.15">
      <c r="A11" s="15" t="s">
        <v>306</v>
      </c>
      <c r="B11" s="16">
        <v>20</v>
      </c>
      <c r="C11" s="16">
        <v>0</v>
      </c>
      <c r="D11" s="32">
        <v>20</v>
      </c>
      <c r="E11" s="15" t="s">
        <v>324</v>
      </c>
      <c r="F11" s="15" t="s">
        <v>158</v>
      </c>
      <c r="G11" s="16">
        <v>3</v>
      </c>
      <c r="H11" s="16">
        <v>0</v>
      </c>
      <c r="I11" s="34" t="s">
        <v>348</v>
      </c>
    </row>
    <row r="12" spans="1:9" ht="70.5" customHeight="1" x14ac:dyDescent="0.15">
      <c r="A12" s="15" t="s">
        <v>306</v>
      </c>
      <c r="B12" s="16">
        <v>1</v>
      </c>
      <c r="C12" s="16">
        <v>0</v>
      </c>
      <c r="D12" s="30">
        <v>0</v>
      </c>
      <c r="E12" s="15" t="s">
        <v>323</v>
      </c>
      <c r="F12" s="15" t="s">
        <v>320</v>
      </c>
      <c r="G12" s="16">
        <v>1</v>
      </c>
      <c r="H12" s="16">
        <v>0</v>
      </c>
      <c r="I12" s="34" t="s">
        <v>319</v>
      </c>
    </row>
    <row r="13" spans="1:9" ht="62.25" customHeight="1" x14ac:dyDescent="0.15">
      <c r="A13" s="15" t="s">
        <v>307</v>
      </c>
      <c r="B13" s="16">
        <v>1</v>
      </c>
      <c r="C13" s="16">
        <v>0</v>
      </c>
      <c r="D13" s="32">
        <v>1</v>
      </c>
      <c r="E13" s="15" t="s">
        <v>326</v>
      </c>
      <c r="F13" s="15" t="s">
        <v>329</v>
      </c>
      <c r="G13" s="16">
        <v>11</v>
      </c>
      <c r="H13" s="16">
        <v>0</v>
      </c>
      <c r="I13" s="34" t="s">
        <v>339</v>
      </c>
    </row>
    <row r="14" spans="1:9" ht="62.25" customHeight="1" x14ac:dyDescent="0.15">
      <c r="A14" s="15" t="s">
        <v>325</v>
      </c>
      <c r="B14" s="16">
        <v>4</v>
      </c>
      <c r="C14" s="16">
        <v>0</v>
      </c>
      <c r="D14" s="32">
        <v>4</v>
      </c>
      <c r="E14" s="15" t="s">
        <v>327</v>
      </c>
      <c r="F14" s="15" t="s">
        <v>333</v>
      </c>
      <c r="G14" s="16">
        <v>2</v>
      </c>
      <c r="H14" s="16">
        <v>0</v>
      </c>
      <c r="I14" s="15" t="s">
        <v>341</v>
      </c>
    </row>
    <row r="15" spans="1:9" ht="62.25" customHeight="1" x14ac:dyDescent="0.15">
      <c r="A15" s="15" t="s">
        <v>310</v>
      </c>
      <c r="B15" s="16">
        <v>8</v>
      </c>
      <c r="C15" s="16">
        <v>0</v>
      </c>
      <c r="D15" s="32">
        <v>8</v>
      </c>
      <c r="E15" s="15" t="s">
        <v>331</v>
      </c>
      <c r="F15" s="15" t="s">
        <v>286</v>
      </c>
      <c r="G15" s="16">
        <v>1</v>
      </c>
      <c r="H15" s="16">
        <v>0</v>
      </c>
      <c r="I15" s="15" t="s">
        <v>349</v>
      </c>
    </row>
    <row r="16" spans="1:9" ht="62.25" customHeight="1" x14ac:dyDescent="0.15">
      <c r="A16" s="15" t="s">
        <v>313</v>
      </c>
      <c r="B16" s="16">
        <v>9</v>
      </c>
      <c r="C16" s="16">
        <v>0</v>
      </c>
      <c r="D16" s="32">
        <v>9</v>
      </c>
      <c r="E16" s="15" t="s">
        <v>332</v>
      </c>
      <c r="F16" s="15" t="s">
        <v>281</v>
      </c>
      <c r="G16" s="16">
        <v>3</v>
      </c>
      <c r="H16" s="16">
        <v>0</v>
      </c>
      <c r="I16" s="15" t="s">
        <v>350</v>
      </c>
    </row>
    <row r="17" spans="1:9" ht="62.25" customHeight="1" x14ac:dyDescent="0.15">
      <c r="A17" s="15" t="s">
        <v>316</v>
      </c>
      <c r="B17" s="16">
        <v>5</v>
      </c>
      <c r="C17" s="16">
        <v>0</v>
      </c>
      <c r="D17" s="30">
        <v>0</v>
      </c>
      <c r="E17" s="15" t="s">
        <v>317</v>
      </c>
      <c r="F17" s="15" t="s">
        <v>306</v>
      </c>
      <c r="G17" s="16">
        <v>1</v>
      </c>
      <c r="H17" s="16">
        <v>0</v>
      </c>
      <c r="I17" s="15" t="s">
        <v>323</v>
      </c>
    </row>
    <row r="18" spans="1:9" ht="62.25" customHeight="1" x14ac:dyDescent="0.15">
      <c r="A18" s="15" t="s">
        <v>318</v>
      </c>
      <c r="B18" s="16">
        <v>38</v>
      </c>
      <c r="C18" s="16">
        <v>0</v>
      </c>
      <c r="D18" s="30">
        <v>0</v>
      </c>
      <c r="E18" s="15" t="s">
        <v>330</v>
      </c>
      <c r="F18" s="15"/>
      <c r="G18" s="16"/>
      <c r="H18" s="16"/>
      <c r="I18" s="15"/>
    </row>
    <row r="19" spans="1:9" ht="62.25" customHeight="1" x14ac:dyDescent="0.15">
      <c r="A19" s="15" t="s">
        <v>328</v>
      </c>
      <c r="B19" s="16">
        <v>3</v>
      </c>
      <c r="C19" s="16">
        <v>0</v>
      </c>
      <c r="D19" s="32">
        <v>3</v>
      </c>
      <c r="E19" s="15" t="s">
        <v>338</v>
      </c>
      <c r="F19" s="15"/>
      <c r="G19" s="16"/>
      <c r="H19" s="16"/>
      <c r="I19" s="15"/>
    </row>
    <row r="20" spans="1:9" ht="62.25" customHeight="1" x14ac:dyDescent="0.15">
      <c r="A20" s="15" t="s">
        <v>322</v>
      </c>
      <c r="B20" s="16">
        <v>6</v>
      </c>
      <c r="C20" s="16">
        <v>0</v>
      </c>
      <c r="D20" s="32">
        <v>6</v>
      </c>
      <c r="E20" s="15" t="s">
        <v>340</v>
      </c>
      <c r="F20" s="15"/>
      <c r="G20" s="16"/>
      <c r="H20" s="16"/>
      <c r="I20" s="15"/>
    </row>
    <row r="21" spans="1:9" ht="62.25" customHeight="1" x14ac:dyDescent="0.15">
      <c r="A21" s="15" t="s">
        <v>333</v>
      </c>
      <c r="B21" s="16">
        <v>0</v>
      </c>
      <c r="C21" s="16">
        <v>2</v>
      </c>
      <c r="D21" s="30">
        <v>0</v>
      </c>
      <c r="E21" s="15" t="s">
        <v>341</v>
      </c>
      <c r="F21" s="15"/>
      <c r="G21" s="16"/>
      <c r="H21" s="16"/>
      <c r="I21" s="15"/>
    </row>
    <row r="22" spans="1:9" ht="62.25" customHeight="1" x14ac:dyDescent="0.15">
      <c r="A22" s="15" t="s">
        <v>334</v>
      </c>
      <c r="B22" s="16">
        <v>1</v>
      </c>
      <c r="C22" s="16">
        <v>0</v>
      </c>
      <c r="D22" s="30">
        <v>0</v>
      </c>
      <c r="E22" s="15" t="s">
        <v>342</v>
      </c>
      <c r="F22" s="15"/>
      <c r="G22" s="16"/>
      <c r="H22" s="16"/>
      <c r="I22" s="15"/>
    </row>
    <row r="23" spans="1:9" ht="62.25" customHeight="1" x14ac:dyDescent="0.15">
      <c r="A23" s="15" t="s">
        <v>335</v>
      </c>
      <c r="B23" s="16">
        <v>15</v>
      </c>
      <c r="C23" s="16">
        <v>0</v>
      </c>
      <c r="D23" s="30">
        <v>0</v>
      </c>
      <c r="E23" s="15" t="s">
        <v>351</v>
      </c>
      <c r="F23" s="15"/>
      <c r="G23" s="16"/>
      <c r="H23" s="16"/>
      <c r="I23" s="15"/>
    </row>
    <row r="24" spans="1:9" ht="62.25" customHeight="1" x14ac:dyDescent="0.15">
      <c r="A24" s="15" t="s">
        <v>336</v>
      </c>
      <c r="B24" s="16">
        <v>25</v>
      </c>
      <c r="C24" s="16">
        <v>0</v>
      </c>
      <c r="D24" s="30">
        <v>0</v>
      </c>
      <c r="E24" s="15" t="s">
        <v>352</v>
      </c>
      <c r="F24" s="15"/>
      <c r="G24" s="16"/>
      <c r="H24" s="16"/>
      <c r="I24" s="15"/>
    </row>
    <row r="25" spans="1:9" ht="62.25" customHeight="1" x14ac:dyDescent="0.15">
      <c r="A25" s="15" t="s">
        <v>353</v>
      </c>
      <c r="B25" s="16">
        <v>25</v>
      </c>
      <c r="C25" s="16">
        <v>0</v>
      </c>
      <c r="D25" s="30">
        <v>0</v>
      </c>
      <c r="E25" s="15" t="s">
        <v>354</v>
      </c>
      <c r="F25" s="15"/>
      <c r="G25" s="16"/>
      <c r="H25" s="16"/>
      <c r="I25" s="15"/>
    </row>
    <row r="26" spans="1:9" ht="62.25" customHeight="1" x14ac:dyDescent="0.15">
      <c r="A26" s="15" t="s">
        <v>337</v>
      </c>
      <c r="B26" s="16">
        <v>5</v>
      </c>
      <c r="C26" s="16">
        <v>0</v>
      </c>
      <c r="D26" s="30">
        <v>0</v>
      </c>
      <c r="E26" s="15" t="s">
        <v>345</v>
      </c>
      <c r="F26" s="15"/>
      <c r="G26" s="16"/>
      <c r="H26" s="16"/>
      <c r="I26" s="15"/>
    </row>
    <row r="27" spans="1:9" ht="62.25" customHeight="1" x14ac:dyDescent="0.15">
      <c r="A27" s="15" t="s">
        <v>355</v>
      </c>
      <c r="B27" s="16">
        <v>2</v>
      </c>
      <c r="C27" s="16">
        <v>0</v>
      </c>
      <c r="D27" s="30">
        <v>0</v>
      </c>
      <c r="E27" s="15" t="s">
        <v>356</v>
      </c>
      <c r="F27" s="15"/>
      <c r="G27" s="16"/>
      <c r="H27" s="16"/>
      <c r="I27" s="15"/>
    </row>
    <row r="28" spans="1:9" ht="62.25" customHeight="1" x14ac:dyDescent="0.15">
      <c r="A28" s="15" t="s">
        <v>357</v>
      </c>
      <c r="B28" s="16">
        <v>3</v>
      </c>
      <c r="C28" s="16">
        <v>0</v>
      </c>
      <c r="D28" s="30">
        <v>0</v>
      </c>
      <c r="E28" s="15" t="s">
        <v>356</v>
      </c>
      <c r="F28" s="15"/>
      <c r="G28" s="16"/>
      <c r="H28" s="16"/>
      <c r="I28" s="15"/>
    </row>
    <row r="29" spans="1:9" ht="62.25" customHeight="1" x14ac:dyDescent="0.15">
      <c r="A29" s="15"/>
      <c r="B29" s="16"/>
      <c r="C29" s="16"/>
      <c r="D29" s="32"/>
      <c r="E29" s="15"/>
      <c r="F29" s="15"/>
      <c r="G29" s="16"/>
      <c r="H29" s="16"/>
      <c r="I29" s="15"/>
    </row>
    <row r="30" spans="1:9" ht="62.25" customHeight="1" x14ac:dyDescent="0.15">
      <c r="A30" s="15"/>
      <c r="B30" s="16"/>
      <c r="C30" s="16"/>
      <c r="D30" s="17"/>
      <c r="E30" s="15"/>
      <c r="F30" s="15"/>
      <c r="G30" s="16"/>
      <c r="H30" s="16"/>
      <c r="I30" s="27"/>
    </row>
    <row r="31" spans="1:9" ht="53.25" customHeight="1" x14ac:dyDescent="0.15">
      <c r="A31" s="15"/>
      <c r="B31" s="16"/>
      <c r="C31" s="16"/>
      <c r="D31" s="16"/>
      <c r="E31" s="15"/>
      <c r="F31" s="15"/>
      <c r="G31" s="16"/>
      <c r="H31" s="16"/>
      <c r="I31" s="15"/>
    </row>
    <row r="32" spans="1:9" ht="30" customHeight="1" x14ac:dyDescent="0.15">
      <c r="A32" s="28" t="s">
        <v>12</v>
      </c>
      <c r="B32" s="29">
        <f>SUM(B6:B31)</f>
        <v>227</v>
      </c>
      <c r="C32" s="29">
        <f>SUM(C6:C31)</f>
        <v>4</v>
      </c>
      <c r="D32" s="29">
        <f>SUM(D6:D31)</f>
        <v>58</v>
      </c>
      <c r="E32" s="29"/>
      <c r="F32" s="29"/>
      <c r="G32" s="29">
        <f>SUM(G6:G31)</f>
        <v>239</v>
      </c>
      <c r="H32" s="29">
        <f>SUM(H6:H31)</f>
        <v>0</v>
      </c>
      <c r="I32" s="29"/>
    </row>
    <row r="35" spans="1:6" ht="30" customHeight="1" x14ac:dyDescent="0.15">
      <c r="A35" s="43" t="s">
        <v>13</v>
      </c>
      <c r="B35" s="43"/>
      <c r="C35" s="43"/>
      <c r="D35" s="43"/>
      <c r="E35" s="43"/>
      <c r="F35" s="43"/>
    </row>
    <row r="36" spans="1:6" ht="30" customHeight="1" x14ac:dyDescent="0.15">
      <c r="A36" s="20" t="s">
        <v>7</v>
      </c>
      <c r="B36" s="18" t="s">
        <v>1</v>
      </c>
      <c r="C36" s="18" t="s">
        <v>11</v>
      </c>
      <c r="D36" s="19" t="s">
        <v>10</v>
      </c>
      <c r="E36" s="19" t="s">
        <v>6</v>
      </c>
      <c r="F36" s="35"/>
    </row>
    <row r="37" spans="1:6" ht="53.25" customHeight="1" x14ac:dyDescent="0.15">
      <c r="A37" s="15" t="s">
        <v>14</v>
      </c>
      <c r="B37" s="31">
        <v>46199</v>
      </c>
      <c r="C37" s="16">
        <v>2</v>
      </c>
      <c r="D37" s="33">
        <v>2</v>
      </c>
      <c r="E37" s="27" t="s">
        <v>15</v>
      </c>
      <c r="F37" s="45" t="s">
        <v>20</v>
      </c>
    </row>
    <row r="38" spans="1:6" ht="53.25" customHeight="1" x14ac:dyDescent="0.15">
      <c r="A38" s="15" t="s">
        <v>17</v>
      </c>
      <c r="B38" s="31">
        <v>46203</v>
      </c>
      <c r="C38" s="16">
        <v>34</v>
      </c>
      <c r="D38" s="33">
        <v>34</v>
      </c>
      <c r="E38" s="37" t="s">
        <v>16</v>
      </c>
      <c r="F38" s="45" t="s">
        <v>22</v>
      </c>
    </row>
    <row r="39" spans="1:6" ht="66.75" customHeight="1" x14ac:dyDescent="0.15">
      <c r="A39" s="27" t="s">
        <v>25</v>
      </c>
      <c r="B39" s="31">
        <v>46216</v>
      </c>
      <c r="C39" s="46">
        <v>11</v>
      </c>
      <c r="D39" s="36">
        <v>11</v>
      </c>
      <c r="E39" s="27" t="s">
        <v>27</v>
      </c>
      <c r="F39" s="45" t="s">
        <v>45</v>
      </c>
    </row>
    <row r="40" spans="1:6" ht="53.25" customHeight="1" x14ac:dyDescent="0.15">
      <c r="A40" s="15" t="s">
        <v>26</v>
      </c>
      <c r="B40" s="31">
        <v>46216</v>
      </c>
      <c r="C40" s="16">
        <v>6</v>
      </c>
      <c r="D40" s="32">
        <v>6</v>
      </c>
      <c r="E40" s="27" t="s">
        <v>28</v>
      </c>
      <c r="F40" s="45" t="s">
        <v>29</v>
      </c>
    </row>
    <row r="41" spans="1:6" ht="53.25" customHeight="1" x14ac:dyDescent="0.15">
      <c r="A41" s="49" t="s">
        <v>30</v>
      </c>
      <c r="B41" s="31">
        <v>46224</v>
      </c>
      <c r="C41" s="16">
        <v>1</v>
      </c>
      <c r="D41" s="33">
        <v>1</v>
      </c>
      <c r="E41" s="27" t="s">
        <v>31</v>
      </c>
      <c r="F41" s="34"/>
    </row>
    <row r="42" spans="1:6" ht="53.25" customHeight="1" x14ac:dyDescent="0.15">
      <c r="A42" s="15" t="s">
        <v>32</v>
      </c>
      <c r="B42" s="31">
        <v>46226</v>
      </c>
      <c r="C42" s="16">
        <v>20</v>
      </c>
      <c r="D42" s="33">
        <v>20</v>
      </c>
      <c r="E42" s="27" t="s">
        <v>33</v>
      </c>
      <c r="F42" s="34"/>
    </row>
    <row r="43" spans="1:6" ht="53.25" customHeight="1" x14ac:dyDescent="0.15">
      <c r="A43" s="15" t="s">
        <v>34</v>
      </c>
      <c r="B43" s="31">
        <v>46227</v>
      </c>
      <c r="C43" s="30">
        <v>28</v>
      </c>
      <c r="D43" s="32">
        <v>28</v>
      </c>
      <c r="E43" s="27" t="s">
        <v>35</v>
      </c>
      <c r="F43" s="34"/>
    </row>
    <row r="44" spans="1:6" ht="53.25" customHeight="1" x14ac:dyDescent="0.15">
      <c r="A44" s="15" t="s">
        <v>63</v>
      </c>
      <c r="B44" s="31">
        <v>46237</v>
      </c>
      <c r="C44" s="30">
        <v>13</v>
      </c>
      <c r="D44" s="32">
        <v>13</v>
      </c>
      <c r="E44" s="15" t="s">
        <v>75</v>
      </c>
      <c r="F44" s="34"/>
    </row>
    <row r="45" spans="1:6" ht="53.25" customHeight="1" x14ac:dyDescent="0.15">
      <c r="A45" s="26" t="s">
        <v>129</v>
      </c>
      <c r="B45" s="31">
        <v>46239</v>
      </c>
      <c r="C45" s="30">
        <v>5</v>
      </c>
      <c r="D45" s="32">
        <v>5</v>
      </c>
      <c r="E45" s="15" t="s">
        <v>131</v>
      </c>
      <c r="F45" s="34"/>
    </row>
    <row r="46" spans="1:6" ht="53.25" customHeight="1" x14ac:dyDescent="0.15">
      <c r="A46" s="15" t="s">
        <v>191</v>
      </c>
      <c r="B46" s="31">
        <v>46244</v>
      </c>
      <c r="C46" s="16">
        <v>47</v>
      </c>
      <c r="D46" s="33">
        <v>47</v>
      </c>
      <c r="E46" s="15" t="s">
        <v>195</v>
      </c>
      <c r="F46" s="34"/>
    </row>
    <row r="47" spans="1:6" ht="53.25" customHeight="1" x14ac:dyDescent="0.15">
      <c r="A47" s="15" t="s">
        <v>216</v>
      </c>
      <c r="B47" s="31">
        <v>46244</v>
      </c>
      <c r="C47" s="16">
        <v>8</v>
      </c>
      <c r="D47" s="33">
        <v>8</v>
      </c>
      <c r="E47" s="15" t="s">
        <v>218</v>
      </c>
      <c r="F47" s="34"/>
    </row>
    <row r="48" spans="1:6" ht="53.25" customHeight="1" x14ac:dyDescent="0.15">
      <c r="A48" s="15" t="s">
        <v>233</v>
      </c>
      <c r="B48" s="31">
        <v>46245</v>
      </c>
      <c r="C48" s="16">
        <v>7</v>
      </c>
      <c r="D48" s="33">
        <v>7</v>
      </c>
      <c r="E48" s="15" t="s">
        <v>242</v>
      </c>
      <c r="F48" s="34"/>
    </row>
    <row r="49" spans="1:6" ht="53.25" customHeight="1" x14ac:dyDescent="0.15">
      <c r="A49" s="15" t="s">
        <v>276</v>
      </c>
      <c r="B49" s="31">
        <v>46246</v>
      </c>
      <c r="C49" s="16">
        <v>18</v>
      </c>
      <c r="D49" s="33">
        <v>18</v>
      </c>
      <c r="E49" s="15" t="s">
        <v>278</v>
      </c>
      <c r="F49" s="34"/>
    </row>
    <row r="50" spans="1:6" ht="53.25" customHeight="1" x14ac:dyDescent="0.15">
      <c r="A50" s="15" t="s">
        <v>281</v>
      </c>
      <c r="B50" s="31">
        <v>46246</v>
      </c>
      <c r="C50" s="16">
        <v>3</v>
      </c>
      <c r="D50" s="46">
        <v>0</v>
      </c>
      <c r="E50" s="15" t="s">
        <v>295</v>
      </c>
      <c r="F50" s="34" t="s">
        <v>297</v>
      </c>
    </row>
    <row r="51" spans="1:6" ht="66.75" customHeight="1" x14ac:dyDescent="0.15">
      <c r="A51" s="15" t="s">
        <v>286</v>
      </c>
      <c r="B51" s="31">
        <v>46246</v>
      </c>
      <c r="C51" s="16">
        <v>1</v>
      </c>
      <c r="D51" s="46">
        <v>0</v>
      </c>
      <c r="E51" s="15" t="s">
        <v>298</v>
      </c>
      <c r="F51" s="34" t="s">
        <v>299</v>
      </c>
    </row>
    <row r="52" spans="1:6" ht="53.25" customHeight="1" x14ac:dyDescent="0.15">
      <c r="A52" s="15" t="s">
        <v>23</v>
      </c>
      <c r="B52" s="31">
        <v>46213</v>
      </c>
      <c r="C52" s="16">
        <v>46</v>
      </c>
      <c r="D52" s="46">
        <v>0</v>
      </c>
      <c r="E52" s="27" t="s">
        <v>24</v>
      </c>
      <c r="F52" s="34" t="s">
        <v>292</v>
      </c>
    </row>
    <row r="53" spans="1:6" ht="53.25" customHeight="1" x14ac:dyDescent="0.15">
      <c r="A53" s="26" t="s">
        <v>81</v>
      </c>
      <c r="B53" s="31">
        <v>46238</v>
      </c>
      <c r="C53" s="30">
        <v>17</v>
      </c>
      <c r="D53" s="30">
        <v>0</v>
      </c>
      <c r="E53" s="15" t="s">
        <v>84</v>
      </c>
      <c r="F53" s="34" t="s">
        <v>294</v>
      </c>
    </row>
    <row r="54" spans="1:6" ht="53.25" customHeight="1" x14ac:dyDescent="0.15">
      <c r="A54" s="15" t="s">
        <v>158</v>
      </c>
      <c r="B54" s="31">
        <v>46241</v>
      </c>
      <c r="C54" s="30">
        <v>3</v>
      </c>
      <c r="D54" s="30">
        <v>0</v>
      </c>
      <c r="E54" s="15" t="s">
        <v>172</v>
      </c>
      <c r="F54" s="34" t="s">
        <v>293</v>
      </c>
    </row>
    <row r="55" spans="1:6" ht="53.25" customHeight="1" x14ac:dyDescent="0.15">
      <c r="A55" s="15"/>
      <c r="B55" s="31"/>
      <c r="C55" s="30"/>
      <c r="D55" s="30"/>
      <c r="E55" s="15"/>
      <c r="F55" s="34"/>
    </row>
    <row r="56" spans="1:6" ht="53.25" customHeight="1" x14ac:dyDescent="0.15">
      <c r="A56" s="15"/>
      <c r="B56" s="31"/>
      <c r="C56" s="30"/>
      <c r="D56" s="30"/>
      <c r="E56" s="15"/>
      <c r="F56" s="34"/>
    </row>
    <row r="57" spans="1:6" ht="53.25" customHeight="1" x14ac:dyDescent="0.15">
      <c r="A57" s="15"/>
      <c r="B57" s="31"/>
      <c r="C57" s="16"/>
      <c r="D57" s="30"/>
      <c r="E57" s="15"/>
      <c r="F57" s="34"/>
    </row>
    <row r="58" spans="1:6" ht="57.75" customHeight="1" x14ac:dyDescent="0.15">
      <c r="A58" s="15"/>
      <c r="B58" s="31"/>
      <c r="C58" s="16"/>
      <c r="D58" s="30"/>
      <c r="E58" s="15"/>
      <c r="F58" s="34"/>
    </row>
    <row r="59" spans="1:6" ht="53.25" customHeight="1" x14ac:dyDescent="0.15">
      <c r="A59" s="15"/>
      <c r="B59" s="31"/>
      <c r="C59" s="16"/>
      <c r="D59" s="30"/>
      <c r="E59" s="15"/>
      <c r="F59" s="34"/>
    </row>
    <row r="60" spans="1:6" ht="53.25" customHeight="1" x14ac:dyDescent="0.15">
      <c r="A60" s="15"/>
      <c r="B60" s="31"/>
      <c r="C60" s="30"/>
      <c r="D60" s="30"/>
      <c r="E60" s="15"/>
      <c r="F60" s="34"/>
    </row>
    <row r="61" spans="1:6" ht="53.25" customHeight="1" x14ac:dyDescent="0.15">
      <c r="A61" s="15"/>
      <c r="B61" s="31"/>
      <c r="C61" s="30"/>
      <c r="D61" s="30"/>
      <c r="E61" s="15"/>
      <c r="F61" s="34"/>
    </row>
    <row r="62" spans="1:6" ht="53.25" customHeight="1" x14ac:dyDescent="0.15">
      <c r="A62" s="15"/>
      <c r="B62" s="31"/>
      <c r="C62" s="30"/>
      <c r="D62" s="32"/>
      <c r="E62" s="15"/>
      <c r="F62" s="34"/>
    </row>
    <row r="63" spans="1:6" ht="60.6" customHeight="1" x14ac:dyDescent="0.15">
      <c r="A63" s="15"/>
      <c r="B63" s="31"/>
      <c r="C63" s="30"/>
      <c r="D63" s="30"/>
      <c r="E63" s="15"/>
      <c r="F63" s="34"/>
    </row>
    <row r="64" spans="1:6" ht="53.25" customHeight="1" x14ac:dyDescent="0.15">
      <c r="A64" s="15"/>
      <c r="B64" s="31"/>
      <c r="C64" s="16"/>
      <c r="D64" s="32"/>
      <c r="E64" s="27"/>
      <c r="F64" s="34"/>
    </row>
    <row r="65" spans="1:6" ht="38.25" customHeight="1" x14ac:dyDescent="0.15">
      <c r="A65" s="22" t="s">
        <v>12</v>
      </c>
      <c r="B65" s="21"/>
      <c r="C65" s="21">
        <f>SUM(C37:C64)</f>
        <v>270</v>
      </c>
      <c r="D65" s="21">
        <f>SUM(D37:D64)</f>
        <v>200</v>
      </c>
      <c r="E65" s="38"/>
      <c r="F65" s="39"/>
    </row>
    <row r="66" spans="1:6" ht="30" customHeight="1" x14ac:dyDescent="0.15">
      <c r="D66" s="44"/>
    </row>
    <row r="67" spans="1:6" ht="30" customHeight="1" x14ac:dyDescent="0.15">
      <c r="D67" s="44"/>
    </row>
  </sheetData>
  <pageMargins left="0.7" right="0.7" top="0.75" bottom="0.75" header="0.3" footer="0.3"/>
  <pageSetup scale="3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6ACE-7410-49CA-94D9-8FD604BE74A6}">
  <sheetPr>
    <pageSetUpPr fitToPage="1"/>
  </sheetPr>
  <dimension ref="A1:I56"/>
  <sheetViews>
    <sheetView topLeftCell="A9" zoomScale="85" zoomScaleNormal="85" workbookViewId="0">
      <selection activeCell="E17" sqref="E17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46248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15" t="s">
        <v>343</v>
      </c>
      <c r="B6" s="16">
        <v>1</v>
      </c>
      <c r="C6" s="16">
        <v>0</v>
      </c>
      <c r="D6" s="30">
        <v>0</v>
      </c>
      <c r="E6" s="15" t="s">
        <v>363</v>
      </c>
      <c r="F6" s="15" t="s">
        <v>311</v>
      </c>
      <c r="G6" s="30">
        <v>5</v>
      </c>
      <c r="H6" s="16">
        <v>0</v>
      </c>
      <c r="I6" s="51" t="s">
        <v>377</v>
      </c>
    </row>
    <row r="7" spans="1:9" ht="63" customHeight="1" x14ac:dyDescent="0.15">
      <c r="A7" s="15" t="s">
        <v>358</v>
      </c>
      <c r="B7" s="16">
        <v>0</v>
      </c>
      <c r="C7" s="16">
        <v>1</v>
      </c>
      <c r="D7" s="32">
        <v>1</v>
      </c>
      <c r="E7" s="15" t="s">
        <v>368</v>
      </c>
      <c r="F7" s="15" t="s">
        <v>360</v>
      </c>
      <c r="G7" s="16">
        <v>2</v>
      </c>
      <c r="H7" s="16">
        <v>0</v>
      </c>
      <c r="I7" s="15" t="s">
        <v>362</v>
      </c>
    </row>
    <row r="8" spans="1:9" ht="61.5" customHeight="1" x14ac:dyDescent="0.15">
      <c r="A8" s="15" t="s">
        <v>359</v>
      </c>
      <c r="B8" s="16">
        <v>0</v>
      </c>
      <c r="C8" s="16">
        <v>1</v>
      </c>
      <c r="D8" s="32">
        <v>1</v>
      </c>
      <c r="E8" s="15" t="s">
        <v>369</v>
      </c>
      <c r="F8" s="15" t="s">
        <v>364</v>
      </c>
      <c r="G8" s="16">
        <v>1</v>
      </c>
      <c r="H8" s="16">
        <v>0</v>
      </c>
      <c r="I8" s="15" t="s">
        <v>365</v>
      </c>
    </row>
    <row r="9" spans="1:9" ht="61.5" customHeight="1" x14ac:dyDescent="0.15">
      <c r="A9" s="15" t="s">
        <v>360</v>
      </c>
      <c r="B9" s="16">
        <v>39</v>
      </c>
      <c r="C9" s="16">
        <v>0</v>
      </c>
      <c r="D9" s="32">
        <v>39</v>
      </c>
      <c r="E9" s="15" t="s">
        <v>361</v>
      </c>
      <c r="F9" s="15" t="s">
        <v>322</v>
      </c>
      <c r="G9" s="16">
        <v>6</v>
      </c>
      <c r="H9" s="16">
        <v>0</v>
      </c>
      <c r="I9" s="15" t="s">
        <v>367</v>
      </c>
    </row>
    <row r="10" spans="1:9" ht="61.5" customHeight="1" x14ac:dyDescent="0.15">
      <c r="A10" s="15" t="s">
        <v>360</v>
      </c>
      <c r="B10" s="16">
        <v>2</v>
      </c>
      <c r="C10" s="16">
        <v>0</v>
      </c>
      <c r="D10" s="30">
        <v>0</v>
      </c>
      <c r="E10" s="15" t="s">
        <v>362</v>
      </c>
      <c r="F10" s="15" t="s">
        <v>366</v>
      </c>
      <c r="G10" s="16">
        <v>2</v>
      </c>
      <c r="H10" s="16">
        <v>0</v>
      </c>
      <c r="I10" s="34" t="s">
        <v>374</v>
      </c>
    </row>
    <row r="11" spans="1:9" ht="70.5" customHeight="1" x14ac:dyDescent="0.15">
      <c r="A11" s="15" t="s">
        <v>364</v>
      </c>
      <c r="B11" s="16">
        <v>0</v>
      </c>
      <c r="C11" s="16">
        <v>1</v>
      </c>
      <c r="D11" s="30">
        <v>0</v>
      </c>
      <c r="E11" s="15" t="s">
        <v>365</v>
      </c>
      <c r="F11" s="15" t="s">
        <v>375</v>
      </c>
      <c r="G11" s="16">
        <v>3</v>
      </c>
      <c r="H11" s="16">
        <v>0</v>
      </c>
      <c r="I11" s="34" t="s">
        <v>378</v>
      </c>
    </row>
    <row r="12" spans="1:9" ht="62.25" customHeight="1" x14ac:dyDescent="0.15">
      <c r="A12" s="15" t="s">
        <v>366</v>
      </c>
      <c r="B12" s="16">
        <v>2</v>
      </c>
      <c r="C12" s="16">
        <v>0</v>
      </c>
      <c r="D12" s="30">
        <v>0</v>
      </c>
      <c r="E12" s="15" t="s">
        <v>373</v>
      </c>
      <c r="F12" s="15"/>
      <c r="G12" s="16"/>
      <c r="H12" s="16"/>
      <c r="I12" s="34"/>
    </row>
    <row r="13" spans="1:9" ht="62.25" customHeight="1" x14ac:dyDescent="0.15">
      <c r="A13" s="15" t="s">
        <v>370</v>
      </c>
      <c r="B13" s="16">
        <v>10</v>
      </c>
      <c r="C13" s="16">
        <v>0</v>
      </c>
      <c r="D13" s="30">
        <v>0</v>
      </c>
      <c r="E13" s="15" t="s">
        <v>372</v>
      </c>
      <c r="F13" s="15"/>
      <c r="G13" s="16"/>
      <c r="H13" s="16"/>
      <c r="I13" s="34"/>
    </row>
    <row r="14" spans="1:9" ht="62.25" customHeight="1" x14ac:dyDescent="0.15">
      <c r="A14" s="15" t="s">
        <v>371</v>
      </c>
      <c r="B14" s="16">
        <v>7</v>
      </c>
      <c r="C14" s="16">
        <v>0</v>
      </c>
      <c r="D14" s="30">
        <v>0</v>
      </c>
      <c r="E14" s="15" t="s">
        <v>376</v>
      </c>
      <c r="F14" s="15"/>
      <c r="G14" s="16"/>
      <c r="H14" s="16"/>
      <c r="I14" s="15"/>
    </row>
    <row r="15" spans="1:9" ht="62.25" customHeight="1" x14ac:dyDescent="0.15">
      <c r="A15" s="15" t="s">
        <v>375</v>
      </c>
      <c r="B15" s="16">
        <v>3</v>
      </c>
      <c r="C15" s="16">
        <v>0</v>
      </c>
      <c r="D15" s="30">
        <v>0</v>
      </c>
      <c r="E15" s="15" t="s">
        <v>378</v>
      </c>
      <c r="F15" s="15"/>
      <c r="G15" s="16"/>
      <c r="H15" s="16"/>
      <c r="I15" s="15"/>
    </row>
    <row r="16" spans="1:9" ht="62.25" customHeight="1" x14ac:dyDescent="0.15">
      <c r="A16" s="15"/>
      <c r="B16" s="16"/>
      <c r="C16" s="16"/>
      <c r="D16" s="32"/>
      <c r="E16" s="15"/>
      <c r="F16" s="15"/>
      <c r="G16" s="16"/>
      <c r="H16" s="16"/>
      <c r="I16" s="15"/>
    </row>
    <row r="17" spans="1:9" ht="62.25" customHeight="1" x14ac:dyDescent="0.15">
      <c r="A17" s="15"/>
      <c r="B17" s="16"/>
      <c r="C17" s="16"/>
      <c r="D17" s="32"/>
      <c r="E17" s="15"/>
      <c r="F17" s="15"/>
      <c r="G17" s="16"/>
      <c r="H17" s="16"/>
      <c r="I17" s="15"/>
    </row>
    <row r="18" spans="1:9" ht="62.25" customHeight="1" x14ac:dyDescent="0.15">
      <c r="A18" s="15"/>
      <c r="B18" s="16"/>
      <c r="C18" s="16"/>
      <c r="D18" s="32"/>
      <c r="E18" s="15"/>
      <c r="F18" s="15"/>
      <c r="G18" s="16"/>
      <c r="H18" s="16"/>
      <c r="I18" s="15"/>
    </row>
    <row r="19" spans="1:9" ht="62.25" customHeight="1" x14ac:dyDescent="0.15">
      <c r="A19" s="15"/>
      <c r="B19" s="16"/>
      <c r="C19" s="16"/>
      <c r="D19" s="17"/>
      <c r="E19" s="15"/>
      <c r="F19" s="15"/>
      <c r="G19" s="16"/>
      <c r="H19" s="16"/>
      <c r="I19" s="27"/>
    </row>
    <row r="20" spans="1:9" ht="53.25" customHeight="1" x14ac:dyDescent="0.15">
      <c r="A20" s="15"/>
      <c r="B20" s="16"/>
      <c r="C20" s="16"/>
      <c r="D20" s="16"/>
      <c r="E20" s="15"/>
      <c r="F20" s="15"/>
      <c r="G20" s="16"/>
      <c r="H20" s="16"/>
      <c r="I20" s="15"/>
    </row>
    <row r="21" spans="1:9" ht="30" customHeight="1" x14ac:dyDescent="0.15">
      <c r="A21" s="28" t="s">
        <v>12</v>
      </c>
      <c r="B21" s="29">
        <f>SUM(B6:B20)</f>
        <v>64</v>
      </c>
      <c r="C21" s="29">
        <f>SUM(C6:C20)</f>
        <v>3</v>
      </c>
      <c r="D21" s="29">
        <f>SUM(D6:D20)</f>
        <v>41</v>
      </c>
      <c r="E21" s="29"/>
      <c r="F21" s="29"/>
      <c r="G21" s="29">
        <f>SUM(G6:G20)</f>
        <v>19</v>
      </c>
      <c r="H21" s="29">
        <f>SUM(H6:H20)</f>
        <v>0</v>
      </c>
      <c r="I21" s="29"/>
    </row>
    <row r="24" spans="1:9" ht="30" customHeight="1" x14ac:dyDescent="0.15">
      <c r="A24" s="43" t="s">
        <v>13</v>
      </c>
      <c r="B24" s="43"/>
      <c r="C24" s="43"/>
      <c r="D24" s="43"/>
      <c r="E24" s="43"/>
      <c r="F24" s="43"/>
    </row>
    <row r="25" spans="1:9" ht="30" customHeight="1" x14ac:dyDescent="0.15">
      <c r="A25" s="20" t="s">
        <v>7</v>
      </c>
      <c r="B25" s="18" t="s">
        <v>1</v>
      </c>
      <c r="C25" s="18" t="s">
        <v>11</v>
      </c>
      <c r="D25" s="19" t="s">
        <v>10</v>
      </c>
      <c r="E25" s="19" t="s">
        <v>6</v>
      </c>
      <c r="F25" s="35"/>
    </row>
    <row r="26" spans="1:9" ht="53.25" customHeight="1" x14ac:dyDescent="0.15">
      <c r="A26" s="15" t="s">
        <v>14</v>
      </c>
      <c r="B26" s="31">
        <v>46199</v>
      </c>
      <c r="C26" s="16">
        <v>2</v>
      </c>
      <c r="D26" s="33">
        <v>2</v>
      </c>
      <c r="E26" s="27" t="s">
        <v>15</v>
      </c>
      <c r="F26" s="45" t="s">
        <v>20</v>
      </c>
    </row>
    <row r="27" spans="1:9" ht="53.25" customHeight="1" x14ac:dyDescent="0.15">
      <c r="A27" s="15" t="s">
        <v>17</v>
      </c>
      <c r="B27" s="31">
        <v>46203</v>
      </c>
      <c r="C27" s="16">
        <v>34</v>
      </c>
      <c r="D27" s="33">
        <v>34</v>
      </c>
      <c r="E27" s="37" t="s">
        <v>16</v>
      </c>
      <c r="F27" s="45" t="s">
        <v>22</v>
      </c>
    </row>
    <row r="28" spans="1:9" ht="66.75" customHeight="1" x14ac:dyDescent="0.15">
      <c r="A28" s="27" t="s">
        <v>25</v>
      </c>
      <c r="B28" s="31">
        <v>46216</v>
      </c>
      <c r="C28" s="46">
        <v>11</v>
      </c>
      <c r="D28" s="36">
        <v>11</v>
      </c>
      <c r="E28" s="27" t="s">
        <v>27</v>
      </c>
      <c r="F28" s="45" t="s">
        <v>45</v>
      </c>
    </row>
    <row r="29" spans="1:9" ht="53.25" customHeight="1" x14ac:dyDescent="0.15">
      <c r="A29" s="15" t="s">
        <v>26</v>
      </c>
      <c r="B29" s="31">
        <v>46216</v>
      </c>
      <c r="C29" s="16">
        <v>6</v>
      </c>
      <c r="D29" s="32">
        <v>6</v>
      </c>
      <c r="E29" s="27" t="s">
        <v>28</v>
      </c>
      <c r="F29" s="45" t="s">
        <v>29</v>
      </c>
    </row>
    <row r="30" spans="1:9" ht="53.25" customHeight="1" x14ac:dyDescent="0.15">
      <c r="A30" s="49" t="s">
        <v>30</v>
      </c>
      <c r="B30" s="31">
        <v>46224</v>
      </c>
      <c r="C30" s="16">
        <v>1</v>
      </c>
      <c r="D30" s="33">
        <v>1</v>
      </c>
      <c r="E30" s="27" t="s">
        <v>31</v>
      </c>
      <c r="F30" s="34"/>
    </row>
    <row r="31" spans="1:9" ht="53.25" customHeight="1" x14ac:dyDescent="0.15">
      <c r="A31" s="15" t="s">
        <v>32</v>
      </c>
      <c r="B31" s="31">
        <v>46226</v>
      </c>
      <c r="C31" s="16">
        <v>20</v>
      </c>
      <c r="D31" s="33">
        <v>20</v>
      </c>
      <c r="E31" s="27" t="s">
        <v>33</v>
      </c>
      <c r="F31" s="34"/>
    </row>
    <row r="32" spans="1:9" ht="53.25" customHeight="1" x14ac:dyDescent="0.15">
      <c r="A32" s="15" t="s">
        <v>34</v>
      </c>
      <c r="B32" s="31">
        <v>46227</v>
      </c>
      <c r="C32" s="30">
        <v>28</v>
      </c>
      <c r="D32" s="32">
        <v>28</v>
      </c>
      <c r="E32" s="27" t="s">
        <v>35</v>
      </c>
      <c r="F32" s="34"/>
    </row>
    <row r="33" spans="1:6" ht="53.25" customHeight="1" x14ac:dyDescent="0.15">
      <c r="A33" s="15" t="s">
        <v>63</v>
      </c>
      <c r="B33" s="31">
        <v>46237</v>
      </c>
      <c r="C33" s="30">
        <v>13</v>
      </c>
      <c r="D33" s="32">
        <v>13</v>
      </c>
      <c r="E33" s="15" t="s">
        <v>75</v>
      </c>
      <c r="F33" s="34"/>
    </row>
    <row r="34" spans="1:6" ht="53.25" customHeight="1" x14ac:dyDescent="0.15">
      <c r="A34" s="26" t="s">
        <v>129</v>
      </c>
      <c r="B34" s="31">
        <v>46239</v>
      </c>
      <c r="C34" s="30">
        <v>5</v>
      </c>
      <c r="D34" s="32">
        <v>5</v>
      </c>
      <c r="E34" s="15" t="s">
        <v>131</v>
      </c>
      <c r="F34" s="34"/>
    </row>
    <row r="35" spans="1:6" ht="53.25" customHeight="1" x14ac:dyDescent="0.15">
      <c r="A35" s="15" t="s">
        <v>191</v>
      </c>
      <c r="B35" s="31">
        <v>46244</v>
      </c>
      <c r="C35" s="16">
        <v>47</v>
      </c>
      <c r="D35" s="33">
        <v>47</v>
      </c>
      <c r="E35" s="15" t="s">
        <v>195</v>
      </c>
      <c r="F35" s="34"/>
    </row>
    <row r="36" spans="1:6" ht="53.25" customHeight="1" x14ac:dyDescent="0.15">
      <c r="A36" s="15" t="s">
        <v>216</v>
      </c>
      <c r="B36" s="31">
        <v>46244</v>
      </c>
      <c r="C36" s="16">
        <v>8</v>
      </c>
      <c r="D36" s="33">
        <v>8</v>
      </c>
      <c r="E36" s="15" t="s">
        <v>218</v>
      </c>
      <c r="F36" s="34"/>
    </row>
    <row r="37" spans="1:6" ht="53.25" customHeight="1" x14ac:dyDescent="0.15">
      <c r="A37" s="15" t="s">
        <v>233</v>
      </c>
      <c r="B37" s="31">
        <v>46245</v>
      </c>
      <c r="C37" s="16">
        <v>7</v>
      </c>
      <c r="D37" s="33">
        <v>7</v>
      </c>
      <c r="E37" s="15" t="s">
        <v>242</v>
      </c>
      <c r="F37" s="34"/>
    </row>
    <row r="38" spans="1:6" ht="53.25" customHeight="1" x14ac:dyDescent="0.15">
      <c r="A38" s="15" t="s">
        <v>276</v>
      </c>
      <c r="B38" s="31">
        <v>46246</v>
      </c>
      <c r="C38" s="16">
        <v>18</v>
      </c>
      <c r="D38" s="33">
        <v>18</v>
      </c>
      <c r="E38" s="15" t="s">
        <v>278</v>
      </c>
      <c r="F38" s="34"/>
    </row>
    <row r="39" spans="1:6" ht="53.25" customHeight="1" x14ac:dyDescent="0.15">
      <c r="A39" s="15" t="s">
        <v>305</v>
      </c>
      <c r="B39" s="31">
        <v>46247</v>
      </c>
      <c r="C39" s="30">
        <v>7</v>
      </c>
      <c r="D39" s="32">
        <v>7</v>
      </c>
      <c r="E39" s="15" t="s">
        <v>321</v>
      </c>
      <c r="F39" s="34"/>
    </row>
    <row r="40" spans="1:6" ht="66.75" customHeight="1" x14ac:dyDescent="0.15">
      <c r="A40" s="15" t="s">
        <v>306</v>
      </c>
      <c r="B40" s="31">
        <v>46247</v>
      </c>
      <c r="C40" s="30">
        <v>20</v>
      </c>
      <c r="D40" s="32">
        <v>20</v>
      </c>
      <c r="E40" s="15" t="s">
        <v>324</v>
      </c>
      <c r="F40" s="34"/>
    </row>
    <row r="41" spans="1:6" ht="53.25" customHeight="1" x14ac:dyDescent="0.15">
      <c r="A41" s="15" t="s">
        <v>307</v>
      </c>
      <c r="B41" s="31">
        <v>46247</v>
      </c>
      <c r="C41" s="30">
        <v>1</v>
      </c>
      <c r="D41" s="32">
        <v>1</v>
      </c>
      <c r="E41" s="15" t="s">
        <v>326</v>
      </c>
      <c r="F41" s="34"/>
    </row>
    <row r="42" spans="1:6" ht="53.25" customHeight="1" x14ac:dyDescent="0.15">
      <c r="A42" s="15" t="s">
        <v>325</v>
      </c>
      <c r="B42" s="31">
        <v>46247</v>
      </c>
      <c r="C42" s="30">
        <v>4</v>
      </c>
      <c r="D42" s="32">
        <v>4</v>
      </c>
      <c r="E42" s="15" t="s">
        <v>327</v>
      </c>
      <c r="F42" s="34"/>
    </row>
    <row r="43" spans="1:6" ht="53.25" customHeight="1" x14ac:dyDescent="0.15">
      <c r="A43" s="15" t="s">
        <v>310</v>
      </c>
      <c r="B43" s="31">
        <v>46247</v>
      </c>
      <c r="C43" s="30">
        <v>8</v>
      </c>
      <c r="D43" s="32">
        <v>8</v>
      </c>
      <c r="E43" s="15" t="s">
        <v>331</v>
      </c>
      <c r="F43" s="34"/>
    </row>
    <row r="44" spans="1:6" ht="53.25" customHeight="1" x14ac:dyDescent="0.15">
      <c r="A44" s="15" t="s">
        <v>313</v>
      </c>
      <c r="B44" s="31">
        <v>46247</v>
      </c>
      <c r="C44" s="30">
        <v>9</v>
      </c>
      <c r="D44" s="32">
        <v>9</v>
      </c>
      <c r="E44" s="15" t="s">
        <v>332</v>
      </c>
      <c r="F44" s="34"/>
    </row>
    <row r="45" spans="1:6" ht="53.25" customHeight="1" x14ac:dyDescent="0.15">
      <c r="A45" s="15" t="s">
        <v>328</v>
      </c>
      <c r="B45" s="31">
        <v>46247</v>
      </c>
      <c r="C45" s="30">
        <v>3</v>
      </c>
      <c r="D45" s="32">
        <v>3</v>
      </c>
      <c r="E45" s="15" t="s">
        <v>338</v>
      </c>
      <c r="F45" s="34"/>
    </row>
    <row r="46" spans="1:6" ht="53.25" customHeight="1" x14ac:dyDescent="0.15">
      <c r="A46" s="15" t="s">
        <v>322</v>
      </c>
      <c r="B46" s="31">
        <v>46247</v>
      </c>
      <c r="C46" s="30">
        <v>6</v>
      </c>
      <c r="D46" s="30">
        <v>0</v>
      </c>
      <c r="E46" s="15" t="s">
        <v>340</v>
      </c>
      <c r="F46" s="34" t="s">
        <v>367</v>
      </c>
    </row>
    <row r="47" spans="1:6" ht="57.75" customHeight="1" x14ac:dyDescent="0.15">
      <c r="A47" s="15"/>
      <c r="B47" s="31"/>
      <c r="C47" s="16"/>
      <c r="D47" s="30"/>
      <c r="E47" s="15"/>
      <c r="F47" s="34"/>
    </row>
    <row r="48" spans="1:6" ht="53.25" customHeight="1" x14ac:dyDescent="0.15">
      <c r="A48" s="15"/>
      <c r="B48" s="31"/>
      <c r="C48" s="16"/>
      <c r="D48" s="30"/>
      <c r="E48" s="15"/>
      <c r="F48" s="34"/>
    </row>
    <row r="49" spans="1:6" ht="53.25" customHeight="1" x14ac:dyDescent="0.15">
      <c r="A49" s="15"/>
      <c r="B49" s="31"/>
      <c r="C49" s="30"/>
      <c r="D49" s="30"/>
      <c r="E49" s="15"/>
      <c r="F49" s="34"/>
    </row>
    <row r="50" spans="1:6" ht="53.25" customHeight="1" x14ac:dyDescent="0.15">
      <c r="A50" s="15"/>
      <c r="B50" s="31"/>
      <c r="C50" s="30"/>
      <c r="D50" s="30"/>
      <c r="E50" s="15"/>
      <c r="F50" s="34"/>
    </row>
    <row r="51" spans="1:6" ht="53.25" customHeight="1" x14ac:dyDescent="0.15">
      <c r="A51" s="15"/>
      <c r="B51" s="31"/>
      <c r="C51" s="30"/>
      <c r="D51" s="32"/>
      <c r="E51" s="15"/>
      <c r="F51" s="34"/>
    </row>
    <row r="52" spans="1:6" ht="60.6" customHeight="1" x14ac:dyDescent="0.15">
      <c r="A52" s="15"/>
      <c r="B52" s="31"/>
      <c r="C52" s="30"/>
      <c r="D52" s="30"/>
      <c r="E52" s="15"/>
      <c r="F52" s="34"/>
    </row>
    <row r="53" spans="1:6" ht="53.25" customHeight="1" x14ac:dyDescent="0.15">
      <c r="A53" s="15"/>
      <c r="B53" s="31"/>
      <c r="C53" s="16"/>
      <c r="D53" s="32"/>
      <c r="E53" s="27"/>
      <c r="F53" s="34"/>
    </row>
    <row r="54" spans="1:6" ht="38.25" customHeight="1" x14ac:dyDescent="0.15">
      <c r="A54" s="22" t="s">
        <v>12</v>
      </c>
      <c r="B54" s="21"/>
      <c r="C54" s="21">
        <f>SUM(C26:C53)</f>
        <v>258</v>
      </c>
      <c r="D54" s="21">
        <f>SUM(D26:D53)</f>
        <v>252</v>
      </c>
      <c r="E54" s="38"/>
      <c r="F54" s="39"/>
    </row>
    <row r="55" spans="1:6" ht="30" customHeight="1" x14ac:dyDescent="0.15">
      <c r="D55" s="44"/>
    </row>
    <row r="56" spans="1:6" ht="30" customHeight="1" x14ac:dyDescent="0.15">
      <c r="D56" s="44"/>
    </row>
  </sheetData>
  <pageMargins left="0.7" right="0.7" top="0.75" bottom="0.75" header="0.3" footer="0.3"/>
  <pageSetup scale="3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F2FB-426B-4515-9B86-F9AC0E54EC6E}">
  <sheetPr>
    <pageSetUpPr fitToPage="1"/>
  </sheetPr>
  <dimension ref="A1:I59"/>
  <sheetViews>
    <sheetView topLeftCell="A32" zoomScale="85" zoomScaleNormal="85" workbookViewId="0">
      <selection activeCell="G15" sqref="G15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46251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27" t="s">
        <v>382</v>
      </c>
      <c r="B6" s="46">
        <v>9</v>
      </c>
      <c r="C6" s="46">
        <v>0</v>
      </c>
      <c r="D6" s="32">
        <v>9</v>
      </c>
      <c r="E6" s="27" t="s">
        <v>383</v>
      </c>
      <c r="F6" s="27" t="s">
        <v>379</v>
      </c>
      <c r="G6" s="46">
        <v>1</v>
      </c>
      <c r="H6" s="46">
        <v>0</v>
      </c>
      <c r="I6" s="51" t="s">
        <v>385</v>
      </c>
    </row>
    <row r="7" spans="1:9" ht="66" customHeight="1" x14ac:dyDescent="0.15">
      <c r="A7" s="27" t="s">
        <v>379</v>
      </c>
      <c r="B7" s="46">
        <v>7</v>
      </c>
      <c r="C7" s="46">
        <v>0</v>
      </c>
      <c r="D7" s="32">
        <v>7</v>
      </c>
      <c r="E7" s="27" t="s">
        <v>384</v>
      </c>
      <c r="F7" s="27" t="s">
        <v>387</v>
      </c>
      <c r="G7" s="46">
        <v>5</v>
      </c>
      <c r="H7" s="46">
        <v>0</v>
      </c>
      <c r="I7" s="51" t="s">
        <v>392</v>
      </c>
    </row>
    <row r="8" spans="1:9" ht="66" customHeight="1" x14ac:dyDescent="0.15">
      <c r="A8" s="27" t="s">
        <v>379</v>
      </c>
      <c r="B8" s="46">
        <v>1</v>
      </c>
      <c r="C8" s="46">
        <v>0</v>
      </c>
      <c r="D8" s="30">
        <v>0</v>
      </c>
      <c r="E8" s="27" t="s">
        <v>385</v>
      </c>
      <c r="F8" s="15"/>
      <c r="G8" s="30"/>
      <c r="H8" s="16"/>
      <c r="I8" s="51"/>
    </row>
    <row r="9" spans="1:9" ht="63" customHeight="1" x14ac:dyDescent="0.15">
      <c r="A9" s="27" t="s">
        <v>380</v>
      </c>
      <c r="B9" s="46">
        <v>4</v>
      </c>
      <c r="C9" s="46">
        <v>0</v>
      </c>
      <c r="D9" s="32">
        <v>4</v>
      </c>
      <c r="E9" s="27" t="s">
        <v>386</v>
      </c>
      <c r="F9" s="15"/>
      <c r="G9" s="16"/>
      <c r="H9" s="16"/>
      <c r="I9" s="15"/>
    </row>
    <row r="10" spans="1:9" ht="61.5" customHeight="1" x14ac:dyDescent="0.15">
      <c r="A10" s="27" t="s">
        <v>381</v>
      </c>
      <c r="B10" s="46">
        <v>51</v>
      </c>
      <c r="C10" s="46">
        <v>0</v>
      </c>
      <c r="D10" s="32">
        <v>51</v>
      </c>
      <c r="E10" s="52" t="s">
        <v>396</v>
      </c>
      <c r="F10" s="15"/>
      <c r="G10" s="16"/>
      <c r="H10" s="16"/>
      <c r="I10" s="15"/>
    </row>
    <row r="11" spans="1:9" ht="61.5" customHeight="1" x14ac:dyDescent="0.15">
      <c r="A11" s="27" t="s">
        <v>381</v>
      </c>
      <c r="B11" s="46">
        <v>4</v>
      </c>
      <c r="C11" s="46">
        <v>0</v>
      </c>
      <c r="D11" s="32">
        <v>4</v>
      </c>
      <c r="E11" s="52" t="s">
        <v>396</v>
      </c>
      <c r="F11" s="15"/>
      <c r="G11" s="16"/>
      <c r="H11" s="16"/>
      <c r="I11" s="51"/>
    </row>
    <row r="12" spans="1:9" ht="70.5" customHeight="1" x14ac:dyDescent="0.15">
      <c r="A12" s="27" t="s">
        <v>389</v>
      </c>
      <c r="B12" s="46">
        <v>2</v>
      </c>
      <c r="C12" s="46">
        <v>0</v>
      </c>
      <c r="D12" s="32">
        <v>2</v>
      </c>
      <c r="E12" s="27" t="s">
        <v>391</v>
      </c>
      <c r="F12" s="15"/>
      <c r="G12" s="16"/>
      <c r="H12" s="16"/>
      <c r="I12" s="34"/>
    </row>
    <row r="13" spans="1:9" ht="61.5" customHeight="1" x14ac:dyDescent="0.15">
      <c r="A13" s="27" t="s">
        <v>387</v>
      </c>
      <c r="B13" s="46">
        <v>5</v>
      </c>
      <c r="C13" s="46">
        <v>0</v>
      </c>
      <c r="D13" s="30">
        <v>0</v>
      </c>
      <c r="E13" s="27" t="s">
        <v>392</v>
      </c>
      <c r="F13" s="15"/>
      <c r="G13" s="16"/>
      <c r="H13" s="16"/>
      <c r="I13" s="15"/>
    </row>
    <row r="14" spans="1:9" ht="61.5" customHeight="1" x14ac:dyDescent="0.15">
      <c r="A14" s="27" t="s">
        <v>388</v>
      </c>
      <c r="B14" s="46">
        <v>5</v>
      </c>
      <c r="C14" s="46">
        <v>0</v>
      </c>
      <c r="D14" s="32">
        <v>5</v>
      </c>
      <c r="E14" s="52" t="s">
        <v>395</v>
      </c>
      <c r="F14" s="15"/>
      <c r="G14" s="16"/>
      <c r="H14" s="16"/>
      <c r="I14" s="34"/>
    </row>
    <row r="15" spans="1:9" ht="62.25" customHeight="1" x14ac:dyDescent="0.15">
      <c r="A15" s="27" t="s">
        <v>390</v>
      </c>
      <c r="B15" s="46">
        <v>5</v>
      </c>
      <c r="C15" s="46">
        <v>0</v>
      </c>
      <c r="D15" s="32">
        <v>5</v>
      </c>
      <c r="E15" s="52" t="s">
        <v>395</v>
      </c>
      <c r="F15" s="15"/>
      <c r="G15" s="16"/>
      <c r="H15" s="16"/>
      <c r="I15" s="34"/>
    </row>
    <row r="16" spans="1:9" ht="62.25" customHeight="1" x14ac:dyDescent="0.15">
      <c r="A16" s="15" t="s">
        <v>393</v>
      </c>
      <c r="B16" s="16">
        <v>3</v>
      </c>
      <c r="C16" s="16">
        <v>0</v>
      </c>
      <c r="D16" s="32">
        <v>3</v>
      </c>
      <c r="E16" s="15" t="s">
        <v>394</v>
      </c>
      <c r="F16" s="15"/>
      <c r="G16" s="16"/>
      <c r="H16" s="16"/>
      <c r="I16" s="34"/>
    </row>
    <row r="17" spans="1:9" ht="62.25" customHeight="1" x14ac:dyDescent="0.15">
      <c r="A17" s="15"/>
      <c r="B17" s="16"/>
      <c r="C17" s="16"/>
      <c r="D17" s="30"/>
      <c r="E17" s="15"/>
      <c r="F17" s="15"/>
      <c r="G17" s="16"/>
      <c r="H17" s="16"/>
      <c r="I17" s="15"/>
    </row>
    <row r="18" spans="1:9" ht="62.25" customHeight="1" x14ac:dyDescent="0.15">
      <c r="A18" s="15"/>
      <c r="B18" s="16"/>
      <c r="C18" s="16"/>
      <c r="D18" s="30"/>
      <c r="E18" s="15"/>
      <c r="F18" s="15"/>
      <c r="G18" s="16"/>
      <c r="H18" s="16"/>
      <c r="I18" s="15"/>
    </row>
    <row r="19" spans="1:9" ht="62.25" customHeight="1" x14ac:dyDescent="0.15">
      <c r="A19" s="15"/>
      <c r="B19" s="16"/>
      <c r="C19" s="16"/>
      <c r="D19" s="32"/>
      <c r="E19" s="15"/>
      <c r="F19" s="15"/>
      <c r="G19" s="16"/>
      <c r="H19" s="16"/>
      <c r="I19" s="15"/>
    </row>
    <row r="20" spans="1:9" ht="62.25" customHeight="1" x14ac:dyDescent="0.15">
      <c r="A20" s="15"/>
      <c r="B20" s="16"/>
      <c r="C20" s="16"/>
      <c r="D20" s="32"/>
      <c r="E20" s="15"/>
      <c r="F20" s="15"/>
      <c r="G20" s="16"/>
      <c r="H20" s="16"/>
      <c r="I20" s="15"/>
    </row>
    <row r="21" spans="1:9" ht="62.25" customHeight="1" x14ac:dyDescent="0.15">
      <c r="A21" s="15"/>
      <c r="B21" s="16"/>
      <c r="C21" s="16"/>
      <c r="D21" s="32"/>
      <c r="E21" s="15"/>
      <c r="F21" s="15"/>
      <c r="G21" s="16"/>
      <c r="H21" s="16"/>
      <c r="I21" s="15"/>
    </row>
    <row r="22" spans="1:9" ht="62.25" customHeight="1" x14ac:dyDescent="0.15">
      <c r="A22" s="15"/>
      <c r="B22" s="16"/>
      <c r="C22" s="16"/>
      <c r="D22" s="17"/>
      <c r="E22" s="15"/>
      <c r="F22" s="15"/>
      <c r="G22" s="16"/>
      <c r="H22" s="16"/>
      <c r="I22" s="27"/>
    </row>
    <row r="23" spans="1:9" ht="53.25" customHeight="1" x14ac:dyDescent="0.15">
      <c r="A23" s="15"/>
      <c r="B23" s="16"/>
      <c r="C23" s="16"/>
      <c r="D23" s="16"/>
      <c r="E23" s="15"/>
      <c r="F23" s="15"/>
      <c r="G23" s="16"/>
      <c r="H23" s="16"/>
      <c r="I23" s="15"/>
    </row>
    <row r="24" spans="1:9" ht="30" customHeight="1" x14ac:dyDescent="0.15">
      <c r="A24" s="28" t="s">
        <v>12</v>
      </c>
      <c r="B24" s="29">
        <f>SUM(B6:B23)</f>
        <v>96</v>
      </c>
      <c r="C24" s="29">
        <f>SUM(C6:C23)</f>
        <v>0</v>
      </c>
      <c r="D24" s="29">
        <f>SUM(D6:D23)</f>
        <v>90</v>
      </c>
      <c r="E24" s="29"/>
      <c r="F24" s="29"/>
      <c r="G24" s="29">
        <f>SUM(G6:G23)</f>
        <v>6</v>
      </c>
      <c r="H24" s="29">
        <f>SUM(H6:H23)</f>
        <v>0</v>
      </c>
      <c r="I24" s="29"/>
    </row>
    <row r="27" spans="1:9" ht="30" customHeight="1" x14ac:dyDescent="0.15">
      <c r="A27" s="43" t="s">
        <v>13</v>
      </c>
      <c r="B27" s="43"/>
      <c r="C27" s="43"/>
      <c r="D27" s="43"/>
      <c r="E27" s="43"/>
      <c r="F27" s="43"/>
    </row>
    <row r="28" spans="1:9" ht="30" customHeight="1" x14ac:dyDescent="0.15">
      <c r="A28" s="20" t="s">
        <v>7</v>
      </c>
      <c r="B28" s="18" t="s">
        <v>1</v>
      </c>
      <c r="C28" s="18" t="s">
        <v>11</v>
      </c>
      <c r="D28" s="19" t="s">
        <v>10</v>
      </c>
      <c r="E28" s="19" t="s">
        <v>6</v>
      </c>
      <c r="F28" s="35"/>
    </row>
    <row r="29" spans="1:9" ht="53.25" customHeight="1" x14ac:dyDescent="0.15">
      <c r="A29" s="15" t="s">
        <v>14</v>
      </c>
      <c r="B29" s="31">
        <v>46199</v>
      </c>
      <c r="C29" s="16">
        <v>2</v>
      </c>
      <c r="D29" s="33">
        <v>2</v>
      </c>
      <c r="E29" s="27" t="s">
        <v>15</v>
      </c>
      <c r="F29" s="45" t="s">
        <v>20</v>
      </c>
    </row>
    <row r="30" spans="1:9" ht="53.25" customHeight="1" x14ac:dyDescent="0.15">
      <c r="A30" s="15" t="s">
        <v>17</v>
      </c>
      <c r="B30" s="31">
        <v>46203</v>
      </c>
      <c r="C30" s="16">
        <v>34</v>
      </c>
      <c r="D30" s="33">
        <v>34</v>
      </c>
      <c r="E30" s="37" t="s">
        <v>16</v>
      </c>
      <c r="F30" s="45" t="s">
        <v>22</v>
      </c>
    </row>
    <row r="31" spans="1:9" ht="66.75" customHeight="1" x14ac:dyDescent="0.15">
      <c r="A31" s="27" t="s">
        <v>25</v>
      </c>
      <c r="B31" s="31">
        <v>46216</v>
      </c>
      <c r="C31" s="46">
        <v>11</v>
      </c>
      <c r="D31" s="36">
        <v>11</v>
      </c>
      <c r="E31" s="27" t="s">
        <v>27</v>
      </c>
      <c r="F31" s="45" t="s">
        <v>45</v>
      </c>
    </row>
    <row r="32" spans="1:9" ht="53.25" customHeight="1" x14ac:dyDescent="0.15">
      <c r="A32" s="15" t="s">
        <v>26</v>
      </c>
      <c r="B32" s="31">
        <v>46216</v>
      </c>
      <c r="C32" s="16">
        <v>6</v>
      </c>
      <c r="D32" s="32">
        <v>6</v>
      </c>
      <c r="E32" s="27" t="s">
        <v>28</v>
      </c>
      <c r="F32" s="45" t="s">
        <v>29</v>
      </c>
    </row>
    <row r="33" spans="1:6" ht="53.25" customHeight="1" x14ac:dyDescent="0.15">
      <c r="A33" s="49" t="s">
        <v>30</v>
      </c>
      <c r="B33" s="31">
        <v>46224</v>
      </c>
      <c r="C33" s="16">
        <v>1</v>
      </c>
      <c r="D33" s="33">
        <v>1</v>
      </c>
      <c r="E33" s="27" t="s">
        <v>31</v>
      </c>
      <c r="F33" s="34"/>
    </row>
    <row r="34" spans="1:6" ht="53.25" customHeight="1" x14ac:dyDescent="0.15">
      <c r="A34" s="15" t="s">
        <v>32</v>
      </c>
      <c r="B34" s="31">
        <v>46226</v>
      </c>
      <c r="C34" s="16">
        <v>20</v>
      </c>
      <c r="D34" s="33">
        <v>20</v>
      </c>
      <c r="E34" s="27" t="s">
        <v>33</v>
      </c>
      <c r="F34" s="34"/>
    </row>
    <row r="35" spans="1:6" ht="53.25" customHeight="1" x14ac:dyDescent="0.15">
      <c r="A35" s="15" t="s">
        <v>34</v>
      </c>
      <c r="B35" s="31">
        <v>46227</v>
      </c>
      <c r="C35" s="30">
        <v>28</v>
      </c>
      <c r="D35" s="32">
        <v>28</v>
      </c>
      <c r="E35" s="27" t="s">
        <v>35</v>
      </c>
      <c r="F35" s="34"/>
    </row>
    <row r="36" spans="1:6" ht="53.25" customHeight="1" x14ac:dyDescent="0.15">
      <c r="A36" s="15" t="s">
        <v>63</v>
      </c>
      <c r="B36" s="31">
        <v>46237</v>
      </c>
      <c r="C36" s="30">
        <v>13</v>
      </c>
      <c r="D36" s="32">
        <v>13</v>
      </c>
      <c r="E36" s="15" t="s">
        <v>75</v>
      </c>
      <c r="F36" s="34"/>
    </row>
    <row r="37" spans="1:6" ht="53.25" customHeight="1" x14ac:dyDescent="0.15">
      <c r="A37" s="26" t="s">
        <v>129</v>
      </c>
      <c r="B37" s="31">
        <v>46239</v>
      </c>
      <c r="C37" s="30">
        <v>5</v>
      </c>
      <c r="D37" s="32">
        <v>5</v>
      </c>
      <c r="E37" s="15" t="s">
        <v>131</v>
      </c>
      <c r="F37" s="34"/>
    </row>
    <row r="38" spans="1:6" ht="53.25" customHeight="1" x14ac:dyDescent="0.15">
      <c r="A38" s="15" t="s">
        <v>191</v>
      </c>
      <c r="B38" s="31">
        <v>46244</v>
      </c>
      <c r="C38" s="16">
        <v>47</v>
      </c>
      <c r="D38" s="33">
        <v>47</v>
      </c>
      <c r="E38" s="15" t="s">
        <v>195</v>
      </c>
      <c r="F38" s="34"/>
    </row>
    <row r="39" spans="1:6" ht="53.25" customHeight="1" x14ac:dyDescent="0.15">
      <c r="A39" s="15" t="s">
        <v>216</v>
      </c>
      <c r="B39" s="31">
        <v>46244</v>
      </c>
      <c r="C39" s="16">
        <v>8</v>
      </c>
      <c r="D39" s="33">
        <v>8</v>
      </c>
      <c r="E39" s="15" t="s">
        <v>218</v>
      </c>
      <c r="F39" s="34"/>
    </row>
    <row r="40" spans="1:6" ht="53.25" customHeight="1" x14ac:dyDescent="0.15">
      <c r="A40" s="15" t="s">
        <v>233</v>
      </c>
      <c r="B40" s="31">
        <v>46245</v>
      </c>
      <c r="C40" s="16">
        <v>7</v>
      </c>
      <c r="D40" s="33">
        <v>7</v>
      </c>
      <c r="E40" s="15" t="s">
        <v>242</v>
      </c>
      <c r="F40" s="34"/>
    </row>
    <row r="41" spans="1:6" ht="53.25" customHeight="1" x14ac:dyDescent="0.15">
      <c r="A41" s="15" t="s">
        <v>276</v>
      </c>
      <c r="B41" s="31">
        <v>46246</v>
      </c>
      <c r="C41" s="16">
        <v>18</v>
      </c>
      <c r="D41" s="33">
        <v>18</v>
      </c>
      <c r="E41" s="15" t="s">
        <v>278</v>
      </c>
      <c r="F41" s="34"/>
    </row>
    <row r="42" spans="1:6" ht="53.25" customHeight="1" x14ac:dyDescent="0.15">
      <c r="A42" s="15" t="s">
        <v>305</v>
      </c>
      <c r="B42" s="31">
        <v>46247</v>
      </c>
      <c r="C42" s="30">
        <v>7</v>
      </c>
      <c r="D42" s="32">
        <v>7</v>
      </c>
      <c r="E42" s="15" t="s">
        <v>321</v>
      </c>
      <c r="F42" s="34"/>
    </row>
    <row r="43" spans="1:6" ht="66.75" customHeight="1" x14ac:dyDescent="0.15">
      <c r="A43" s="15" t="s">
        <v>306</v>
      </c>
      <c r="B43" s="31">
        <v>46247</v>
      </c>
      <c r="C43" s="30">
        <v>20</v>
      </c>
      <c r="D43" s="32">
        <v>20</v>
      </c>
      <c r="E43" s="15" t="s">
        <v>324</v>
      </c>
      <c r="F43" s="34"/>
    </row>
    <row r="44" spans="1:6" ht="53.25" customHeight="1" x14ac:dyDescent="0.15">
      <c r="A44" s="15" t="s">
        <v>307</v>
      </c>
      <c r="B44" s="31">
        <v>46247</v>
      </c>
      <c r="C44" s="30">
        <v>1</v>
      </c>
      <c r="D44" s="32">
        <v>1</v>
      </c>
      <c r="E44" s="15" t="s">
        <v>326</v>
      </c>
      <c r="F44" s="34"/>
    </row>
    <row r="45" spans="1:6" ht="53.25" customHeight="1" x14ac:dyDescent="0.15">
      <c r="A45" s="15" t="s">
        <v>325</v>
      </c>
      <c r="B45" s="31">
        <v>46247</v>
      </c>
      <c r="C45" s="30">
        <v>4</v>
      </c>
      <c r="D45" s="32">
        <v>4</v>
      </c>
      <c r="E45" s="15" t="s">
        <v>327</v>
      </c>
      <c r="F45" s="34"/>
    </row>
    <row r="46" spans="1:6" ht="53.25" customHeight="1" x14ac:dyDescent="0.15">
      <c r="A46" s="15" t="s">
        <v>310</v>
      </c>
      <c r="B46" s="31">
        <v>46247</v>
      </c>
      <c r="C46" s="30">
        <v>8</v>
      </c>
      <c r="D46" s="32">
        <v>8</v>
      </c>
      <c r="E46" s="15" t="s">
        <v>331</v>
      </c>
      <c r="F46" s="34"/>
    </row>
    <row r="47" spans="1:6" ht="53.25" customHeight="1" x14ac:dyDescent="0.15">
      <c r="A47" s="15" t="s">
        <v>313</v>
      </c>
      <c r="B47" s="31">
        <v>46247</v>
      </c>
      <c r="C47" s="30">
        <v>9</v>
      </c>
      <c r="D47" s="32">
        <v>9</v>
      </c>
      <c r="E47" s="15" t="s">
        <v>332</v>
      </c>
      <c r="F47" s="34"/>
    </row>
    <row r="48" spans="1:6" ht="53.25" customHeight="1" x14ac:dyDescent="0.15">
      <c r="A48" s="15" t="s">
        <v>328</v>
      </c>
      <c r="B48" s="31">
        <v>46247</v>
      </c>
      <c r="C48" s="30">
        <v>3</v>
      </c>
      <c r="D48" s="32">
        <v>3</v>
      </c>
      <c r="E48" s="15" t="s">
        <v>338</v>
      </c>
      <c r="F48" s="34"/>
    </row>
    <row r="49" spans="1:6" ht="53.25" customHeight="1" x14ac:dyDescent="0.15">
      <c r="A49" s="15" t="s">
        <v>358</v>
      </c>
      <c r="B49" s="31">
        <v>46248</v>
      </c>
      <c r="C49" s="30">
        <v>1</v>
      </c>
      <c r="D49" s="32">
        <v>1</v>
      </c>
      <c r="E49" s="15" t="s">
        <v>368</v>
      </c>
      <c r="F49" s="34"/>
    </row>
    <row r="50" spans="1:6" ht="57.75" customHeight="1" x14ac:dyDescent="0.15">
      <c r="A50" s="15" t="s">
        <v>359</v>
      </c>
      <c r="B50" s="31">
        <v>46248</v>
      </c>
      <c r="C50" s="30">
        <v>1</v>
      </c>
      <c r="D50" s="32">
        <v>1</v>
      </c>
      <c r="E50" s="15" t="s">
        <v>369</v>
      </c>
      <c r="F50" s="34"/>
    </row>
    <row r="51" spans="1:6" ht="53.25" customHeight="1" x14ac:dyDescent="0.15">
      <c r="A51" s="15" t="s">
        <v>360</v>
      </c>
      <c r="B51" s="31">
        <v>46248</v>
      </c>
      <c r="C51" s="30">
        <v>39</v>
      </c>
      <c r="D51" s="32">
        <v>39</v>
      </c>
      <c r="E51" s="15" t="s">
        <v>361</v>
      </c>
      <c r="F51" s="34"/>
    </row>
    <row r="52" spans="1:6" ht="53.25" customHeight="1" x14ac:dyDescent="0.15">
      <c r="A52" s="15"/>
      <c r="B52" s="31"/>
      <c r="C52" s="30"/>
      <c r="D52" s="30"/>
      <c r="E52" s="15"/>
      <c r="F52" s="34"/>
    </row>
    <row r="53" spans="1:6" ht="53.25" customHeight="1" x14ac:dyDescent="0.15">
      <c r="A53" s="15"/>
      <c r="B53" s="31"/>
      <c r="C53" s="30"/>
      <c r="D53" s="30"/>
      <c r="E53" s="15"/>
      <c r="F53" s="34"/>
    </row>
    <row r="54" spans="1:6" ht="53.25" customHeight="1" x14ac:dyDescent="0.15">
      <c r="A54" s="15"/>
      <c r="B54" s="31"/>
      <c r="C54" s="30"/>
      <c r="D54" s="32"/>
      <c r="E54" s="15"/>
      <c r="F54" s="34"/>
    </row>
    <row r="55" spans="1:6" ht="60.6" customHeight="1" x14ac:dyDescent="0.15">
      <c r="A55" s="15"/>
      <c r="B55" s="31"/>
      <c r="C55" s="30"/>
      <c r="D55" s="30"/>
      <c r="E55" s="15"/>
      <c r="F55" s="34"/>
    </row>
    <row r="56" spans="1:6" ht="53.25" customHeight="1" x14ac:dyDescent="0.15">
      <c r="A56" s="15"/>
      <c r="B56" s="31"/>
      <c r="C56" s="16"/>
      <c r="D56" s="32"/>
      <c r="E56" s="27"/>
      <c r="F56" s="34"/>
    </row>
    <row r="57" spans="1:6" ht="38.25" customHeight="1" x14ac:dyDescent="0.15">
      <c r="A57" s="22" t="s">
        <v>12</v>
      </c>
      <c r="B57" s="21"/>
      <c r="C57" s="21">
        <f>SUM(C29:C56)</f>
        <v>293</v>
      </c>
      <c r="D57" s="21">
        <f>SUM(D29:D56)</f>
        <v>293</v>
      </c>
      <c r="E57" s="38"/>
      <c r="F57" s="39"/>
    </row>
    <row r="58" spans="1:6" ht="30" customHeight="1" x14ac:dyDescent="0.15">
      <c r="D58" s="44"/>
    </row>
    <row r="59" spans="1:6" ht="30" customHeight="1" x14ac:dyDescent="0.15">
      <c r="D59" s="44"/>
    </row>
  </sheetData>
  <pageMargins left="0.7" right="0.7" top="0.75" bottom="0.75" header="0.3" footer="0.3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5778-8E34-4BAC-839F-2DDA1A065668}">
  <sheetPr>
    <pageSetUpPr fitToPage="1"/>
  </sheetPr>
  <dimension ref="A1:I57"/>
  <sheetViews>
    <sheetView zoomScale="85" zoomScaleNormal="85" workbookViewId="0">
      <selection activeCell="G7" sqref="G7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46252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27" t="s">
        <v>400</v>
      </c>
      <c r="B6" s="46">
        <v>6</v>
      </c>
      <c r="C6" s="46">
        <v>0</v>
      </c>
      <c r="D6" s="30">
        <v>0</v>
      </c>
      <c r="E6" s="15" t="s">
        <v>412</v>
      </c>
      <c r="F6" s="27" t="s">
        <v>381</v>
      </c>
      <c r="G6" s="46">
        <v>4</v>
      </c>
      <c r="H6" s="46">
        <v>0</v>
      </c>
      <c r="I6" s="51" t="s">
        <v>402</v>
      </c>
    </row>
    <row r="7" spans="1:9" ht="66" customHeight="1" x14ac:dyDescent="0.15">
      <c r="A7" s="27" t="s">
        <v>397</v>
      </c>
      <c r="B7" s="46">
        <v>2</v>
      </c>
      <c r="C7" s="46">
        <v>0</v>
      </c>
      <c r="D7" s="30">
        <v>0</v>
      </c>
      <c r="E7" s="15" t="s">
        <v>405</v>
      </c>
      <c r="F7" s="27" t="s">
        <v>408</v>
      </c>
      <c r="G7" s="46">
        <v>6</v>
      </c>
      <c r="H7" s="46">
        <v>0</v>
      </c>
      <c r="I7" s="51" t="s">
        <v>407</v>
      </c>
    </row>
    <row r="8" spans="1:9" ht="63" customHeight="1" x14ac:dyDescent="0.15">
      <c r="A8" s="27" t="s">
        <v>398</v>
      </c>
      <c r="B8" s="46">
        <v>7</v>
      </c>
      <c r="C8" s="46">
        <v>0</v>
      </c>
      <c r="D8" s="32">
        <v>7</v>
      </c>
      <c r="E8" s="15" t="s">
        <v>404</v>
      </c>
      <c r="F8" s="27" t="s">
        <v>410</v>
      </c>
      <c r="G8" s="16">
        <v>6</v>
      </c>
      <c r="H8" s="16">
        <v>0</v>
      </c>
      <c r="I8" s="51" t="s">
        <v>407</v>
      </c>
    </row>
    <row r="9" spans="1:9" ht="61.5" customHeight="1" x14ac:dyDescent="0.15">
      <c r="A9" s="27" t="s">
        <v>399</v>
      </c>
      <c r="B9" s="46">
        <v>21</v>
      </c>
      <c r="C9" s="46">
        <v>0</v>
      </c>
      <c r="D9" s="32">
        <v>21</v>
      </c>
      <c r="E9" s="15" t="s">
        <v>403</v>
      </c>
      <c r="F9" s="27" t="s">
        <v>409</v>
      </c>
      <c r="G9" s="16">
        <v>6</v>
      </c>
      <c r="H9" s="16">
        <v>0</v>
      </c>
      <c r="I9" s="51" t="s">
        <v>407</v>
      </c>
    </row>
    <row r="10" spans="1:9" ht="70.5" customHeight="1" x14ac:dyDescent="0.15">
      <c r="A10" s="27" t="s">
        <v>406</v>
      </c>
      <c r="B10" s="46">
        <v>2</v>
      </c>
      <c r="C10" s="46">
        <v>0</v>
      </c>
      <c r="D10" s="32">
        <v>2</v>
      </c>
      <c r="E10" s="27" t="s">
        <v>426</v>
      </c>
      <c r="F10" s="15" t="s">
        <v>233</v>
      </c>
      <c r="G10" s="16">
        <v>7</v>
      </c>
      <c r="H10" s="16">
        <v>0</v>
      </c>
      <c r="I10" s="34" t="s">
        <v>425</v>
      </c>
    </row>
    <row r="11" spans="1:9" ht="61.5" customHeight="1" x14ac:dyDescent="0.15">
      <c r="A11" s="27" t="s">
        <v>414</v>
      </c>
      <c r="B11" s="46">
        <v>5</v>
      </c>
      <c r="C11" s="46">
        <v>0</v>
      </c>
      <c r="D11" s="30">
        <v>0</v>
      </c>
      <c r="E11" s="15" t="s">
        <v>415</v>
      </c>
      <c r="F11" s="15"/>
      <c r="G11" s="16"/>
      <c r="H11" s="16"/>
      <c r="I11" s="34"/>
    </row>
    <row r="12" spans="1:9" ht="62.25" customHeight="1" x14ac:dyDescent="0.15">
      <c r="A12" s="15" t="s">
        <v>416</v>
      </c>
      <c r="B12" s="16">
        <v>6</v>
      </c>
      <c r="C12" s="16">
        <v>0</v>
      </c>
      <c r="D12" s="30">
        <v>0</v>
      </c>
      <c r="E12" s="15" t="s">
        <v>419</v>
      </c>
      <c r="F12" s="15"/>
      <c r="G12" s="16"/>
      <c r="H12" s="16"/>
      <c r="I12" s="34"/>
    </row>
    <row r="13" spans="1:9" ht="62.25" customHeight="1" x14ac:dyDescent="0.15">
      <c r="A13" s="15" t="s">
        <v>417</v>
      </c>
      <c r="B13" s="16">
        <v>6</v>
      </c>
      <c r="C13" s="16">
        <v>0</v>
      </c>
      <c r="D13" s="30">
        <v>0</v>
      </c>
      <c r="E13" s="15" t="s">
        <v>418</v>
      </c>
      <c r="F13" s="15"/>
      <c r="G13" s="16"/>
      <c r="H13" s="16"/>
      <c r="I13" s="15"/>
    </row>
    <row r="14" spans="1:9" ht="62.25" customHeight="1" x14ac:dyDescent="0.15">
      <c r="A14" s="15" t="s">
        <v>427</v>
      </c>
      <c r="B14" s="16">
        <v>6</v>
      </c>
      <c r="C14" s="16">
        <v>0</v>
      </c>
      <c r="D14" s="30">
        <v>0</v>
      </c>
      <c r="E14" s="15" t="s">
        <v>428</v>
      </c>
      <c r="F14" s="15"/>
      <c r="G14" s="16"/>
      <c r="H14" s="16"/>
      <c r="I14" s="15"/>
    </row>
    <row r="15" spans="1:9" ht="62.25" customHeight="1" x14ac:dyDescent="0.15">
      <c r="A15" s="15"/>
      <c r="B15" s="16"/>
      <c r="C15" s="16"/>
      <c r="D15" s="32"/>
      <c r="E15" s="15"/>
      <c r="F15" s="15"/>
      <c r="G15" s="16"/>
      <c r="H15" s="16"/>
      <c r="I15" s="15"/>
    </row>
    <row r="16" spans="1:9" ht="62.25" customHeight="1" x14ac:dyDescent="0.15">
      <c r="A16" s="15"/>
      <c r="B16" s="16"/>
      <c r="C16" s="16"/>
      <c r="D16" s="17"/>
      <c r="E16" s="15"/>
      <c r="F16" s="15"/>
      <c r="G16" s="16"/>
      <c r="H16" s="16"/>
      <c r="I16" s="27"/>
    </row>
    <row r="17" spans="1:9" ht="53.25" customHeight="1" x14ac:dyDescent="0.15">
      <c r="A17" s="15"/>
      <c r="B17" s="16"/>
      <c r="C17" s="16"/>
      <c r="D17" s="16"/>
      <c r="E17" s="15"/>
      <c r="F17" s="15"/>
      <c r="G17" s="16"/>
      <c r="H17" s="16"/>
      <c r="I17" s="15"/>
    </row>
    <row r="18" spans="1:9" ht="30" customHeight="1" x14ac:dyDescent="0.15">
      <c r="A18" s="28" t="s">
        <v>12</v>
      </c>
      <c r="B18" s="29">
        <f>SUM(B6:B17)</f>
        <v>61</v>
      </c>
      <c r="C18" s="29">
        <f>SUM(C6:C17)</f>
        <v>0</v>
      </c>
      <c r="D18" s="29">
        <f>SUM(D6:D17)</f>
        <v>30</v>
      </c>
      <c r="E18" s="29"/>
      <c r="F18" s="29"/>
      <c r="G18" s="29">
        <f>SUM(G6:G17)</f>
        <v>29</v>
      </c>
      <c r="H18" s="29">
        <f>SUM(H6:H17)</f>
        <v>0</v>
      </c>
      <c r="I18" s="29"/>
    </row>
    <row r="21" spans="1:9" ht="30" customHeight="1" x14ac:dyDescent="0.15">
      <c r="A21" s="43" t="s">
        <v>13</v>
      </c>
      <c r="B21" s="43"/>
      <c r="C21" s="43"/>
      <c r="D21" s="43"/>
      <c r="E21" s="43"/>
      <c r="F21" s="43"/>
    </row>
    <row r="22" spans="1:9" ht="30" customHeight="1" x14ac:dyDescent="0.15">
      <c r="A22" s="20" t="s">
        <v>7</v>
      </c>
      <c r="B22" s="18" t="s">
        <v>1</v>
      </c>
      <c r="C22" s="18" t="s">
        <v>11</v>
      </c>
      <c r="D22" s="19" t="s">
        <v>10</v>
      </c>
      <c r="E22" s="19" t="s">
        <v>6</v>
      </c>
      <c r="F22" s="35"/>
    </row>
    <row r="23" spans="1:9" ht="53.25" customHeight="1" x14ac:dyDescent="0.15">
      <c r="A23" s="15" t="s">
        <v>14</v>
      </c>
      <c r="B23" s="31">
        <v>46199</v>
      </c>
      <c r="C23" s="16">
        <v>2</v>
      </c>
      <c r="D23" s="33">
        <v>2</v>
      </c>
      <c r="E23" s="27" t="s">
        <v>15</v>
      </c>
      <c r="F23" s="45" t="s">
        <v>20</v>
      </c>
    </row>
    <row r="24" spans="1:9" ht="53.25" customHeight="1" x14ac:dyDescent="0.15">
      <c r="A24" s="15" t="s">
        <v>17</v>
      </c>
      <c r="B24" s="31">
        <v>46203</v>
      </c>
      <c r="C24" s="16">
        <v>34</v>
      </c>
      <c r="D24" s="33">
        <v>34</v>
      </c>
      <c r="E24" s="37" t="s">
        <v>16</v>
      </c>
      <c r="F24" s="45" t="s">
        <v>22</v>
      </c>
    </row>
    <row r="25" spans="1:9" ht="66.75" customHeight="1" x14ac:dyDescent="0.15">
      <c r="A25" s="27" t="s">
        <v>25</v>
      </c>
      <c r="B25" s="31">
        <v>46216</v>
      </c>
      <c r="C25" s="46">
        <v>11</v>
      </c>
      <c r="D25" s="36">
        <v>11</v>
      </c>
      <c r="E25" s="27" t="s">
        <v>27</v>
      </c>
      <c r="F25" s="45" t="s">
        <v>420</v>
      </c>
      <c r="G25" s="3" t="s">
        <v>421</v>
      </c>
    </row>
    <row r="26" spans="1:9" ht="53.25" customHeight="1" x14ac:dyDescent="0.15">
      <c r="A26" s="15" t="s">
        <v>26</v>
      </c>
      <c r="B26" s="31">
        <v>46216</v>
      </c>
      <c r="C26" s="16">
        <v>6</v>
      </c>
      <c r="D26" s="32">
        <v>6</v>
      </c>
      <c r="E26" s="27" t="s">
        <v>28</v>
      </c>
      <c r="F26" s="45" t="s">
        <v>29</v>
      </c>
    </row>
    <row r="27" spans="1:9" ht="53.25" customHeight="1" x14ac:dyDescent="0.15">
      <c r="A27" s="49" t="s">
        <v>30</v>
      </c>
      <c r="B27" s="31">
        <v>46224</v>
      </c>
      <c r="C27" s="16">
        <v>1</v>
      </c>
      <c r="D27" s="33">
        <v>1</v>
      </c>
      <c r="E27" s="27" t="s">
        <v>31</v>
      </c>
      <c r="F27" s="34"/>
    </row>
    <row r="28" spans="1:9" ht="53.25" customHeight="1" x14ac:dyDescent="0.15">
      <c r="A28" s="15" t="s">
        <v>32</v>
      </c>
      <c r="B28" s="31">
        <v>46226</v>
      </c>
      <c r="C28" s="16">
        <v>20</v>
      </c>
      <c r="D28" s="33">
        <v>20</v>
      </c>
      <c r="E28" s="27" t="s">
        <v>33</v>
      </c>
      <c r="F28" s="34"/>
    </row>
    <row r="29" spans="1:9" ht="53.25" customHeight="1" x14ac:dyDescent="0.15">
      <c r="A29" s="15" t="s">
        <v>34</v>
      </c>
      <c r="B29" s="31">
        <v>46227</v>
      </c>
      <c r="C29" s="30">
        <v>28</v>
      </c>
      <c r="D29" s="32">
        <v>28</v>
      </c>
      <c r="E29" s="27" t="s">
        <v>35</v>
      </c>
      <c r="F29" s="34"/>
    </row>
    <row r="30" spans="1:9" ht="53.25" customHeight="1" x14ac:dyDescent="0.15">
      <c r="A30" s="15" t="s">
        <v>63</v>
      </c>
      <c r="B30" s="31">
        <v>46237</v>
      </c>
      <c r="C30" s="30">
        <v>13</v>
      </c>
      <c r="D30" s="32">
        <v>13</v>
      </c>
      <c r="E30" s="15" t="s">
        <v>75</v>
      </c>
      <c r="F30" s="34"/>
    </row>
    <row r="31" spans="1:9" ht="53.25" customHeight="1" x14ac:dyDescent="0.15">
      <c r="A31" s="26" t="s">
        <v>129</v>
      </c>
      <c r="B31" s="31">
        <v>46239</v>
      </c>
      <c r="C31" s="30">
        <v>5</v>
      </c>
      <c r="D31" s="32">
        <v>5</v>
      </c>
      <c r="E31" s="15" t="s">
        <v>131</v>
      </c>
      <c r="F31" s="45" t="s">
        <v>422</v>
      </c>
      <c r="G31" s="3" t="s">
        <v>421</v>
      </c>
    </row>
    <row r="32" spans="1:9" ht="53.25" customHeight="1" x14ac:dyDescent="0.15">
      <c r="A32" s="15" t="s">
        <v>191</v>
      </c>
      <c r="B32" s="31">
        <v>46244</v>
      </c>
      <c r="C32" s="16">
        <v>47</v>
      </c>
      <c r="D32" s="33">
        <v>47</v>
      </c>
      <c r="E32" s="15" t="s">
        <v>195</v>
      </c>
      <c r="F32" s="34"/>
    </row>
    <row r="33" spans="1:7" ht="53.25" customHeight="1" x14ac:dyDescent="0.15">
      <c r="A33" s="15" t="s">
        <v>216</v>
      </c>
      <c r="B33" s="31">
        <v>46244</v>
      </c>
      <c r="C33" s="16">
        <v>8</v>
      </c>
      <c r="D33" s="33">
        <v>8</v>
      </c>
      <c r="E33" s="15" t="s">
        <v>218</v>
      </c>
      <c r="F33" s="45" t="s">
        <v>423</v>
      </c>
      <c r="G33" s="3" t="s">
        <v>421</v>
      </c>
    </row>
    <row r="34" spans="1:7" ht="53.25" customHeight="1" x14ac:dyDescent="0.15">
      <c r="A34" s="15" t="s">
        <v>276</v>
      </c>
      <c r="B34" s="31">
        <v>46246</v>
      </c>
      <c r="C34" s="16">
        <v>18</v>
      </c>
      <c r="D34" s="33">
        <v>18</v>
      </c>
      <c r="E34" s="15" t="s">
        <v>278</v>
      </c>
      <c r="F34" s="34"/>
    </row>
    <row r="35" spans="1:7" ht="53.25" customHeight="1" x14ac:dyDescent="0.15">
      <c r="A35" s="15" t="s">
        <v>305</v>
      </c>
      <c r="B35" s="31">
        <v>46247</v>
      </c>
      <c r="C35" s="30">
        <v>7</v>
      </c>
      <c r="D35" s="32">
        <v>7</v>
      </c>
      <c r="E35" s="15" t="s">
        <v>321</v>
      </c>
      <c r="F35" s="34"/>
    </row>
    <row r="36" spans="1:7" ht="66.75" customHeight="1" x14ac:dyDescent="0.15">
      <c r="A36" s="15" t="s">
        <v>306</v>
      </c>
      <c r="B36" s="31">
        <v>46247</v>
      </c>
      <c r="C36" s="30">
        <v>20</v>
      </c>
      <c r="D36" s="32">
        <v>20</v>
      </c>
      <c r="E36" s="15" t="s">
        <v>324</v>
      </c>
      <c r="F36" s="34"/>
    </row>
    <row r="37" spans="1:7" ht="53.25" customHeight="1" x14ac:dyDescent="0.15">
      <c r="A37" s="15" t="s">
        <v>307</v>
      </c>
      <c r="B37" s="31">
        <v>46247</v>
      </c>
      <c r="C37" s="30">
        <v>1</v>
      </c>
      <c r="D37" s="32">
        <v>1</v>
      </c>
      <c r="E37" s="15" t="s">
        <v>326</v>
      </c>
      <c r="F37" s="34"/>
    </row>
    <row r="38" spans="1:7" ht="53.25" customHeight="1" x14ac:dyDescent="0.15">
      <c r="A38" s="15" t="s">
        <v>325</v>
      </c>
      <c r="B38" s="31">
        <v>46247</v>
      </c>
      <c r="C38" s="30">
        <v>4</v>
      </c>
      <c r="D38" s="32">
        <v>4</v>
      </c>
      <c r="E38" s="15" t="s">
        <v>327</v>
      </c>
      <c r="F38" s="34"/>
    </row>
    <row r="39" spans="1:7" ht="53.25" customHeight="1" x14ac:dyDescent="0.15">
      <c r="A39" s="15" t="s">
        <v>310</v>
      </c>
      <c r="B39" s="31">
        <v>46247</v>
      </c>
      <c r="C39" s="30">
        <v>8</v>
      </c>
      <c r="D39" s="32">
        <v>8</v>
      </c>
      <c r="E39" s="15" t="s">
        <v>331</v>
      </c>
      <c r="F39" s="34"/>
    </row>
    <row r="40" spans="1:7" ht="53.25" customHeight="1" x14ac:dyDescent="0.15">
      <c r="A40" s="15" t="s">
        <v>313</v>
      </c>
      <c r="B40" s="31">
        <v>46247</v>
      </c>
      <c r="C40" s="30">
        <v>9</v>
      </c>
      <c r="D40" s="32">
        <v>9</v>
      </c>
      <c r="E40" s="15" t="s">
        <v>332</v>
      </c>
      <c r="F40" s="34"/>
    </row>
    <row r="41" spans="1:7" ht="53.25" customHeight="1" x14ac:dyDescent="0.15">
      <c r="A41" s="15" t="s">
        <v>328</v>
      </c>
      <c r="B41" s="31">
        <v>46247</v>
      </c>
      <c r="C41" s="30">
        <v>3</v>
      </c>
      <c r="D41" s="32">
        <v>3</v>
      </c>
      <c r="E41" s="15" t="s">
        <v>338</v>
      </c>
      <c r="F41" s="34"/>
    </row>
    <row r="42" spans="1:7" ht="53.25" customHeight="1" x14ac:dyDescent="0.15">
      <c r="A42" s="15" t="s">
        <v>358</v>
      </c>
      <c r="B42" s="31">
        <v>46248</v>
      </c>
      <c r="C42" s="30">
        <v>1</v>
      </c>
      <c r="D42" s="32">
        <v>1</v>
      </c>
      <c r="E42" s="15" t="s">
        <v>368</v>
      </c>
      <c r="F42" s="34"/>
    </row>
    <row r="43" spans="1:7" ht="57.75" customHeight="1" x14ac:dyDescent="0.15">
      <c r="A43" s="15" t="s">
        <v>359</v>
      </c>
      <c r="B43" s="31">
        <v>46248</v>
      </c>
      <c r="C43" s="30">
        <v>1</v>
      </c>
      <c r="D43" s="32">
        <v>1</v>
      </c>
      <c r="E43" s="15" t="s">
        <v>369</v>
      </c>
      <c r="F43" s="34"/>
    </row>
    <row r="44" spans="1:7" ht="53.25" customHeight="1" x14ac:dyDescent="0.15">
      <c r="A44" s="15" t="s">
        <v>360</v>
      </c>
      <c r="B44" s="31">
        <v>46248</v>
      </c>
      <c r="C44" s="30">
        <v>39</v>
      </c>
      <c r="D44" s="32">
        <v>39</v>
      </c>
      <c r="E44" s="15" t="s">
        <v>361</v>
      </c>
      <c r="F44" s="34"/>
    </row>
    <row r="45" spans="1:7" ht="53.25" customHeight="1" x14ac:dyDescent="0.15">
      <c r="A45" s="27" t="s">
        <v>382</v>
      </c>
      <c r="B45" s="31">
        <v>46251</v>
      </c>
      <c r="C45" s="30">
        <v>9</v>
      </c>
      <c r="D45" s="32">
        <v>9</v>
      </c>
      <c r="E45" s="27" t="s">
        <v>383</v>
      </c>
      <c r="F45" s="34"/>
    </row>
    <row r="46" spans="1:7" ht="53.25" customHeight="1" x14ac:dyDescent="0.15">
      <c r="A46" s="27" t="s">
        <v>379</v>
      </c>
      <c r="B46" s="31">
        <v>46251</v>
      </c>
      <c r="C46" s="30">
        <v>7</v>
      </c>
      <c r="D46" s="32">
        <v>7</v>
      </c>
      <c r="E46" s="27" t="s">
        <v>384</v>
      </c>
      <c r="F46" s="34"/>
    </row>
    <row r="47" spans="1:7" ht="53.25" customHeight="1" x14ac:dyDescent="0.15">
      <c r="A47" s="27" t="s">
        <v>380</v>
      </c>
      <c r="B47" s="31">
        <v>46251</v>
      </c>
      <c r="C47" s="30">
        <v>4</v>
      </c>
      <c r="D47" s="32">
        <v>4</v>
      </c>
      <c r="E47" s="27" t="s">
        <v>386</v>
      </c>
      <c r="F47" s="34"/>
    </row>
    <row r="48" spans="1:7" ht="53.25" customHeight="1" x14ac:dyDescent="0.15">
      <c r="A48" s="27" t="s">
        <v>389</v>
      </c>
      <c r="B48" s="31">
        <v>46251</v>
      </c>
      <c r="C48" s="30">
        <v>2</v>
      </c>
      <c r="D48" s="32">
        <v>2</v>
      </c>
      <c r="E48" s="27" t="s">
        <v>391</v>
      </c>
      <c r="F48" s="34"/>
    </row>
    <row r="49" spans="1:6" ht="60.6" customHeight="1" x14ac:dyDescent="0.15">
      <c r="A49" s="15" t="s">
        <v>393</v>
      </c>
      <c r="B49" s="31">
        <v>46251</v>
      </c>
      <c r="C49" s="30">
        <v>3</v>
      </c>
      <c r="D49" s="32">
        <v>3</v>
      </c>
      <c r="E49" s="15" t="s">
        <v>394</v>
      </c>
      <c r="F49" s="34"/>
    </row>
    <row r="50" spans="1:6" ht="53.25" customHeight="1" x14ac:dyDescent="0.15">
      <c r="A50" s="27" t="s">
        <v>388</v>
      </c>
      <c r="B50" s="31">
        <v>46251</v>
      </c>
      <c r="C50" s="30">
        <v>5</v>
      </c>
      <c r="D50" s="30">
        <v>0</v>
      </c>
      <c r="E50" s="53" t="s">
        <v>411</v>
      </c>
      <c r="F50" s="34"/>
    </row>
    <row r="51" spans="1:6" ht="53.25" customHeight="1" x14ac:dyDescent="0.15">
      <c r="A51" s="27" t="s">
        <v>390</v>
      </c>
      <c r="B51" s="31">
        <v>46251</v>
      </c>
      <c r="C51" s="30">
        <v>5</v>
      </c>
      <c r="D51" s="30">
        <v>0</v>
      </c>
      <c r="E51" s="53" t="s">
        <v>413</v>
      </c>
      <c r="F51" s="34"/>
    </row>
    <row r="52" spans="1:6" ht="53.25" customHeight="1" x14ac:dyDescent="0.15">
      <c r="A52" s="27" t="s">
        <v>381</v>
      </c>
      <c r="B52" s="31">
        <v>46251</v>
      </c>
      <c r="C52" s="30">
        <v>55</v>
      </c>
      <c r="D52" s="30">
        <v>0</v>
      </c>
      <c r="E52" s="27" t="s">
        <v>401</v>
      </c>
      <c r="F52" s="34"/>
    </row>
    <row r="53" spans="1:6" ht="53.25" customHeight="1" x14ac:dyDescent="0.15">
      <c r="A53" s="15" t="s">
        <v>233</v>
      </c>
      <c r="B53" s="31">
        <v>46245</v>
      </c>
      <c r="C53" s="16">
        <v>7</v>
      </c>
      <c r="D53" s="46">
        <v>0</v>
      </c>
      <c r="E53" s="15" t="s">
        <v>242</v>
      </c>
      <c r="F53" s="34" t="s">
        <v>424</v>
      </c>
    </row>
    <row r="54" spans="1:6" ht="53.25" customHeight="1" x14ac:dyDescent="0.15">
      <c r="A54" s="15"/>
      <c r="B54" s="31"/>
      <c r="C54" s="16"/>
      <c r="D54" s="32"/>
      <c r="E54" s="27"/>
      <c r="F54" s="34"/>
    </row>
    <row r="55" spans="1:6" ht="38.25" customHeight="1" x14ac:dyDescent="0.15">
      <c r="A55" s="22" t="s">
        <v>12</v>
      </c>
      <c r="B55" s="21"/>
      <c r="C55" s="21">
        <f>SUM(C23:C54)</f>
        <v>383</v>
      </c>
      <c r="D55" s="21">
        <f>SUM(D23:D54)</f>
        <v>311</v>
      </c>
      <c r="E55" s="38"/>
      <c r="F55" s="39"/>
    </row>
    <row r="56" spans="1:6" ht="30" customHeight="1" x14ac:dyDescent="0.15">
      <c r="D56" s="44"/>
    </row>
    <row r="57" spans="1:6" ht="30" customHeight="1" x14ac:dyDescent="0.15">
      <c r="D57" s="44"/>
    </row>
  </sheetData>
  <phoneticPr fontId="15" type="noConversion"/>
  <pageMargins left="0.7" right="0.7" top="0.75" bottom="0.75" header="0.3" footer="0.3"/>
  <pageSetup scale="3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43D4-025F-4062-A197-6A9629A1B970}">
  <sheetPr>
    <pageSetUpPr fitToPage="1"/>
  </sheetPr>
  <dimension ref="A1:I54"/>
  <sheetViews>
    <sheetView zoomScale="85" zoomScaleNormal="85" workbookViewId="0">
      <selection activeCell="F57" sqref="F57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46253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27" t="s">
        <v>431</v>
      </c>
      <c r="B6" s="46">
        <v>5</v>
      </c>
      <c r="C6" s="46">
        <v>0</v>
      </c>
      <c r="D6" s="30">
        <v>0</v>
      </c>
      <c r="E6" s="15" t="s">
        <v>452</v>
      </c>
      <c r="F6" s="27" t="s">
        <v>25</v>
      </c>
      <c r="G6" s="46">
        <v>11</v>
      </c>
      <c r="H6" s="46">
        <v>0</v>
      </c>
      <c r="I6" s="51" t="s">
        <v>437</v>
      </c>
    </row>
    <row r="7" spans="1:9" ht="66" customHeight="1" x14ac:dyDescent="0.15">
      <c r="A7" s="27" t="s">
        <v>432</v>
      </c>
      <c r="B7" s="46">
        <v>14</v>
      </c>
      <c r="C7" s="46">
        <v>0</v>
      </c>
      <c r="D7" s="32">
        <v>14</v>
      </c>
      <c r="E7" s="15" t="s">
        <v>441</v>
      </c>
      <c r="F7" s="27" t="s">
        <v>129</v>
      </c>
      <c r="G7" s="46">
        <v>5</v>
      </c>
      <c r="H7" s="46">
        <v>0</v>
      </c>
      <c r="I7" s="51" t="s">
        <v>438</v>
      </c>
    </row>
    <row r="8" spans="1:9" ht="63" customHeight="1" x14ac:dyDescent="0.15">
      <c r="A8" s="27" t="s">
        <v>433</v>
      </c>
      <c r="B8" s="46">
        <v>12</v>
      </c>
      <c r="C8" s="46">
        <v>0</v>
      </c>
      <c r="D8" s="32">
        <v>12</v>
      </c>
      <c r="E8" s="15" t="s">
        <v>442</v>
      </c>
      <c r="F8" s="27" t="s">
        <v>216</v>
      </c>
      <c r="G8" s="16">
        <v>8</v>
      </c>
      <c r="H8" s="46">
        <v>0</v>
      </c>
      <c r="I8" s="51" t="s">
        <v>439</v>
      </c>
    </row>
    <row r="9" spans="1:9" ht="61.5" customHeight="1" x14ac:dyDescent="0.15">
      <c r="A9" s="27" t="s">
        <v>434</v>
      </c>
      <c r="B9" s="46">
        <v>6</v>
      </c>
      <c r="C9" s="46">
        <v>0</v>
      </c>
      <c r="D9" s="32">
        <v>6</v>
      </c>
      <c r="E9" s="15" t="s">
        <v>447</v>
      </c>
      <c r="F9" s="27" t="s">
        <v>406</v>
      </c>
      <c r="G9" s="16">
        <v>2</v>
      </c>
      <c r="H9" s="46">
        <v>0</v>
      </c>
      <c r="I9" s="51" t="s">
        <v>436</v>
      </c>
    </row>
    <row r="10" spans="1:9" ht="70.5" customHeight="1" x14ac:dyDescent="0.15">
      <c r="A10" s="27" t="s">
        <v>443</v>
      </c>
      <c r="B10" s="46">
        <v>5</v>
      </c>
      <c r="C10" s="46">
        <v>0</v>
      </c>
      <c r="D10" s="30">
        <v>0</v>
      </c>
      <c r="E10" s="27" t="s">
        <v>445</v>
      </c>
      <c r="F10" s="15" t="s">
        <v>435</v>
      </c>
      <c r="G10" s="16">
        <v>7</v>
      </c>
      <c r="H10" s="16">
        <v>0</v>
      </c>
      <c r="I10" s="34" t="s">
        <v>449</v>
      </c>
    </row>
    <row r="11" spans="1:9" ht="61.5" customHeight="1" x14ac:dyDescent="0.15">
      <c r="A11" s="27" t="s">
        <v>444</v>
      </c>
      <c r="B11" s="46">
        <v>5</v>
      </c>
      <c r="C11" s="46">
        <v>0</v>
      </c>
      <c r="D11" s="30">
        <v>0</v>
      </c>
      <c r="E11" s="27" t="s">
        <v>448</v>
      </c>
      <c r="F11" s="15" t="s">
        <v>451</v>
      </c>
      <c r="G11" s="16">
        <v>5</v>
      </c>
      <c r="H11" s="16">
        <v>0</v>
      </c>
      <c r="I11" s="34" t="s">
        <v>450</v>
      </c>
    </row>
    <row r="12" spans="1:9" ht="62.25" customHeight="1" x14ac:dyDescent="0.15">
      <c r="A12" s="15" t="s">
        <v>446</v>
      </c>
      <c r="B12" s="16">
        <v>0</v>
      </c>
      <c r="C12" s="16">
        <v>8</v>
      </c>
      <c r="D12" s="30">
        <v>0</v>
      </c>
      <c r="E12" s="15" t="s">
        <v>453</v>
      </c>
      <c r="F12" s="15" t="s">
        <v>446</v>
      </c>
      <c r="G12" s="16">
        <v>8</v>
      </c>
      <c r="H12" s="16">
        <v>0</v>
      </c>
      <c r="I12" s="34" t="s">
        <v>453</v>
      </c>
    </row>
    <row r="13" spans="1:9" ht="62.25" customHeight="1" x14ac:dyDescent="0.15">
      <c r="A13" s="15"/>
      <c r="B13" s="16"/>
      <c r="C13" s="16"/>
      <c r="D13" s="17"/>
      <c r="E13" s="15"/>
      <c r="F13" s="15"/>
      <c r="G13" s="16"/>
      <c r="H13" s="16"/>
      <c r="I13" s="27"/>
    </row>
    <row r="14" spans="1:9" ht="53.25" customHeight="1" x14ac:dyDescent="0.15">
      <c r="A14" s="15"/>
      <c r="B14" s="16"/>
      <c r="C14" s="16"/>
      <c r="D14" s="16"/>
      <c r="E14" s="15"/>
      <c r="F14" s="15"/>
      <c r="G14" s="16"/>
      <c r="H14" s="16"/>
      <c r="I14" s="15"/>
    </row>
    <row r="15" spans="1:9" ht="30" customHeight="1" x14ac:dyDescent="0.15">
      <c r="A15" s="28" t="s">
        <v>12</v>
      </c>
      <c r="B15" s="29">
        <f>SUM(B6:B14)</f>
        <v>47</v>
      </c>
      <c r="C15" s="29">
        <f>SUM(C6:C14)</f>
        <v>8</v>
      </c>
      <c r="D15" s="29">
        <f>SUM(D6:D14)</f>
        <v>32</v>
      </c>
      <c r="E15" s="29"/>
      <c r="F15" s="29"/>
      <c r="G15" s="29">
        <f>SUM(G6:G14)</f>
        <v>46</v>
      </c>
      <c r="H15" s="29">
        <f>SUM(H6:H14)</f>
        <v>0</v>
      </c>
      <c r="I15" s="29"/>
    </row>
    <row r="18" spans="1:6" ht="30" customHeight="1" x14ac:dyDescent="0.15">
      <c r="A18" s="43" t="s">
        <v>13</v>
      </c>
      <c r="B18" s="43"/>
      <c r="C18" s="43"/>
      <c r="D18" s="43"/>
      <c r="E18" s="43"/>
      <c r="F18" s="43"/>
    </row>
    <row r="19" spans="1:6" ht="30" customHeight="1" x14ac:dyDescent="0.15">
      <c r="A19" s="20" t="s">
        <v>7</v>
      </c>
      <c r="B19" s="18" t="s">
        <v>1</v>
      </c>
      <c r="C19" s="18" t="s">
        <v>11</v>
      </c>
      <c r="D19" s="19" t="s">
        <v>10</v>
      </c>
      <c r="E19" s="19" t="s">
        <v>6</v>
      </c>
      <c r="F19" s="35"/>
    </row>
    <row r="20" spans="1:6" ht="53.25" customHeight="1" x14ac:dyDescent="0.15">
      <c r="A20" s="15" t="s">
        <v>14</v>
      </c>
      <c r="B20" s="31">
        <v>46199</v>
      </c>
      <c r="C20" s="16">
        <v>2</v>
      </c>
      <c r="D20" s="33">
        <v>2</v>
      </c>
      <c r="E20" s="27" t="s">
        <v>15</v>
      </c>
      <c r="F20" s="45" t="s">
        <v>20</v>
      </c>
    </row>
    <row r="21" spans="1:6" ht="53.25" customHeight="1" x14ac:dyDescent="0.15">
      <c r="A21" s="15" t="s">
        <v>17</v>
      </c>
      <c r="B21" s="31">
        <v>46203</v>
      </c>
      <c r="C21" s="16">
        <v>34</v>
      </c>
      <c r="D21" s="33">
        <v>34</v>
      </c>
      <c r="E21" s="37" t="s">
        <v>16</v>
      </c>
      <c r="F21" s="45" t="s">
        <v>22</v>
      </c>
    </row>
    <row r="22" spans="1:6" ht="53.25" customHeight="1" x14ac:dyDescent="0.15">
      <c r="A22" s="15" t="s">
        <v>26</v>
      </c>
      <c r="B22" s="31">
        <v>46216</v>
      </c>
      <c r="C22" s="16">
        <v>6</v>
      </c>
      <c r="D22" s="32">
        <v>6</v>
      </c>
      <c r="E22" s="27" t="s">
        <v>28</v>
      </c>
      <c r="F22" s="45" t="s">
        <v>29</v>
      </c>
    </row>
    <row r="23" spans="1:6" ht="53.25" customHeight="1" x14ac:dyDescent="0.15">
      <c r="A23" s="49" t="s">
        <v>30</v>
      </c>
      <c r="B23" s="31">
        <v>46224</v>
      </c>
      <c r="C23" s="16">
        <v>1</v>
      </c>
      <c r="D23" s="33">
        <v>1</v>
      </c>
      <c r="E23" s="27" t="s">
        <v>31</v>
      </c>
      <c r="F23" s="34"/>
    </row>
    <row r="24" spans="1:6" ht="53.25" customHeight="1" x14ac:dyDescent="0.15">
      <c r="A24" s="15" t="s">
        <v>32</v>
      </c>
      <c r="B24" s="31">
        <v>46226</v>
      </c>
      <c r="C24" s="16">
        <v>20</v>
      </c>
      <c r="D24" s="33">
        <v>20</v>
      </c>
      <c r="E24" s="27" t="s">
        <v>33</v>
      </c>
      <c r="F24" s="34"/>
    </row>
    <row r="25" spans="1:6" ht="53.25" customHeight="1" x14ac:dyDescent="0.15">
      <c r="A25" s="15" t="s">
        <v>34</v>
      </c>
      <c r="B25" s="31">
        <v>46227</v>
      </c>
      <c r="C25" s="30">
        <v>28</v>
      </c>
      <c r="D25" s="32">
        <v>28</v>
      </c>
      <c r="E25" s="27" t="s">
        <v>35</v>
      </c>
      <c r="F25" s="34"/>
    </row>
    <row r="26" spans="1:6" ht="53.25" customHeight="1" x14ac:dyDescent="0.15">
      <c r="A26" s="15" t="s">
        <v>63</v>
      </c>
      <c r="B26" s="31">
        <v>46237</v>
      </c>
      <c r="C26" s="30">
        <v>13</v>
      </c>
      <c r="D26" s="32">
        <v>13</v>
      </c>
      <c r="E26" s="15" t="s">
        <v>75</v>
      </c>
      <c r="F26" s="34"/>
    </row>
    <row r="27" spans="1:6" ht="53.25" customHeight="1" x14ac:dyDescent="0.15">
      <c r="A27" s="15" t="s">
        <v>191</v>
      </c>
      <c r="B27" s="31">
        <v>46244</v>
      </c>
      <c r="C27" s="16">
        <v>47</v>
      </c>
      <c r="D27" s="33">
        <v>47</v>
      </c>
      <c r="E27" s="15" t="s">
        <v>195</v>
      </c>
      <c r="F27" s="34"/>
    </row>
    <row r="28" spans="1:6" ht="53.25" customHeight="1" x14ac:dyDescent="0.15">
      <c r="A28" s="15" t="s">
        <v>276</v>
      </c>
      <c r="B28" s="31">
        <v>46246</v>
      </c>
      <c r="C28" s="16">
        <v>18</v>
      </c>
      <c r="D28" s="33">
        <v>18</v>
      </c>
      <c r="E28" s="15" t="s">
        <v>278</v>
      </c>
      <c r="F28" s="34"/>
    </row>
    <row r="29" spans="1:6" ht="53.25" customHeight="1" x14ac:dyDescent="0.15">
      <c r="A29" s="15" t="s">
        <v>305</v>
      </c>
      <c r="B29" s="31">
        <v>46247</v>
      </c>
      <c r="C29" s="30">
        <v>7</v>
      </c>
      <c r="D29" s="32">
        <v>7</v>
      </c>
      <c r="E29" s="15" t="s">
        <v>321</v>
      </c>
      <c r="F29" s="34"/>
    </row>
    <row r="30" spans="1:6" ht="66.75" customHeight="1" x14ac:dyDescent="0.15">
      <c r="A30" s="15" t="s">
        <v>306</v>
      </c>
      <c r="B30" s="31">
        <v>46247</v>
      </c>
      <c r="C30" s="30">
        <v>20</v>
      </c>
      <c r="D30" s="32">
        <v>20</v>
      </c>
      <c r="E30" s="15" t="s">
        <v>324</v>
      </c>
      <c r="F30" s="34"/>
    </row>
    <row r="31" spans="1:6" ht="53.25" customHeight="1" x14ac:dyDescent="0.15">
      <c r="A31" s="15" t="s">
        <v>307</v>
      </c>
      <c r="B31" s="31">
        <v>46247</v>
      </c>
      <c r="C31" s="30">
        <v>1</v>
      </c>
      <c r="D31" s="32">
        <v>1</v>
      </c>
      <c r="E31" s="15" t="s">
        <v>326</v>
      </c>
      <c r="F31" s="34"/>
    </row>
    <row r="32" spans="1:6" ht="53.25" customHeight="1" x14ac:dyDescent="0.15">
      <c r="A32" s="15" t="s">
        <v>325</v>
      </c>
      <c r="B32" s="31">
        <v>46247</v>
      </c>
      <c r="C32" s="30">
        <v>4</v>
      </c>
      <c r="D32" s="32">
        <v>4</v>
      </c>
      <c r="E32" s="15" t="s">
        <v>327</v>
      </c>
      <c r="F32" s="34"/>
    </row>
    <row r="33" spans="1:6" ht="53.25" customHeight="1" x14ac:dyDescent="0.15">
      <c r="A33" s="15" t="s">
        <v>310</v>
      </c>
      <c r="B33" s="31">
        <v>46247</v>
      </c>
      <c r="C33" s="30">
        <v>8</v>
      </c>
      <c r="D33" s="32">
        <v>8</v>
      </c>
      <c r="E33" s="15" t="s">
        <v>331</v>
      </c>
      <c r="F33" s="34"/>
    </row>
    <row r="34" spans="1:6" ht="53.25" customHeight="1" x14ac:dyDescent="0.15">
      <c r="A34" s="15" t="s">
        <v>313</v>
      </c>
      <c r="B34" s="31">
        <v>46247</v>
      </c>
      <c r="C34" s="30">
        <v>9</v>
      </c>
      <c r="D34" s="32">
        <v>9</v>
      </c>
      <c r="E34" s="15" t="s">
        <v>332</v>
      </c>
      <c r="F34" s="34"/>
    </row>
    <row r="35" spans="1:6" ht="53.25" customHeight="1" x14ac:dyDescent="0.15">
      <c r="A35" s="15" t="s">
        <v>328</v>
      </c>
      <c r="B35" s="31">
        <v>46247</v>
      </c>
      <c r="C35" s="30">
        <v>3</v>
      </c>
      <c r="D35" s="32">
        <v>3</v>
      </c>
      <c r="E35" s="15" t="s">
        <v>338</v>
      </c>
      <c r="F35" s="34"/>
    </row>
    <row r="36" spans="1:6" ht="53.25" customHeight="1" x14ac:dyDescent="0.15">
      <c r="A36" s="54" t="s">
        <v>358</v>
      </c>
      <c r="B36" s="31">
        <v>46248</v>
      </c>
      <c r="C36" s="30">
        <v>1</v>
      </c>
      <c r="D36" s="32">
        <v>1</v>
      </c>
      <c r="E36" s="15" t="s">
        <v>368</v>
      </c>
      <c r="F36" s="34"/>
    </row>
    <row r="37" spans="1:6" ht="57.75" customHeight="1" x14ac:dyDescent="0.15">
      <c r="A37" s="54" t="s">
        <v>359</v>
      </c>
      <c r="B37" s="31">
        <v>46248</v>
      </c>
      <c r="C37" s="30">
        <v>1</v>
      </c>
      <c r="D37" s="32">
        <v>1</v>
      </c>
      <c r="E37" s="15" t="s">
        <v>369</v>
      </c>
      <c r="F37" s="34"/>
    </row>
    <row r="38" spans="1:6" ht="53.25" customHeight="1" x14ac:dyDescent="0.15">
      <c r="A38" s="15" t="s">
        <v>360</v>
      </c>
      <c r="B38" s="31">
        <v>46248</v>
      </c>
      <c r="C38" s="30">
        <v>39</v>
      </c>
      <c r="D38" s="32">
        <v>39</v>
      </c>
      <c r="E38" s="15" t="s">
        <v>361</v>
      </c>
      <c r="F38" s="34"/>
    </row>
    <row r="39" spans="1:6" ht="53.25" customHeight="1" x14ac:dyDescent="0.15">
      <c r="A39" s="27" t="s">
        <v>382</v>
      </c>
      <c r="B39" s="31">
        <v>46251</v>
      </c>
      <c r="C39" s="30">
        <v>9</v>
      </c>
      <c r="D39" s="32">
        <v>9</v>
      </c>
      <c r="E39" s="27" t="s">
        <v>383</v>
      </c>
      <c r="F39" s="34"/>
    </row>
    <row r="40" spans="1:6" ht="53.25" customHeight="1" x14ac:dyDescent="0.15">
      <c r="A40" s="27" t="s">
        <v>379</v>
      </c>
      <c r="B40" s="31">
        <v>46251</v>
      </c>
      <c r="C40" s="30">
        <v>7</v>
      </c>
      <c r="D40" s="32">
        <v>7</v>
      </c>
      <c r="E40" s="27" t="s">
        <v>384</v>
      </c>
      <c r="F40" s="34"/>
    </row>
    <row r="41" spans="1:6" ht="53.25" customHeight="1" x14ac:dyDescent="0.15">
      <c r="A41" s="27" t="s">
        <v>380</v>
      </c>
      <c r="B41" s="31">
        <v>46251</v>
      </c>
      <c r="C41" s="30">
        <v>4</v>
      </c>
      <c r="D41" s="32">
        <v>4</v>
      </c>
      <c r="E41" s="27" t="s">
        <v>386</v>
      </c>
      <c r="F41" s="34"/>
    </row>
    <row r="42" spans="1:6" ht="53.25" customHeight="1" x14ac:dyDescent="0.15">
      <c r="A42" s="27" t="s">
        <v>389</v>
      </c>
      <c r="B42" s="31">
        <v>46251</v>
      </c>
      <c r="C42" s="30">
        <v>2</v>
      </c>
      <c r="D42" s="32">
        <v>2</v>
      </c>
      <c r="E42" s="27" t="s">
        <v>391</v>
      </c>
      <c r="F42" s="34"/>
    </row>
    <row r="43" spans="1:6" ht="60.6" customHeight="1" x14ac:dyDescent="0.15">
      <c r="A43" s="15" t="s">
        <v>393</v>
      </c>
      <c r="B43" s="31">
        <v>46251</v>
      </c>
      <c r="C43" s="30">
        <v>3</v>
      </c>
      <c r="D43" s="32">
        <v>3</v>
      </c>
      <c r="E43" s="15" t="s">
        <v>394</v>
      </c>
      <c r="F43" s="34"/>
    </row>
    <row r="44" spans="1:6" ht="53.25" customHeight="1" x14ac:dyDescent="0.15">
      <c r="A44" s="27" t="s">
        <v>398</v>
      </c>
      <c r="B44" s="31">
        <v>46252</v>
      </c>
      <c r="C44" s="30">
        <v>7</v>
      </c>
      <c r="D44" s="32">
        <v>7</v>
      </c>
      <c r="E44" s="15" t="s">
        <v>404</v>
      </c>
      <c r="F44" s="34"/>
    </row>
    <row r="45" spans="1:6" ht="53.25" customHeight="1" x14ac:dyDescent="0.15">
      <c r="A45" s="27" t="s">
        <v>399</v>
      </c>
      <c r="B45" s="31">
        <v>46252</v>
      </c>
      <c r="C45" s="30">
        <v>21</v>
      </c>
      <c r="D45" s="32">
        <v>21</v>
      </c>
      <c r="E45" s="15" t="s">
        <v>403</v>
      </c>
      <c r="F45" s="34"/>
    </row>
    <row r="46" spans="1:6" ht="53.25" customHeight="1" x14ac:dyDescent="0.15">
      <c r="A46" s="27" t="s">
        <v>406</v>
      </c>
      <c r="B46" s="31">
        <v>46252</v>
      </c>
      <c r="C46" s="30">
        <v>2</v>
      </c>
      <c r="D46" s="30">
        <v>0</v>
      </c>
      <c r="E46" s="27" t="s">
        <v>429</v>
      </c>
      <c r="F46" s="34" t="s">
        <v>430</v>
      </c>
    </row>
    <row r="47" spans="1:6" ht="66.75" customHeight="1" x14ac:dyDescent="0.15">
      <c r="A47" s="27" t="s">
        <v>25</v>
      </c>
      <c r="B47" s="31">
        <v>46216</v>
      </c>
      <c r="C47" s="46">
        <v>11</v>
      </c>
      <c r="D47" s="30">
        <v>0</v>
      </c>
      <c r="E47" s="27" t="s">
        <v>27</v>
      </c>
      <c r="F47" s="34" t="s">
        <v>440</v>
      </c>
    </row>
    <row r="48" spans="1:6" ht="53.25" customHeight="1" x14ac:dyDescent="0.15">
      <c r="A48" s="26" t="s">
        <v>129</v>
      </c>
      <c r="B48" s="31">
        <v>46239</v>
      </c>
      <c r="C48" s="30">
        <v>5</v>
      </c>
      <c r="D48" s="30">
        <v>0</v>
      </c>
      <c r="E48" s="15" t="s">
        <v>131</v>
      </c>
      <c r="F48" s="34" t="s">
        <v>422</v>
      </c>
    </row>
    <row r="49" spans="1:6" ht="53.25" customHeight="1" x14ac:dyDescent="0.15">
      <c r="A49" s="15" t="s">
        <v>216</v>
      </c>
      <c r="B49" s="31">
        <v>46244</v>
      </c>
      <c r="C49" s="16">
        <v>8</v>
      </c>
      <c r="D49" s="46">
        <v>0</v>
      </c>
      <c r="E49" s="15" t="s">
        <v>218</v>
      </c>
      <c r="F49" s="34" t="s">
        <v>423</v>
      </c>
    </row>
    <row r="50" spans="1:6" ht="53.25" customHeight="1" x14ac:dyDescent="0.15">
      <c r="A50" s="15"/>
      <c r="B50" s="31"/>
      <c r="C50" s="16"/>
      <c r="D50" s="46"/>
      <c r="E50" s="15"/>
      <c r="F50" s="34"/>
    </row>
    <row r="51" spans="1:6" ht="53.25" customHeight="1" x14ac:dyDescent="0.15">
      <c r="A51" s="15"/>
      <c r="B51" s="31"/>
      <c r="C51" s="16"/>
      <c r="D51" s="32"/>
      <c r="E51" s="27"/>
      <c r="F51" s="34"/>
    </row>
    <row r="52" spans="1:6" ht="38.25" customHeight="1" x14ac:dyDescent="0.15">
      <c r="A52" s="22" t="s">
        <v>12</v>
      </c>
      <c r="B52" s="21"/>
      <c r="C52" s="21">
        <f>SUM(C20:C51)</f>
        <v>341</v>
      </c>
      <c r="D52" s="21">
        <f>SUM(D20:D51)</f>
        <v>315</v>
      </c>
      <c r="E52" s="38"/>
      <c r="F52" s="39"/>
    </row>
    <row r="53" spans="1:6" ht="30" customHeight="1" x14ac:dyDescent="0.15">
      <c r="D53" s="44"/>
    </row>
    <row r="54" spans="1:6" ht="30" customHeight="1" x14ac:dyDescent="0.15">
      <c r="D54" s="44"/>
    </row>
  </sheetData>
  <pageMargins left="0.7" right="0.7" top="0.75" bottom="0.75" header="0.3" footer="0.3"/>
  <pageSetup scale="3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19F7-7C32-4731-8176-6E3B8AA44DD0}">
  <sheetPr>
    <pageSetUpPr fitToPage="1"/>
  </sheetPr>
  <dimension ref="A1:I59"/>
  <sheetViews>
    <sheetView topLeftCell="A8" zoomScale="85" zoomScaleNormal="85" workbookViewId="0">
      <selection activeCell="F15" sqref="F15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46253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27" t="s">
        <v>459</v>
      </c>
      <c r="B6" s="46">
        <v>1</v>
      </c>
      <c r="C6" s="46">
        <v>0</v>
      </c>
      <c r="D6" s="32">
        <v>1</v>
      </c>
      <c r="E6" s="15" t="s">
        <v>470</v>
      </c>
      <c r="F6" s="27" t="s">
        <v>454</v>
      </c>
      <c r="G6" s="46">
        <v>8</v>
      </c>
      <c r="H6" s="46">
        <v>0</v>
      </c>
      <c r="I6" s="51" t="s">
        <v>461</v>
      </c>
    </row>
    <row r="7" spans="1:9" ht="66" customHeight="1" x14ac:dyDescent="0.15">
      <c r="A7" s="27" t="s">
        <v>456</v>
      </c>
      <c r="B7" s="46">
        <v>7</v>
      </c>
      <c r="C7" s="46">
        <v>0</v>
      </c>
      <c r="D7" s="32">
        <v>7</v>
      </c>
      <c r="E7" s="15" t="s">
        <v>469</v>
      </c>
      <c r="F7" s="27" t="s">
        <v>455</v>
      </c>
      <c r="G7" s="46">
        <v>5</v>
      </c>
      <c r="H7" s="46">
        <v>0</v>
      </c>
      <c r="I7" s="51" t="s">
        <v>462</v>
      </c>
    </row>
    <row r="8" spans="1:9" ht="63" customHeight="1" x14ac:dyDescent="0.15">
      <c r="A8" s="27" t="s">
        <v>457</v>
      </c>
      <c r="B8" s="46">
        <v>19</v>
      </c>
      <c r="C8" s="46">
        <v>0</v>
      </c>
      <c r="D8" s="32">
        <v>19</v>
      </c>
      <c r="E8" s="15" t="s">
        <v>465</v>
      </c>
      <c r="F8" s="27" t="s">
        <v>463</v>
      </c>
      <c r="G8" s="16">
        <v>1</v>
      </c>
      <c r="H8" s="46">
        <v>0</v>
      </c>
      <c r="I8" s="51" t="s">
        <v>468</v>
      </c>
    </row>
    <row r="9" spans="1:9" ht="63" customHeight="1" x14ac:dyDescent="0.15">
      <c r="A9" s="27" t="s">
        <v>457</v>
      </c>
      <c r="B9" s="46">
        <v>2</v>
      </c>
      <c r="C9" s="46">
        <v>0</v>
      </c>
      <c r="D9" s="30">
        <v>0</v>
      </c>
      <c r="E9" s="15" t="s">
        <v>467</v>
      </c>
      <c r="F9" s="27" t="s">
        <v>457</v>
      </c>
      <c r="G9" s="46">
        <v>2</v>
      </c>
      <c r="H9" s="46">
        <v>0</v>
      </c>
      <c r="I9" s="51" t="s">
        <v>466</v>
      </c>
    </row>
    <row r="10" spans="1:9" ht="61.5" customHeight="1" x14ac:dyDescent="0.15">
      <c r="A10" s="27" t="s">
        <v>458</v>
      </c>
      <c r="B10" s="46">
        <v>4</v>
      </c>
      <c r="C10" s="46">
        <v>0</v>
      </c>
      <c r="D10" s="30">
        <v>0</v>
      </c>
      <c r="E10" s="15" t="s">
        <v>464</v>
      </c>
      <c r="F10" s="27" t="s">
        <v>480</v>
      </c>
      <c r="G10" s="16">
        <v>38</v>
      </c>
      <c r="H10" s="46">
        <v>0</v>
      </c>
      <c r="I10" s="51" t="s">
        <v>484</v>
      </c>
    </row>
    <row r="11" spans="1:9" ht="70.5" customHeight="1" x14ac:dyDescent="0.15">
      <c r="A11" s="27" t="s">
        <v>460</v>
      </c>
      <c r="B11" s="46">
        <v>1</v>
      </c>
      <c r="C11" s="46">
        <v>0</v>
      </c>
      <c r="D11" s="30">
        <v>0</v>
      </c>
      <c r="E11" s="27" t="s">
        <v>472</v>
      </c>
      <c r="F11" s="15" t="s">
        <v>490</v>
      </c>
      <c r="G11" s="16">
        <v>5</v>
      </c>
      <c r="H11" s="16">
        <v>0</v>
      </c>
      <c r="I11" s="34" t="s">
        <v>486</v>
      </c>
    </row>
    <row r="12" spans="1:9" ht="61.5" customHeight="1" x14ac:dyDescent="0.15">
      <c r="A12" s="27" t="s">
        <v>459</v>
      </c>
      <c r="B12" s="46">
        <v>1</v>
      </c>
      <c r="C12" s="46">
        <v>0</v>
      </c>
      <c r="D12" s="30">
        <v>0</v>
      </c>
      <c r="E12" s="27" t="s">
        <v>471</v>
      </c>
      <c r="F12" s="15" t="s">
        <v>481</v>
      </c>
      <c r="G12" s="16">
        <v>21</v>
      </c>
      <c r="H12" s="16">
        <v>0</v>
      </c>
      <c r="I12" s="34" t="s">
        <v>487</v>
      </c>
    </row>
    <row r="13" spans="1:9" ht="62.25" customHeight="1" x14ac:dyDescent="0.15">
      <c r="A13" s="15" t="s">
        <v>473</v>
      </c>
      <c r="B13" s="16">
        <v>1</v>
      </c>
      <c r="C13" s="16">
        <v>0</v>
      </c>
      <c r="D13" s="32">
        <v>1</v>
      </c>
      <c r="E13" s="15" t="s">
        <v>474</v>
      </c>
      <c r="F13" s="15" t="s">
        <v>482</v>
      </c>
      <c r="G13" s="16">
        <v>10</v>
      </c>
      <c r="H13" s="16">
        <v>0</v>
      </c>
      <c r="I13" s="34" t="s">
        <v>488</v>
      </c>
    </row>
    <row r="14" spans="1:9" ht="62.25" customHeight="1" x14ac:dyDescent="0.15">
      <c r="A14" s="15" t="s">
        <v>475</v>
      </c>
      <c r="B14" s="16">
        <v>5</v>
      </c>
      <c r="C14" s="16">
        <v>0</v>
      </c>
      <c r="D14" s="30">
        <v>0</v>
      </c>
      <c r="E14" s="15" t="s">
        <v>476</v>
      </c>
      <c r="F14" s="15" t="s">
        <v>359</v>
      </c>
      <c r="G14" s="16">
        <v>1</v>
      </c>
      <c r="H14" s="16">
        <v>0</v>
      </c>
      <c r="I14" s="51" t="s">
        <v>483</v>
      </c>
    </row>
    <row r="15" spans="1:9" ht="62.25" customHeight="1" x14ac:dyDescent="0.15">
      <c r="A15" s="15" t="s">
        <v>477</v>
      </c>
      <c r="B15" s="16">
        <v>1</v>
      </c>
      <c r="C15" s="16">
        <v>0</v>
      </c>
      <c r="D15" s="30">
        <v>0</v>
      </c>
      <c r="E15" s="27" t="s">
        <v>485</v>
      </c>
      <c r="F15" s="15" t="s">
        <v>477</v>
      </c>
      <c r="G15" s="16">
        <v>1</v>
      </c>
      <c r="H15" s="16">
        <v>0</v>
      </c>
      <c r="I15" s="51" t="s">
        <v>489</v>
      </c>
    </row>
    <row r="16" spans="1:9" ht="62.25" customHeight="1" x14ac:dyDescent="0.15">
      <c r="A16" s="15" t="s">
        <v>478</v>
      </c>
      <c r="B16" s="16">
        <v>1</v>
      </c>
      <c r="C16" s="16">
        <v>0</v>
      </c>
      <c r="D16" s="30">
        <v>0</v>
      </c>
      <c r="E16" s="15" t="s">
        <v>479</v>
      </c>
      <c r="F16" s="15"/>
      <c r="G16" s="16"/>
      <c r="H16" s="16"/>
      <c r="I16" s="51"/>
    </row>
    <row r="17" spans="1:9" ht="62.25" customHeight="1" x14ac:dyDescent="0.15">
      <c r="A17" s="15"/>
      <c r="B17" s="16"/>
      <c r="C17" s="16"/>
      <c r="D17" s="30"/>
      <c r="E17" s="15"/>
      <c r="F17" s="15"/>
      <c r="G17" s="16"/>
      <c r="H17" s="16"/>
      <c r="I17" s="51"/>
    </row>
    <row r="18" spans="1:9" ht="62.25" customHeight="1" x14ac:dyDescent="0.15">
      <c r="A18" s="15"/>
      <c r="B18" s="16"/>
      <c r="C18" s="16"/>
      <c r="D18" s="17"/>
      <c r="E18" s="15"/>
      <c r="F18" s="15"/>
      <c r="G18" s="16"/>
      <c r="H18" s="16"/>
      <c r="I18" s="27"/>
    </row>
    <row r="19" spans="1:9" ht="53.25" customHeight="1" x14ac:dyDescent="0.15">
      <c r="A19" s="15"/>
      <c r="B19" s="16"/>
      <c r="C19" s="16"/>
      <c r="D19" s="16"/>
      <c r="E19" s="15"/>
      <c r="F19" s="15"/>
      <c r="G19" s="16"/>
      <c r="H19" s="16"/>
      <c r="I19" s="15"/>
    </row>
    <row r="20" spans="1:9" ht="30" customHeight="1" x14ac:dyDescent="0.15">
      <c r="A20" s="28" t="s">
        <v>12</v>
      </c>
      <c r="B20" s="29">
        <f>SUM(B6:B19)</f>
        <v>43</v>
      </c>
      <c r="C20" s="29">
        <f>SUM(C6:C19)</f>
        <v>0</v>
      </c>
      <c r="D20" s="29">
        <f>SUM(D6:D19)</f>
        <v>28</v>
      </c>
      <c r="E20" s="29"/>
      <c r="F20" s="29"/>
      <c r="G20" s="29">
        <f>SUM(G6:G19)</f>
        <v>92</v>
      </c>
      <c r="H20" s="29">
        <f>SUM(H6:H19)</f>
        <v>0</v>
      </c>
      <c r="I20" s="29"/>
    </row>
    <row r="23" spans="1:9" ht="30" customHeight="1" x14ac:dyDescent="0.15">
      <c r="A23" s="43" t="s">
        <v>13</v>
      </c>
      <c r="B23" s="43"/>
      <c r="C23" s="43"/>
      <c r="D23" s="43"/>
      <c r="E23" s="43"/>
      <c r="F23" s="43"/>
    </row>
    <row r="24" spans="1:9" ht="30" customHeight="1" x14ac:dyDescent="0.15">
      <c r="A24" s="20" t="s">
        <v>7</v>
      </c>
      <c r="B24" s="18" t="s">
        <v>1</v>
      </c>
      <c r="C24" s="18" t="s">
        <v>11</v>
      </c>
      <c r="D24" s="19" t="s">
        <v>10</v>
      </c>
      <c r="E24" s="19" t="s">
        <v>6</v>
      </c>
      <c r="F24" s="35"/>
    </row>
    <row r="25" spans="1:9" ht="53.25" customHeight="1" x14ac:dyDescent="0.15">
      <c r="A25" s="15" t="s">
        <v>14</v>
      </c>
      <c r="B25" s="31">
        <v>46199</v>
      </c>
      <c r="C25" s="16">
        <v>2</v>
      </c>
      <c r="D25" s="33">
        <v>2</v>
      </c>
      <c r="E25" s="27" t="s">
        <v>15</v>
      </c>
      <c r="F25" s="45" t="s">
        <v>20</v>
      </c>
    </row>
    <row r="26" spans="1:9" ht="53.25" customHeight="1" x14ac:dyDescent="0.15">
      <c r="A26" s="15" t="s">
        <v>17</v>
      </c>
      <c r="B26" s="31">
        <v>46203</v>
      </c>
      <c r="C26" s="16">
        <v>34</v>
      </c>
      <c r="D26" s="33">
        <v>34</v>
      </c>
      <c r="E26" s="37" t="s">
        <v>16</v>
      </c>
      <c r="F26" s="45" t="s">
        <v>22</v>
      </c>
    </row>
    <row r="27" spans="1:9" ht="53.25" customHeight="1" x14ac:dyDescent="0.15">
      <c r="A27" s="15" t="s">
        <v>26</v>
      </c>
      <c r="B27" s="31">
        <v>46216</v>
      </c>
      <c r="C27" s="16">
        <v>6</v>
      </c>
      <c r="D27" s="32">
        <v>6</v>
      </c>
      <c r="E27" s="27" t="s">
        <v>28</v>
      </c>
      <c r="F27" s="45" t="s">
        <v>29</v>
      </c>
    </row>
    <row r="28" spans="1:9" ht="53.25" customHeight="1" x14ac:dyDescent="0.15">
      <c r="A28" s="49" t="s">
        <v>30</v>
      </c>
      <c r="B28" s="31">
        <v>46224</v>
      </c>
      <c r="C28" s="16">
        <v>1</v>
      </c>
      <c r="D28" s="33">
        <v>1</v>
      </c>
      <c r="E28" s="27" t="s">
        <v>31</v>
      </c>
      <c r="F28" s="34"/>
    </row>
    <row r="29" spans="1:9" ht="53.25" customHeight="1" x14ac:dyDescent="0.15">
      <c r="A29" s="15" t="s">
        <v>32</v>
      </c>
      <c r="B29" s="31">
        <v>46226</v>
      </c>
      <c r="C29" s="16">
        <v>20</v>
      </c>
      <c r="D29" s="33">
        <v>20</v>
      </c>
      <c r="E29" s="27" t="s">
        <v>33</v>
      </c>
      <c r="F29" s="34"/>
    </row>
    <row r="30" spans="1:9" ht="53.25" customHeight="1" x14ac:dyDescent="0.15">
      <c r="A30" s="15" t="s">
        <v>34</v>
      </c>
      <c r="B30" s="31">
        <v>46227</v>
      </c>
      <c r="C30" s="30">
        <v>28</v>
      </c>
      <c r="D30" s="32">
        <v>28</v>
      </c>
      <c r="E30" s="27" t="s">
        <v>35</v>
      </c>
      <c r="F30" s="34"/>
    </row>
    <row r="31" spans="1:9" ht="53.25" customHeight="1" x14ac:dyDescent="0.15">
      <c r="A31" s="15" t="s">
        <v>63</v>
      </c>
      <c r="B31" s="31">
        <v>46237</v>
      </c>
      <c r="C31" s="30">
        <v>13</v>
      </c>
      <c r="D31" s="32">
        <v>13</v>
      </c>
      <c r="E31" s="15" t="s">
        <v>75</v>
      </c>
      <c r="F31" s="34"/>
    </row>
    <row r="32" spans="1:9" ht="53.25" customHeight="1" x14ac:dyDescent="0.15">
      <c r="A32" s="15" t="s">
        <v>191</v>
      </c>
      <c r="B32" s="31">
        <v>46244</v>
      </c>
      <c r="C32" s="16">
        <v>47</v>
      </c>
      <c r="D32" s="33">
        <v>47</v>
      </c>
      <c r="E32" s="15" t="s">
        <v>195</v>
      </c>
      <c r="F32" s="34"/>
    </row>
    <row r="33" spans="1:6" ht="53.25" customHeight="1" x14ac:dyDescent="0.15">
      <c r="A33" s="15" t="s">
        <v>276</v>
      </c>
      <c r="B33" s="31">
        <v>46246</v>
      </c>
      <c r="C33" s="16">
        <v>18</v>
      </c>
      <c r="D33" s="33">
        <v>18</v>
      </c>
      <c r="E33" s="15" t="s">
        <v>278</v>
      </c>
      <c r="F33" s="34"/>
    </row>
    <row r="34" spans="1:6" ht="53.25" customHeight="1" x14ac:dyDescent="0.15">
      <c r="A34" s="15" t="s">
        <v>305</v>
      </c>
      <c r="B34" s="31">
        <v>46247</v>
      </c>
      <c r="C34" s="30">
        <v>7</v>
      </c>
      <c r="D34" s="32">
        <v>7</v>
      </c>
      <c r="E34" s="15" t="s">
        <v>321</v>
      </c>
      <c r="F34" s="34"/>
    </row>
    <row r="35" spans="1:6" ht="66.75" customHeight="1" x14ac:dyDescent="0.15">
      <c r="A35" s="15" t="s">
        <v>306</v>
      </c>
      <c r="B35" s="31">
        <v>46247</v>
      </c>
      <c r="C35" s="30">
        <v>20</v>
      </c>
      <c r="D35" s="32">
        <v>20</v>
      </c>
      <c r="E35" s="15" t="s">
        <v>324</v>
      </c>
      <c r="F35" s="34"/>
    </row>
    <row r="36" spans="1:6" ht="53.25" customHeight="1" x14ac:dyDescent="0.15">
      <c r="A36" s="15" t="s">
        <v>307</v>
      </c>
      <c r="B36" s="31">
        <v>46247</v>
      </c>
      <c r="C36" s="30">
        <v>1</v>
      </c>
      <c r="D36" s="32">
        <v>1</v>
      </c>
      <c r="E36" s="15" t="s">
        <v>326</v>
      </c>
      <c r="F36" s="34"/>
    </row>
    <row r="37" spans="1:6" ht="53.25" customHeight="1" x14ac:dyDescent="0.15">
      <c r="A37" s="15" t="s">
        <v>325</v>
      </c>
      <c r="B37" s="31">
        <v>46247</v>
      </c>
      <c r="C37" s="30">
        <v>4</v>
      </c>
      <c r="D37" s="32">
        <v>4</v>
      </c>
      <c r="E37" s="15" t="s">
        <v>327</v>
      </c>
      <c r="F37" s="34"/>
    </row>
    <row r="38" spans="1:6" ht="53.25" customHeight="1" x14ac:dyDescent="0.15">
      <c r="A38" s="15" t="s">
        <v>310</v>
      </c>
      <c r="B38" s="31">
        <v>46247</v>
      </c>
      <c r="C38" s="30">
        <v>8</v>
      </c>
      <c r="D38" s="32">
        <v>8</v>
      </c>
      <c r="E38" s="15" t="s">
        <v>331</v>
      </c>
      <c r="F38" s="34"/>
    </row>
    <row r="39" spans="1:6" ht="53.25" customHeight="1" x14ac:dyDescent="0.15">
      <c r="A39" s="15" t="s">
        <v>313</v>
      </c>
      <c r="B39" s="31">
        <v>46247</v>
      </c>
      <c r="C39" s="30">
        <v>9</v>
      </c>
      <c r="D39" s="32">
        <v>9</v>
      </c>
      <c r="E39" s="15" t="s">
        <v>332</v>
      </c>
      <c r="F39" s="34"/>
    </row>
    <row r="40" spans="1:6" ht="53.25" customHeight="1" x14ac:dyDescent="0.15">
      <c r="A40" s="15" t="s">
        <v>328</v>
      </c>
      <c r="B40" s="31">
        <v>46247</v>
      </c>
      <c r="C40" s="30">
        <v>3</v>
      </c>
      <c r="D40" s="32">
        <v>3</v>
      </c>
      <c r="E40" s="15" t="s">
        <v>338</v>
      </c>
      <c r="F40" s="34"/>
    </row>
    <row r="41" spans="1:6" ht="53.25" customHeight="1" x14ac:dyDescent="0.15">
      <c r="A41" s="54" t="s">
        <v>358</v>
      </c>
      <c r="B41" s="31">
        <v>46248</v>
      </c>
      <c r="C41" s="30">
        <v>1</v>
      </c>
      <c r="D41" s="32">
        <v>1</v>
      </c>
      <c r="E41" s="15" t="s">
        <v>368</v>
      </c>
      <c r="F41" s="34"/>
    </row>
    <row r="42" spans="1:6" ht="53.25" customHeight="1" x14ac:dyDescent="0.15">
      <c r="A42" s="15" t="s">
        <v>360</v>
      </c>
      <c r="B42" s="31">
        <v>46248</v>
      </c>
      <c r="C42" s="30">
        <v>39</v>
      </c>
      <c r="D42" s="32">
        <v>39</v>
      </c>
      <c r="E42" s="15" t="s">
        <v>361</v>
      </c>
      <c r="F42" s="34"/>
    </row>
    <row r="43" spans="1:6" ht="53.25" customHeight="1" x14ac:dyDescent="0.15">
      <c r="A43" s="27" t="s">
        <v>382</v>
      </c>
      <c r="B43" s="31">
        <v>46251</v>
      </c>
      <c r="C43" s="30">
        <v>9</v>
      </c>
      <c r="D43" s="32">
        <v>9</v>
      </c>
      <c r="E43" s="27" t="s">
        <v>383</v>
      </c>
      <c r="F43" s="34"/>
    </row>
    <row r="44" spans="1:6" ht="53.25" customHeight="1" x14ac:dyDescent="0.15">
      <c r="A44" s="27" t="s">
        <v>379</v>
      </c>
      <c r="B44" s="31">
        <v>46251</v>
      </c>
      <c r="C44" s="30">
        <v>7</v>
      </c>
      <c r="D44" s="32">
        <v>7</v>
      </c>
      <c r="E44" s="27" t="s">
        <v>384</v>
      </c>
      <c r="F44" s="34"/>
    </row>
    <row r="45" spans="1:6" ht="53.25" customHeight="1" x14ac:dyDescent="0.15">
      <c r="A45" s="27" t="s">
        <v>380</v>
      </c>
      <c r="B45" s="31">
        <v>46251</v>
      </c>
      <c r="C45" s="30">
        <v>4</v>
      </c>
      <c r="D45" s="32">
        <v>4</v>
      </c>
      <c r="E45" s="27" t="s">
        <v>386</v>
      </c>
      <c r="F45" s="34"/>
    </row>
    <row r="46" spans="1:6" ht="53.25" customHeight="1" x14ac:dyDescent="0.15">
      <c r="A46" s="27" t="s">
        <v>389</v>
      </c>
      <c r="B46" s="31">
        <v>46251</v>
      </c>
      <c r="C46" s="30">
        <v>2</v>
      </c>
      <c r="D46" s="32">
        <v>2</v>
      </c>
      <c r="E46" s="27" t="s">
        <v>391</v>
      </c>
      <c r="F46" s="34"/>
    </row>
    <row r="47" spans="1:6" ht="60.6" customHeight="1" x14ac:dyDescent="0.15">
      <c r="A47" s="15" t="s">
        <v>393</v>
      </c>
      <c r="B47" s="31">
        <v>46251</v>
      </c>
      <c r="C47" s="30">
        <v>3</v>
      </c>
      <c r="D47" s="32">
        <v>3</v>
      </c>
      <c r="E47" s="15" t="s">
        <v>394</v>
      </c>
      <c r="F47" s="34"/>
    </row>
    <row r="48" spans="1:6" ht="53.25" customHeight="1" x14ac:dyDescent="0.15">
      <c r="A48" s="27" t="s">
        <v>398</v>
      </c>
      <c r="B48" s="31">
        <v>46252</v>
      </c>
      <c r="C48" s="30">
        <v>7</v>
      </c>
      <c r="D48" s="32">
        <v>7</v>
      </c>
      <c r="E48" s="15" t="s">
        <v>404</v>
      </c>
      <c r="F48" s="34"/>
    </row>
    <row r="49" spans="1:6" ht="53.25" customHeight="1" x14ac:dyDescent="0.15">
      <c r="A49" s="27" t="s">
        <v>399</v>
      </c>
      <c r="B49" s="31">
        <v>46252</v>
      </c>
      <c r="C49" s="30">
        <v>21</v>
      </c>
      <c r="D49" s="32">
        <v>21</v>
      </c>
      <c r="E49" s="15" t="s">
        <v>403</v>
      </c>
      <c r="F49" s="34"/>
    </row>
    <row r="50" spans="1:6" ht="53.25" customHeight="1" x14ac:dyDescent="0.15">
      <c r="A50" s="27" t="s">
        <v>432</v>
      </c>
      <c r="B50" s="31">
        <v>46253</v>
      </c>
      <c r="C50" s="30">
        <v>14</v>
      </c>
      <c r="D50" s="32">
        <v>14</v>
      </c>
      <c r="E50" s="15" t="s">
        <v>441</v>
      </c>
      <c r="F50" s="34"/>
    </row>
    <row r="51" spans="1:6" ht="66.75" customHeight="1" x14ac:dyDescent="0.15">
      <c r="A51" s="27" t="s">
        <v>433</v>
      </c>
      <c r="B51" s="31">
        <v>46253</v>
      </c>
      <c r="C51" s="30">
        <v>12</v>
      </c>
      <c r="D51" s="32">
        <v>12</v>
      </c>
      <c r="E51" s="15" t="s">
        <v>442</v>
      </c>
      <c r="F51" s="34"/>
    </row>
    <row r="52" spans="1:6" ht="53.25" customHeight="1" x14ac:dyDescent="0.15">
      <c r="A52" s="27" t="s">
        <v>434</v>
      </c>
      <c r="B52" s="31">
        <v>46253</v>
      </c>
      <c r="C52" s="30">
        <v>6</v>
      </c>
      <c r="D52" s="32">
        <v>6</v>
      </c>
      <c r="E52" s="15" t="s">
        <v>447</v>
      </c>
      <c r="F52" s="34"/>
    </row>
    <row r="53" spans="1:6" ht="57.75" customHeight="1" x14ac:dyDescent="0.15">
      <c r="A53" s="54" t="s">
        <v>359</v>
      </c>
      <c r="B53" s="31">
        <v>46248</v>
      </c>
      <c r="C53" s="30">
        <v>1</v>
      </c>
      <c r="D53" s="30">
        <v>0</v>
      </c>
      <c r="E53" s="15" t="s">
        <v>369</v>
      </c>
      <c r="F53" s="34" t="s">
        <v>483</v>
      </c>
    </row>
    <row r="54" spans="1:6" ht="53.25" customHeight="1" x14ac:dyDescent="0.15">
      <c r="A54" s="15"/>
      <c r="B54" s="31"/>
      <c r="C54" s="16"/>
      <c r="D54" s="46"/>
      <c r="E54" s="15"/>
      <c r="F54" s="34"/>
    </row>
    <row r="55" spans="1:6" ht="53.25" customHeight="1" x14ac:dyDescent="0.15">
      <c r="A55" s="15"/>
      <c r="B55" s="31"/>
      <c r="C55" s="16"/>
      <c r="D55" s="46"/>
      <c r="E55" s="15"/>
      <c r="F55" s="34"/>
    </row>
    <row r="56" spans="1:6" ht="53.25" customHeight="1" x14ac:dyDescent="0.15">
      <c r="A56" s="15"/>
      <c r="B56" s="31"/>
      <c r="C56" s="16"/>
      <c r="D56" s="32"/>
      <c r="E56" s="27"/>
      <c r="F56" s="34"/>
    </row>
    <row r="57" spans="1:6" ht="38.25" customHeight="1" x14ac:dyDescent="0.15">
      <c r="A57" s="22" t="s">
        <v>12</v>
      </c>
      <c r="B57" s="21"/>
      <c r="C57" s="21">
        <f>SUM(C25:C56)</f>
        <v>347</v>
      </c>
      <c r="D57" s="21">
        <f>SUM(D25:D56)</f>
        <v>346</v>
      </c>
      <c r="E57" s="38"/>
      <c r="F57" s="39"/>
    </row>
    <row r="58" spans="1:6" ht="30" customHeight="1" x14ac:dyDescent="0.15">
      <c r="D58" s="44"/>
    </row>
    <row r="59" spans="1:6" ht="30" customHeight="1" x14ac:dyDescent="0.15">
      <c r="D59" s="44"/>
    </row>
  </sheetData>
  <pageMargins left="0.7" right="0.7" top="0.75" bottom="0.75" header="0.3" footer="0.3"/>
  <pageSetup scale="3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7190-7B47-4F40-AC88-01A5956F3843}">
  <sheetPr>
    <pageSetUpPr fitToPage="1"/>
  </sheetPr>
  <dimension ref="A1:I64"/>
  <sheetViews>
    <sheetView topLeftCell="A7" zoomScale="85" zoomScaleNormal="85" workbookViewId="0">
      <selection activeCell="A9" sqref="A9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46255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27" t="s">
        <v>497</v>
      </c>
      <c r="B6" s="46">
        <v>7</v>
      </c>
      <c r="C6" s="46">
        <v>0</v>
      </c>
      <c r="D6" s="32">
        <v>7</v>
      </c>
      <c r="E6" s="15" t="s">
        <v>499</v>
      </c>
      <c r="F6" s="27" t="s">
        <v>494</v>
      </c>
      <c r="G6" s="46">
        <v>1</v>
      </c>
      <c r="H6" s="46">
        <v>0</v>
      </c>
      <c r="I6" s="51" t="s">
        <v>502</v>
      </c>
    </row>
    <row r="7" spans="1:9" ht="66" customHeight="1" x14ac:dyDescent="0.15">
      <c r="A7" s="27" t="s">
        <v>498</v>
      </c>
      <c r="B7" s="46">
        <v>13</v>
      </c>
      <c r="C7" s="46">
        <v>0</v>
      </c>
      <c r="D7" s="32">
        <v>13</v>
      </c>
      <c r="E7" s="15" t="s">
        <v>500</v>
      </c>
      <c r="F7" s="27"/>
      <c r="G7" s="46"/>
      <c r="H7" s="46"/>
      <c r="I7" s="51"/>
    </row>
    <row r="8" spans="1:9" ht="63" customHeight="1" x14ac:dyDescent="0.15">
      <c r="A8" s="27" t="s">
        <v>491</v>
      </c>
      <c r="B8" s="46">
        <v>17</v>
      </c>
      <c r="C8" s="46">
        <v>0</v>
      </c>
      <c r="D8" s="32">
        <v>17</v>
      </c>
      <c r="E8" s="15" t="s">
        <v>501</v>
      </c>
      <c r="F8" s="27"/>
      <c r="G8" s="16"/>
      <c r="H8" s="46"/>
      <c r="I8" s="51"/>
    </row>
    <row r="9" spans="1:9" ht="63" customHeight="1" x14ac:dyDescent="0.15">
      <c r="A9" s="15" t="s">
        <v>492</v>
      </c>
      <c r="B9" s="16">
        <v>0</v>
      </c>
      <c r="C9" s="16">
        <v>1</v>
      </c>
      <c r="D9" s="32">
        <v>1</v>
      </c>
      <c r="E9" s="15" t="s">
        <v>496</v>
      </c>
      <c r="F9" s="27"/>
      <c r="G9" s="46"/>
      <c r="H9" s="46"/>
      <c r="I9" s="51"/>
    </row>
    <row r="10" spans="1:9" ht="61.5" customHeight="1" x14ac:dyDescent="0.15">
      <c r="A10" s="27" t="s">
        <v>493</v>
      </c>
      <c r="B10" s="46">
        <v>30</v>
      </c>
      <c r="C10" s="46">
        <v>0</v>
      </c>
      <c r="D10" s="32">
        <v>30</v>
      </c>
      <c r="E10" s="15" t="s">
        <v>503</v>
      </c>
      <c r="F10" s="27"/>
      <c r="G10" s="16"/>
      <c r="H10" s="46"/>
      <c r="I10" s="51"/>
    </row>
    <row r="11" spans="1:9" ht="70.5" customHeight="1" x14ac:dyDescent="0.15">
      <c r="A11" s="27" t="s">
        <v>495</v>
      </c>
      <c r="B11" s="46">
        <v>1</v>
      </c>
      <c r="C11" s="46">
        <v>0</v>
      </c>
      <c r="D11" s="30">
        <v>0</v>
      </c>
      <c r="E11" s="27" t="s">
        <v>504</v>
      </c>
      <c r="F11" s="15"/>
      <c r="G11" s="16"/>
      <c r="H11" s="16"/>
      <c r="I11" s="34"/>
    </row>
    <row r="12" spans="1:9" ht="61.5" customHeight="1" x14ac:dyDescent="0.15">
      <c r="A12" s="27" t="s">
        <v>505</v>
      </c>
      <c r="B12" s="46">
        <v>10</v>
      </c>
      <c r="C12" s="46">
        <v>0</v>
      </c>
      <c r="D12" s="30">
        <v>0</v>
      </c>
      <c r="E12" s="27" t="s">
        <v>510</v>
      </c>
      <c r="F12" s="15"/>
      <c r="G12" s="16"/>
      <c r="H12" s="16"/>
      <c r="I12" s="34"/>
    </row>
    <row r="13" spans="1:9" ht="62.25" customHeight="1" x14ac:dyDescent="0.15">
      <c r="A13" s="15" t="s">
        <v>506</v>
      </c>
      <c r="B13" s="16">
        <v>4</v>
      </c>
      <c r="C13" s="16">
        <v>0</v>
      </c>
      <c r="D13" s="32">
        <v>4</v>
      </c>
      <c r="E13" s="15" t="s">
        <v>507</v>
      </c>
      <c r="F13" s="15"/>
      <c r="G13" s="16"/>
      <c r="H13" s="16"/>
      <c r="I13" s="34"/>
    </row>
    <row r="14" spans="1:9" ht="62.25" customHeight="1" x14ac:dyDescent="0.15">
      <c r="A14" s="15" t="s">
        <v>508</v>
      </c>
      <c r="B14" s="16">
        <v>15</v>
      </c>
      <c r="C14" s="16">
        <v>0</v>
      </c>
      <c r="D14" s="30">
        <v>0</v>
      </c>
      <c r="E14" s="15" t="s">
        <v>509</v>
      </c>
      <c r="F14" s="15"/>
      <c r="G14" s="16"/>
      <c r="H14" s="16"/>
      <c r="I14" s="51"/>
    </row>
    <row r="15" spans="1:9" ht="62.25" customHeight="1" x14ac:dyDescent="0.15">
      <c r="A15" s="15" t="s">
        <v>511</v>
      </c>
      <c r="B15" s="16">
        <v>7</v>
      </c>
      <c r="C15" s="16">
        <v>0</v>
      </c>
      <c r="D15" s="30">
        <v>0</v>
      </c>
      <c r="E15" s="27" t="s">
        <v>512</v>
      </c>
      <c r="F15" s="15"/>
      <c r="G15" s="16"/>
      <c r="H15" s="16"/>
      <c r="I15" s="51"/>
    </row>
    <row r="16" spans="1:9" ht="62.25" customHeight="1" x14ac:dyDescent="0.15">
      <c r="A16" s="15"/>
      <c r="B16" s="16"/>
      <c r="C16" s="16"/>
      <c r="D16" s="30"/>
      <c r="E16" s="15"/>
      <c r="F16" s="15"/>
      <c r="G16" s="16"/>
      <c r="H16" s="16"/>
      <c r="I16" s="51"/>
    </row>
    <row r="17" spans="1:9" ht="62.25" customHeight="1" x14ac:dyDescent="0.15">
      <c r="A17" s="15"/>
      <c r="B17" s="16"/>
      <c r="C17" s="16"/>
      <c r="D17" s="30"/>
      <c r="E17" s="15"/>
      <c r="F17" s="15"/>
      <c r="G17" s="16"/>
      <c r="H17" s="16"/>
      <c r="I17" s="51"/>
    </row>
    <row r="18" spans="1:9" ht="62.25" customHeight="1" x14ac:dyDescent="0.15">
      <c r="A18" s="15"/>
      <c r="B18" s="16"/>
      <c r="C18" s="16"/>
      <c r="D18" s="17"/>
      <c r="E18" s="15"/>
      <c r="F18" s="15"/>
      <c r="G18" s="16"/>
      <c r="H18" s="16"/>
      <c r="I18" s="27"/>
    </row>
    <row r="19" spans="1:9" ht="53.25" customHeight="1" x14ac:dyDescent="0.15">
      <c r="A19" s="15"/>
      <c r="B19" s="16"/>
      <c r="C19" s="16"/>
      <c r="D19" s="16"/>
      <c r="E19" s="15"/>
      <c r="F19" s="15"/>
      <c r="G19" s="16"/>
      <c r="H19" s="16"/>
      <c r="I19" s="15"/>
    </row>
    <row r="20" spans="1:9" ht="30" customHeight="1" x14ac:dyDescent="0.15">
      <c r="A20" s="28" t="s">
        <v>12</v>
      </c>
      <c r="B20" s="29">
        <f>SUM(B6:B19)</f>
        <v>104</v>
      </c>
      <c r="C20" s="29">
        <f>SUM(C6:C19)</f>
        <v>1</v>
      </c>
      <c r="D20" s="29">
        <f>SUM(D6:D19)</f>
        <v>72</v>
      </c>
      <c r="E20" s="29"/>
      <c r="F20" s="29"/>
      <c r="G20" s="29">
        <f>SUM(G6:G19)</f>
        <v>1</v>
      </c>
      <c r="H20" s="29">
        <f>SUM(H6:H19)</f>
        <v>0</v>
      </c>
      <c r="I20" s="29"/>
    </row>
    <row r="23" spans="1:9" ht="30" customHeight="1" x14ac:dyDescent="0.15">
      <c r="A23" s="43" t="s">
        <v>13</v>
      </c>
      <c r="B23" s="43"/>
      <c r="C23" s="43"/>
      <c r="D23" s="43"/>
      <c r="E23" s="43"/>
      <c r="F23" s="43"/>
    </row>
    <row r="24" spans="1:9" ht="30" customHeight="1" x14ac:dyDescent="0.15">
      <c r="A24" s="20" t="s">
        <v>7</v>
      </c>
      <c r="B24" s="18" t="s">
        <v>1</v>
      </c>
      <c r="C24" s="18" t="s">
        <v>11</v>
      </c>
      <c r="D24" s="19" t="s">
        <v>10</v>
      </c>
      <c r="E24" s="19" t="s">
        <v>6</v>
      </c>
      <c r="F24" s="35"/>
    </row>
    <row r="25" spans="1:9" ht="53.25" customHeight="1" x14ac:dyDescent="0.15">
      <c r="A25" s="15" t="s">
        <v>14</v>
      </c>
      <c r="B25" s="31">
        <v>46199</v>
      </c>
      <c r="C25" s="16">
        <v>2</v>
      </c>
      <c r="D25" s="33">
        <v>2</v>
      </c>
      <c r="E25" s="27" t="s">
        <v>15</v>
      </c>
      <c r="F25" s="45" t="s">
        <v>20</v>
      </c>
    </row>
    <row r="26" spans="1:9" ht="53.25" customHeight="1" x14ac:dyDescent="0.15">
      <c r="A26" s="15" t="s">
        <v>17</v>
      </c>
      <c r="B26" s="31">
        <v>46203</v>
      </c>
      <c r="C26" s="16">
        <v>34</v>
      </c>
      <c r="D26" s="33">
        <v>34</v>
      </c>
      <c r="E26" s="37" t="s">
        <v>16</v>
      </c>
      <c r="F26" s="45" t="s">
        <v>22</v>
      </c>
    </row>
    <row r="27" spans="1:9" ht="53.25" customHeight="1" x14ac:dyDescent="0.15">
      <c r="A27" s="15" t="s">
        <v>26</v>
      </c>
      <c r="B27" s="31">
        <v>46216</v>
      </c>
      <c r="C27" s="16">
        <v>6</v>
      </c>
      <c r="D27" s="32">
        <v>6</v>
      </c>
      <c r="E27" s="27" t="s">
        <v>28</v>
      </c>
      <c r="F27" s="45" t="s">
        <v>29</v>
      </c>
    </row>
    <row r="28" spans="1:9" ht="53.25" customHeight="1" x14ac:dyDescent="0.15">
      <c r="A28" s="49" t="s">
        <v>30</v>
      </c>
      <c r="B28" s="31">
        <v>46224</v>
      </c>
      <c r="C28" s="16">
        <v>1</v>
      </c>
      <c r="D28" s="33">
        <v>1</v>
      </c>
      <c r="E28" s="27" t="s">
        <v>31</v>
      </c>
      <c r="F28" s="34"/>
    </row>
    <row r="29" spans="1:9" ht="53.25" customHeight="1" x14ac:dyDescent="0.15">
      <c r="A29" s="15" t="s">
        <v>32</v>
      </c>
      <c r="B29" s="31">
        <v>46226</v>
      </c>
      <c r="C29" s="16">
        <v>20</v>
      </c>
      <c r="D29" s="33">
        <v>20</v>
      </c>
      <c r="E29" s="27" t="s">
        <v>33</v>
      </c>
      <c r="F29" s="34"/>
    </row>
    <row r="30" spans="1:9" ht="53.25" customHeight="1" x14ac:dyDescent="0.15">
      <c r="A30" s="15" t="s">
        <v>34</v>
      </c>
      <c r="B30" s="31">
        <v>46227</v>
      </c>
      <c r="C30" s="30">
        <v>28</v>
      </c>
      <c r="D30" s="32">
        <v>28</v>
      </c>
      <c r="E30" s="27" t="s">
        <v>35</v>
      </c>
      <c r="F30" s="34"/>
    </row>
    <row r="31" spans="1:9" ht="53.25" customHeight="1" x14ac:dyDescent="0.15">
      <c r="A31" s="15" t="s">
        <v>63</v>
      </c>
      <c r="B31" s="31">
        <v>46237</v>
      </c>
      <c r="C31" s="30">
        <v>13</v>
      </c>
      <c r="D31" s="32">
        <v>13</v>
      </c>
      <c r="E31" s="15" t="s">
        <v>75</v>
      </c>
      <c r="F31" s="34"/>
    </row>
    <row r="32" spans="1:9" ht="53.25" customHeight="1" x14ac:dyDescent="0.15">
      <c r="A32" s="15" t="s">
        <v>191</v>
      </c>
      <c r="B32" s="31">
        <v>46244</v>
      </c>
      <c r="C32" s="16">
        <v>47</v>
      </c>
      <c r="D32" s="33">
        <v>47</v>
      </c>
      <c r="E32" s="15" t="s">
        <v>195</v>
      </c>
      <c r="F32" s="34"/>
    </row>
    <row r="33" spans="1:6" ht="53.25" customHeight="1" x14ac:dyDescent="0.15">
      <c r="A33" s="15" t="s">
        <v>276</v>
      </c>
      <c r="B33" s="31">
        <v>46246</v>
      </c>
      <c r="C33" s="16">
        <v>18</v>
      </c>
      <c r="D33" s="33">
        <v>18</v>
      </c>
      <c r="E33" s="15" t="s">
        <v>278</v>
      </c>
      <c r="F33" s="34"/>
    </row>
    <row r="34" spans="1:6" ht="53.25" customHeight="1" x14ac:dyDescent="0.15">
      <c r="A34" s="15" t="s">
        <v>305</v>
      </c>
      <c r="B34" s="31">
        <v>46247</v>
      </c>
      <c r="C34" s="30">
        <v>7</v>
      </c>
      <c r="D34" s="32">
        <v>7</v>
      </c>
      <c r="E34" s="15" t="s">
        <v>321</v>
      </c>
      <c r="F34" s="34"/>
    </row>
    <row r="35" spans="1:6" ht="66.75" customHeight="1" x14ac:dyDescent="0.15">
      <c r="A35" s="15" t="s">
        <v>306</v>
      </c>
      <c r="B35" s="31">
        <v>46247</v>
      </c>
      <c r="C35" s="30">
        <v>20</v>
      </c>
      <c r="D35" s="32">
        <v>20</v>
      </c>
      <c r="E35" s="15" t="s">
        <v>324</v>
      </c>
      <c r="F35" s="34"/>
    </row>
    <row r="36" spans="1:6" ht="53.25" customHeight="1" x14ac:dyDescent="0.15">
      <c r="A36" s="15" t="s">
        <v>307</v>
      </c>
      <c r="B36" s="31">
        <v>46247</v>
      </c>
      <c r="C36" s="30">
        <v>1</v>
      </c>
      <c r="D36" s="32">
        <v>1</v>
      </c>
      <c r="E36" s="15" t="s">
        <v>326</v>
      </c>
      <c r="F36" s="34"/>
    </row>
    <row r="37" spans="1:6" ht="53.25" customHeight="1" x14ac:dyDescent="0.15">
      <c r="A37" s="15" t="s">
        <v>325</v>
      </c>
      <c r="B37" s="31">
        <v>46247</v>
      </c>
      <c r="C37" s="30">
        <v>4</v>
      </c>
      <c r="D37" s="32">
        <v>4</v>
      </c>
      <c r="E37" s="15" t="s">
        <v>327</v>
      </c>
      <c r="F37" s="34"/>
    </row>
    <row r="38" spans="1:6" ht="53.25" customHeight="1" x14ac:dyDescent="0.15">
      <c r="A38" s="15" t="s">
        <v>310</v>
      </c>
      <c r="B38" s="31">
        <v>46247</v>
      </c>
      <c r="C38" s="30">
        <v>8</v>
      </c>
      <c r="D38" s="32">
        <v>8</v>
      </c>
      <c r="E38" s="15" t="s">
        <v>331</v>
      </c>
      <c r="F38" s="34"/>
    </row>
    <row r="39" spans="1:6" ht="53.25" customHeight="1" x14ac:dyDescent="0.15">
      <c r="A39" s="15" t="s">
        <v>313</v>
      </c>
      <c r="B39" s="31">
        <v>46247</v>
      </c>
      <c r="C39" s="30">
        <v>9</v>
      </c>
      <c r="D39" s="32">
        <v>9</v>
      </c>
      <c r="E39" s="15" t="s">
        <v>332</v>
      </c>
      <c r="F39" s="34"/>
    </row>
    <row r="40" spans="1:6" ht="53.25" customHeight="1" x14ac:dyDescent="0.15">
      <c r="A40" s="15" t="s">
        <v>328</v>
      </c>
      <c r="B40" s="31">
        <v>46247</v>
      </c>
      <c r="C40" s="30">
        <v>3</v>
      </c>
      <c r="D40" s="32">
        <v>3</v>
      </c>
      <c r="E40" s="15" t="s">
        <v>338</v>
      </c>
      <c r="F40" s="34"/>
    </row>
    <row r="41" spans="1:6" ht="53.25" customHeight="1" x14ac:dyDescent="0.15">
      <c r="A41" s="54" t="s">
        <v>358</v>
      </c>
      <c r="B41" s="31">
        <v>46248</v>
      </c>
      <c r="C41" s="30">
        <v>1</v>
      </c>
      <c r="D41" s="32">
        <v>1</v>
      </c>
      <c r="E41" s="15" t="s">
        <v>368</v>
      </c>
      <c r="F41" s="34"/>
    </row>
    <row r="42" spans="1:6" ht="53.25" customHeight="1" x14ac:dyDescent="0.15">
      <c r="A42" s="15" t="s">
        <v>360</v>
      </c>
      <c r="B42" s="31">
        <v>46248</v>
      </c>
      <c r="C42" s="30">
        <v>39</v>
      </c>
      <c r="D42" s="32">
        <v>39</v>
      </c>
      <c r="E42" s="15" t="s">
        <v>361</v>
      </c>
      <c r="F42" s="34"/>
    </row>
    <row r="43" spans="1:6" ht="53.25" customHeight="1" x14ac:dyDescent="0.15">
      <c r="A43" s="27" t="s">
        <v>382</v>
      </c>
      <c r="B43" s="31">
        <v>46251</v>
      </c>
      <c r="C43" s="30">
        <v>9</v>
      </c>
      <c r="D43" s="32">
        <v>9</v>
      </c>
      <c r="E43" s="27" t="s">
        <v>383</v>
      </c>
      <c r="F43" s="34"/>
    </row>
    <row r="44" spans="1:6" ht="53.25" customHeight="1" x14ac:dyDescent="0.15">
      <c r="A44" s="27" t="s">
        <v>379</v>
      </c>
      <c r="B44" s="31">
        <v>46251</v>
      </c>
      <c r="C44" s="30">
        <v>7</v>
      </c>
      <c r="D44" s="32">
        <v>7</v>
      </c>
      <c r="E44" s="27" t="s">
        <v>384</v>
      </c>
      <c r="F44" s="34"/>
    </row>
    <row r="45" spans="1:6" ht="53.25" customHeight="1" x14ac:dyDescent="0.15">
      <c r="A45" s="27" t="s">
        <v>380</v>
      </c>
      <c r="B45" s="31">
        <v>46251</v>
      </c>
      <c r="C45" s="30">
        <v>4</v>
      </c>
      <c r="D45" s="32">
        <v>4</v>
      </c>
      <c r="E45" s="27" t="s">
        <v>386</v>
      </c>
      <c r="F45" s="34"/>
    </row>
    <row r="46" spans="1:6" ht="53.25" customHeight="1" x14ac:dyDescent="0.15">
      <c r="A46" s="27" t="s">
        <v>389</v>
      </c>
      <c r="B46" s="31">
        <v>46251</v>
      </c>
      <c r="C46" s="30">
        <v>2</v>
      </c>
      <c r="D46" s="32">
        <v>2</v>
      </c>
      <c r="E46" s="27" t="s">
        <v>391</v>
      </c>
      <c r="F46" s="34"/>
    </row>
    <row r="47" spans="1:6" ht="60.6" customHeight="1" x14ac:dyDescent="0.15">
      <c r="A47" s="15" t="s">
        <v>393</v>
      </c>
      <c r="B47" s="31">
        <v>46251</v>
      </c>
      <c r="C47" s="30">
        <v>3</v>
      </c>
      <c r="D47" s="32">
        <v>3</v>
      </c>
      <c r="E47" s="15" t="s">
        <v>394</v>
      </c>
      <c r="F47" s="34"/>
    </row>
    <row r="48" spans="1:6" ht="53.25" customHeight="1" x14ac:dyDescent="0.15">
      <c r="A48" s="27" t="s">
        <v>398</v>
      </c>
      <c r="B48" s="31">
        <v>46252</v>
      </c>
      <c r="C48" s="30">
        <v>7</v>
      </c>
      <c r="D48" s="32">
        <v>7</v>
      </c>
      <c r="E48" s="15" t="s">
        <v>404</v>
      </c>
      <c r="F48" s="34"/>
    </row>
    <row r="49" spans="1:6" ht="53.25" customHeight="1" x14ac:dyDescent="0.15">
      <c r="A49" s="27" t="s">
        <v>399</v>
      </c>
      <c r="B49" s="31">
        <v>46252</v>
      </c>
      <c r="C49" s="30">
        <v>21</v>
      </c>
      <c r="D49" s="32">
        <v>21</v>
      </c>
      <c r="E49" s="15" t="s">
        <v>403</v>
      </c>
      <c r="F49" s="34"/>
    </row>
    <row r="50" spans="1:6" ht="53.25" customHeight="1" x14ac:dyDescent="0.15">
      <c r="A50" s="27" t="s">
        <v>432</v>
      </c>
      <c r="B50" s="31">
        <v>46253</v>
      </c>
      <c r="C50" s="30">
        <v>14</v>
      </c>
      <c r="D50" s="32">
        <v>14</v>
      </c>
      <c r="E50" s="15" t="s">
        <v>441</v>
      </c>
      <c r="F50" s="34"/>
    </row>
    <row r="51" spans="1:6" ht="66.75" customHeight="1" x14ac:dyDescent="0.15">
      <c r="A51" s="27" t="s">
        <v>433</v>
      </c>
      <c r="B51" s="31">
        <v>46253</v>
      </c>
      <c r="C51" s="30">
        <v>12</v>
      </c>
      <c r="D51" s="32">
        <v>12</v>
      </c>
      <c r="E51" s="15" t="s">
        <v>442</v>
      </c>
      <c r="F51" s="34"/>
    </row>
    <row r="52" spans="1:6" ht="53.25" customHeight="1" x14ac:dyDescent="0.15">
      <c r="A52" s="27" t="s">
        <v>434</v>
      </c>
      <c r="B52" s="31">
        <v>46253</v>
      </c>
      <c r="C52" s="30">
        <v>6</v>
      </c>
      <c r="D52" s="32">
        <v>6</v>
      </c>
      <c r="E52" s="15" t="s">
        <v>447</v>
      </c>
      <c r="F52" s="34"/>
    </row>
    <row r="53" spans="1:6" ht="53.25" customHeight="1" x14ac:dyDescent="0.15">
      <c r="A53" s="27" t="s">
        <v>459</v>
      </c>
      <c r="B53" s="31">
        <v>46254</v>
      </c>
      <c r="C53" s="30">
        <v>1</v>
      </c>
      <c r="D53" s="32">
        <v>1</v>
      </c>
      <c r="E53" s="15" t="s">
        <v>470</v>
      </c>
      <c r="F53" s="34"/>
    </row>
    <row r="54" spans="1:6" ht="53.25" customHeight="1" x14ac:dyDescent="0.15">
      <c r="A54" s="27" t="s">
        <v>456</v>
      </c>
      <c r="B54" s="31">
        <v>46254</v>
      </c>
      <c r="C54" s="30">
        <v>7</v>
      </c>
      <c r="D54" s="32">
        <v>7</v>
      </c>
      <c r="E54" s="15" t="s">
        <v>469</v>
      </c>
      <c r="F54" s="34"/>
    </row>
    <row r="55" spans="1:6" ht="53.25" customHeight="1" x14ac:dyDescent="0.15">
      <c r="A55" s="27" t="s">
        <v>457</v>
      </c>
      <c r="B55" s="31">
        <v>46254</v>
      </c>
      <c r="C55" s="30">
        <v>19</v>
      </c>
      <c r="D55" s="32">
        <v>19</v>
      </c>
      <c r="E55" s="15" t="s">
        <v>465</v>
      </c>
      <c r="F55" s="34"/>
    </row>
    <row r="56" spans="1:6" ht="53.25" customHeight="1" x14ac:dyDescent="0.15">
      <c r="A56" s="15" t="s">
        <v>473</v>
      </c>
      <c r="B56" s="31">
        <v>46254</v>
      </c>
      <c r="C56" s="30">
        <v>1</v>
      </c>
      <c r="D56" s="32">
        <v>1</v>
      </c>
      <c r="E56" s="15" t="s">
        <v>474</v>
      </c>
      <c r="F56" s="34"/>
    </row>
    <row r="57" spans="1:6" ht="53.25" customHeight="1" x14ac:dyDescent="0.15">
      <c r="A57" s="27"/>
      <c r="B57" s="31"/>
      <c r="C57" s="30"/>
      <c r="D57" s="32"/>
      <c r="E57" s="15"/>
      <c r="F57" s="34"/>
    </row>
    <row r="58" spans="1:6" ht="53.25" customHeight="1" x14ac:dyDescent="0.15">
      <c r="A58" s="27"/>
      <c r="B58" s="31"/>
      <c r="C58" s="30"/>
      <c r="D58" s="32"/>
      <c r="E58" s="15"/>
      <c r="F58" s="34"/>
    </row>
    <row r="59" spans="1:6" ht="53.25" customHeight="1" x14ac:dyDescent="0.15">
      <c r="A59" s="15"/>
      <c r="B59" s="31"/>
      <c r="C59" s="16"/>
      <c r="D59" s="46"/>
      <c r="E59" s="15"/>
      <c r="F59" s="34"/>
    </row>
    <row r="60" spans="1:6" ht="53.25" customHeight="1" x14ac:dyDescent="0.15">
      <c r="A60" s="15"/>
      <c r="B60" s="31"/>
      <c r="C60" s="16"/>
      <c r="D60" s="46"/>
      <c r="E60" s="15"/>
      <c r="F60" s="34"/>
    </row>
    <row r="61" spans="1:6" ht="53.25" customHeight="1" x14ac:dyDescent="0.15">
      <c r="A61" s="15"/>
      <c r="B61" s="31"/>
      <c r="C61" s="16"/>
      <c r="D61" s="32"/>
      <c r="E61" s="27"/>
      <c r="F61" s="34"/>
    </row>
    <row r="62" spans="1:6" ht="38.25" customHeight="1" x14ac:dyDescent="0.15">
      <c r="A62" s="22" t="s">
        <v>12</v>
      </c>
      <c r="B62" s="21"/>
      <c r="C62" s="21">
        <f>SUM(C25:C61)</f>
        <v>374</v>
      </c>
      <c r="D62" s="21">
        <f>SUM(D25:D61)</f>
        <v>374</v>
      </c>
      <c r="E62" s="38"/>
      <c r="F62" s="39"/>
    </row>
    <row r="63" spans="1:6" ht="30" customHeight="1" x14ac:dyDescent="0.15">
      <c r="D63" s="44"/>
    </row>
    <row r="64" spans="1:6" ht="30" customHeight="1" x14ac:dyDescent="0.15">
      <c r="D64" s="44"/>
    </row>
  </sheetData>
  <pageMargins left="0.7" right="0.7" top="0.75" bottom="0.75" header="0.3" footer="0.3"/>
  <pageSetup scale="3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44CC-500E-40EE-A49E-B096769B8446}">
  <sheetPr>
    <pageSetUpPr fitToPage="1"/>
  </sheetPr>
  <dimension ref="A1:I69"/>
  <sheetViews>
    <sheetView topLeftCell="A34" zoomScale="85" zoomScaleNormal="85" workbookViewId="0">
      <selection activeCell="E63" sqref="E63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46258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27" t="s">
        <v>513</v>
      </c>
      <c r="B6" s="46">
        <v>3</v>
      </c>
      <c r="C6" s="46">
        <v>0</v>
      </c>
      <c r="D6" s="32">
        <v>1</v>
      </c>
      <c r="E6" s="15" t="s">
        <v>530</v>
      </c>
      <c r="F6" s="27" t="s">
        <v>325</v>
      </c>
      <c r="G6" s="46">
        <v>4</v>
      </c>
      <c r="H6" s="46">
        <v>0</v>
      </c>
      <c r="I6" s="51" t="s">
        <v>531</v>
      </c>
    </row>
    <row r="7" spans="1:9" ht="66" customHeight="1" x14ac:dyDescent="0.15">
      <c r="A7" s="27" t="s">
        <v>514</v>
      </c>
      <c r="B7" s="46">
        <v>5</v>
      </c>
      <c r="C7" s="46">
        <v>0</v>
      </c>
      <c r="D7" s="30">
        <v>0</v>
      </c>
      <c r="E7" s="15" t="s">
        <v>525</v>
      </c>
      <c r="F7" s="27" t="s">
        <v>310</v>
      </c>
      <c r="G7" s="46">
        <v>8</v>
      </c>
      <c r="H7" s="46">
        <v>0</v>
      </c>
      <c r="I7" s="51" t="s">
        <v>532</v>
      </c>
    </row>
    <row r="8" spans="1:9" ht="63" customHeight="1" x14ac:dyDescent="0.15">
      <c r="A8" s="27" t="s">
        <v>515</v>
      </c>
      <c r="B8" s="46">
        <v>7</v>
      </c>
      <c r="C8" s="46">
        <v>0</v>
      </c>
      <c r="D8" s="30">
        <v>0</v>
      </c>
      <c r="E8" s="15" t="s">
        <v>524</v>
      </c>
      <c r="F8" s="27" t="s">
        <v>432</v>
      </c>
      <c r="G8" s="16">
        <v>14</v>
      </c>
      <c r="H8" s="46">
        <v>0</v>
      </c>
      <c r="I8" s="51" t="s">
        <v>533</v>
      </c>
    </row>
    <row r="9" spans="1:9" ht="63" customHeight="1" x14ac:dyDescent="0.15">
      <c r="A9" s="15" t="s">
        <v>516</v>
      </c>
      <c r="B9" s="16">
        <v>3</v>
      </c>
      <c r="C9" s="16">
        <v>0</v>
      </c>
      <c r="D9" s="32">
        <v>3</v>
      </c>
      <c r="E9" s="15" t="s">
        <v>543</v>
      </c>
      <c r="F9" s="27" t="s">
        <v>498</v>
      </c>
      <c r="G9" s="46">
        <v>13</v>
      </c>
      <c r="H9" s="46">
        <v>0</v>
      </c>
      <c r="I9" s="51" t="s">
        <v>534</v>
      </c>
    </row>
    <row r="10" spans="1:9" ht="61.5" customHeight="1" x14ac:dyDescent="0.15">
      <c r="A10" s="27" t="s">
        <v>517</v>
      </c>
      <c r="B10" s="46">
        <v>7</v>
      </c>
      <c r="C10" s="46">
        <v>0</v>
      </c>
      <c r="D10" s="32">
        <v>7</v>
      </c>
      <c r="E10" s="15" t="s">
        <v>535</v>
      </c>
      <c r="F10" s="27" t="s">
        <v>527</v>
      </c>
      <c r="G10" s="16">
        <v>6</v>
      </c>
      <c r="H10" s="46">
        <v>0</v>
      </c>
      <c r="I10" s="51" t="s">
        <v>529</v>
      </c>
    </row>
    <row r="11" spans="1:9" ht="62.25" customHeight="1" x14ac:dyDescent="0.15">
      <c r="A11" s="15" t="s">
        <v>518</v>
      </c>
      <c r="B11" s="16">
        <v>4</v>
      </c>
      <c r="C11" s="16">
        <v>0</v>
      </c>
      <c r="D11" s="32">
        <v>4</v>
      </c>
      <c r="E11" s="15" t="s">
        <v>536</v>
      </c>
      <c r="F11" s="15"/>
      <c r="G11" s="16"/>
      <c r="H11" s="16"/>
      <c r="I11" s="34"/>
    </row>
    <row r="12" spans="1:9" ht="62.25" customHeight="1" x14ac:dyDescent="0.15">
      <c r="A12" s="15" t="s">
        <v>519</v>
      </c>
      <c r="B12" s="16">
        <v>45</v>
      </c>
      <c r="C12" s="16">
        <v>0</v>
      </c>
      <c r="D12" s="32">
        <v>45</v>
      </c>
      <c r="E12" s="15" t="s">
        <v>526</v>
      </c>
      <c r="F12" s="15"/>
      <c r="G12" s="16"/>
      <c r="H12" s="16"/>
      <c r="I12" s="51"/>
    </row>
    <row r="13" spans="1:9" ht="62.25" customHeight="1" x14ac:dyDescent="0.15">
      <c r="A13" s="15" t="s">
        <v>537</v>
      </c>
      <c r="B13" s="16">
        <v>0</v>
      </c>
      <c r="C13" s="16">
        <v>1</v>
      </c>
      <c r="D13" s="30">
        <v>0</v>
      </c>
      <c r="E13" s="15" t="s">
        <v>538</v>
      </c>
      <c r="F13" s="15"/>
      <c r="G13" s="16"/>
      <c r="H13" s="16"/>
      <c r="I13" s="51"/>
    </row>
    <row r="14" spans="1:9" ht="62.25" customHeight="1" x14ac:dyDescent="0.15">
      <c r="A14" s="15" t="s">
        <v>539</v>
      </c>
      <c r="B14" s="16">
        <v>0</v>
      </c>
      <c r="C14" s="16">
        <v>1</v>
      </c>
      <c r="D14" s="30">
        <v>0</v>
      </c>
      <c r="E14" s="15" t="s">
        <v>540</v>
      </c>
      <c r="F14" s="15"/>
      <c r="G14" s="16"/>
      <c r="H14" s="16"/>
      <c r="I14" s="51"/>
    </row>
    <row r="15" spans="1:9" ht="62.25" customHeight="1" x14ac:dyDescent="0.15">
      <c r="A15" s="15" t="s">
        <v>528</v>
      </c>
      <c r="B15" s="16">
        <v>0</v>
      </c>
      <c r="C15" s="16">
        <v>11</v>
      </c>
      <c r="D15" s="30">
        <v>0</v>
      </c>
      <c r="E15" s="15" t="s">
        <v>541</v>
      </c>
      <c r="F15" s="15"/>
      <c r="G15" s="16"/>
      <c r="H15" s="16"/>
      <c r="I15" s="51"/>
    </row>
    <row r="16" spans="1:9" ht="62.25" customHeight="1" x14ac:dyDescent="0.15">
      <c r="A16" s="15"/>
      <c r="B16" s="16"/>
      <c r="C16" s="16"/>
      <c r="D16" s="30"/>
      <c r="E16" s="15"/>
      <c r="F16" s="15"/>
      <c r="G16" s="16"/>
      <c r="H16" s="16"/>
      <c r="I16" s="51"/>
    </row>
    <row r="17" spans="1:9" ht="62.25" customHeight="1" x14ac:dyDescent="0.15">
      <c r="A17" s="15"/>
      <c r="B17" s="16"/>
      <c r="C17" s="16"/>
      <c r="D17" s="30"/>
      <c r="E17" s="27"/>
      <c r="F17" s="15"/>
      <c r="G17" s="16"/>
      <c r="H17" s="16"/>
      <c r="I17" s="51"/>
    </row>
    <row r="18" spans="1:9" ht="62.25" customHeight="1" x14ac:dyDescent="0.15">
      <c r="A18" s="15"/>
      <c r="B18" s="16"/>
      <c r="C18" s="16"/>
      <c r="D18" s="30"/>
      <c r="E18" s="15"/>
      <c r="F18" s="15"/>
      <c r="G18" s="16"/>
      <c r="H18" s="16"/>
      <c r="I18" s="51"/>
    </row>
    <row r="19" spans="1:9" ht="62.25" customHeight="1" x14ac:dyDescent="0.15">
      <c r="A19" s="15"/>
      <c r="B19" s="16"/>
      <c r="C19" s="16"/>
      <c r="D19" s="30"/>
      <c r="E19" s="15"/>
      <c r="F19" s="15"/>
      <c r="G19" s="16"/>
      <c r="H19" s="16"/>
      <c r="I19" s="51"/>
    </row>
    <row r="20" spans="1:9" ht="62.25" customHeight="1" x14ac:dyDescent="0.15">
      <c r="A20" s="15"/>
      <c r="B20" s="16"/>
      <c r="C20" s="16"/>
      <c r="D20" s="17"/>
      <c r="E20" s="15"/>
      <c r="F20" s="15"/>
      <c r="G20" s="16"/>
      <c r="H20" s="16"/>
      <c r="I20" s="27"/>
    </row>
    <row r="21" spans="1:9" ht="53.25" customHeight="1" x14ac:dyDescent="0.15">
      <c r="A21" s="15"/>
      <c r="B21" s="16"/>
      <c r="C21" s="16"/>
      <c r="D21" s="16"/>
      <c r="E21" s="15"/>
      <c r="F21" s="15"/>
      <c r="G21" s="16"/>
      <c r="H21" s="16"/>
      <c r="I21" s="15"/>
    </row>
    <row r="22" spans="1:9" ht="30" customHeight="1" x14ac:dyDescent="0.15">
      <c r="A22" s="28" t="s">
        <v>12</v>
      </c>
      <c r="B22" s="29">
        <f>SUM(B6:B21)</f>
        <v>74</v>
      </c>
      <c r="C22" s="29">
        <f>SUM(C6:C21)</f>
        <v>13</v>
      </c>
      <c r="D22" s="29">
        <f>SUM(D6:D21)</f>
        <v>60</v>
      </c>
      <c r="E22" s="29"/>
      <c r="F22" s="29"/>
      <c r="G22" s="29">
        <f>SUM(G6:G21)</f>
        <v>45</v>
      </c>
      <c r="H22" s="29">
        <f>SUM(H6:H21)</f>
        <v>0</v>
      </c>
      <c r="I22" s="29"/>
    </row>
    <row r="25" spans="1:9" ht="30" customHeight="1" x14ac:dyDescent="0.15">
      <c r="A25" s="43" t="s">
        <v>13</v>
      </c>
      <c r="B25" s="43"/>
      <c r="C25" s="43"/>
      <c r="D25" s="43"/>
      <c r="E25" s="43"/>
      <c r="F25" s="43"/>
    </row>
    <row r="26" spans="1:9" ht="30" customHeight="1" x14ac:dyDescent="0.15">
      <c r="A26" s="20" t="s">
        <v>7</v>
      </c>
      <c r="B26" s="18" t="s">
        <v>1</v>
      </c>
      <c r="C26" s="18" t="s">
        <v>11</v>
      </c>
      <c r="D26" s="19" t="s">
        <v>10</v>
      </c>
      <c r="E26" s="19" t="s">
        <v>6</v>
      </c>
      <c r="F26" s="35"/>
    </row>
    <row r="27" spans="1:9" ht="53.25" customHeight="1" x14ac:dyDescent="0.15">
      <c r="A27" s="15" t="s">
        <v>14</v>
      </c>
      <c r="B27" s="31">
        <v>46199</v>
      </c>
      <c r="C27" s="16">
        <v>2</v>
      </c>
      <c r="D27" s="33">
        <v>2</v>
      </c>
      <c r="E27" s="27" t="s">
        <v>15</v>
      </c>
      <c r="F27" s="45" t="s">
        <v>20</v>
      </c>
    </row>
    <row r="28" spans="1:9" ht="53.25" customHeight="1" x14ac:dyDescent="0.15">
      <c r="A28" s="15" t="s">
        <v>17</v>
      </c>
      <c r="B28" s="31">
        <v>46203</v>
      </c>
      <c r="C28" s="16">
        <v>34</v>
      </c>
      <c r="D28" s="33">
        <v>34</v>
      </c>
      <c r="E28" s="37" t="s">
        <v>16</v>
      </c>
      <c r="F28" s="45" t="s">
        <v>22</v>
      </c>
    </row>
    <row r="29" spans="1:9" ht="53.25" customHeight="1" x14ac:dyDescent="0.15">
      <c r="A29" s="15" t="s">
        <v>26</v>
      </c>
      <c r="B29" s="31">
        <v>46216</v>
      </c>
      <c r="C29" s="16">
        <v>6</v>
      </c>
      <c r="D29" s="32">
        <v>6</v>
      </c>
      <c r="E29" s="27" t="s">
        <v>28</v>
      </c>
      <c r="F29" s="45" t="s">
        <v>29</v>
      </c>
    </row>
    <row r="30" spans="1:9" ht="53.25" customHeight="1" x14ac:dyDescent="0.15">
      <c r="A30" s="49" t="s">
        <v>30</v>
      </c>
      <c r="B30" s="31">
        <v>46224</v>
      </c>
      <c r="C30" s="16">
        <v>1</v>
      </c>
      <c r="D30" s="33">
        <v>1</v>
      </c>
      <c r="E30" s="27" t="s">
        <v>31</v>
      </c>
      <c r="F30" s="34"/>
    </row>
    <row r="31" spans="1:9" ht="53.25" customHeight="1" x14ac:dyDescent="0.15">
      <c r="A31" s="15" t="s">
        <v>32</v>
      </c>
      <c r="B31" s="31">
        <v>46226</v>
      </c>
      <c r="C31" s="16">
        <v>20</v>
      </c>
      <c r="D31" s="33">
        <v>20</v>
      </c>
      <c r="E31" s="27" t="s">
        <v>33</v>
      </c>
      <c r="F31" s="34"/>
    </row>
    <row r="32" spans="1:9" ht="53.25" customHeight="1" x14ac:dyDescent="0.15">
      <c r="A32" s="15" t="s">
        <v>34</v>
      </c>
      <c r="B32" s="31">
        <v>46227</v>
      </c>
      <c r="C32" s="30">
        <v>28</v>
      </c>
      <c r="D32" s="32">
        <v>28</v>
      </c>
      <c r="E32" s="27" t="s">
        <v>35</v>
      </c>
      <c r="F32" s="34"/>
    </row>
    <row r="33" spans="1:6" ht="53.25" customHeight="1" x14ac:dyDescent="0.15">
      <c r="A33" s="15" t="s">
        <v>63</v>
      </c>
      <c r="B33" s="31">
        <v>46237</v>
      </c>
      <c r="C33" s="30">
        <v>13</v>
      </c>
      <c r="D33" s="32">
        <v>13</v>
      </c>
      <c r="E33" s="15" t="s">
        <v>75</v>
      </c>
      <c r="F33" s="34"/>
    </row>
    <row r="34" spans="1:6" ht="53.25" customHeight="1" x14ac:dyDescent="0.15">
      <c r="A34" s="15" t="s">
        <v>191</v>
      </c>
      <c r="B34" s="31">
        <v>46244</v>
      </c>
      <c r="C34" s="16">
        <v>47</v>
      </c>
      <c r="D34" s="33">
        <v>47</v>
      </c>
      <c r="E34" s="15" t="s">
        <v>195</v>
      </c>
      <c r="F34" s="34"/>
    </row>
    <row r="35" spans="1:6" ht="53.25" customHeight="1" x14ac:dyDescent="0.15">
      <c r="A35" s="15" t="s">
        <v>276</v>
      </c>
      <c r="B35" s="31">
        <v>46246</v>
      </c>
      <c r="C35" s="16">
        <v>18</v>
      </c>
      <c r="D35" s="33">
        <v>18</v>
      </c>
      <c r="E35" s="15" t="s">
        <v>278</v>
      </c>
      <c r="F35" s="34"/>
    </row>
    <row r="36" spans="1:6" ht="53.25" customHeight="1" x14ac:dyDescent="0.15">
      <c r="A36" s="15" t="s">
        <v>305</v>
      </c>
      <c r="B36" s="31">
        <v>46247</v>
      </c>
      <c r="C36" s="30">
        <v>7</v>
      </c>
      <c r="D36" s="32">
        <v>7</v>
      </c>
      <c r="E36" s="15" t="s">
        <v>321</v>
      </c>
      <c r="F36" s="34"/>
    </row>
    <row r="37" spans="1:6" ht="66.75" customHeight="1" x14ac:dyDescent="0.15">
      <c r="A37" s="15" t="s">
        <v>306</v>
      </c>
      <c r="B37" s="31">
        <v>46247</v>
      </c>
      <c r="C37" s="30">
        <v>20</v>
      </c>
      <c r="D37" s="32">
        <v>20</v>
      </c>
      <c r="E37" s="15" t="s">
        <v>324</v>
      </c>
      <c r="F37" s="34"/>
    </row>
    <row r="38" spans="1:6" ht="53.25" customHeight="1" x14ac:dyDescent="0.15">
      <c r="A38" s="15" t="s">
        <v>307</v>
      </c>
      <c r="B38" s="31">
        <v>46247</v>
      </c>
      <c r="C38" s="30">
        <v>1</v>
      </c>
      <c r="D38" s="32">
        <v>1</v>
      </c>
      <c r="E38" s="15" t="s">
        <v>326</v>
      </c>
      <c r="F38" s="34"/>
    </row>
    <row r="39" spans="1:6" ht="53.25" customHeight="1" x14ac:dyDescent="0.15">
      <c r="A39" s="15" t="s">
        <v>313</v>
      </c>
      <c r="B39" s="31">
        <v>46247</v>
      </c>
      <c r="C39" s="30">
        <v>9</v>
      </c>
      <c r="D39" s="32">
        <v>9</v>
      </c>
      <c r="E39" s="15" t="s">
        <v>332</v>
      </c>
      <c r="F39" s="34"/>
    </row>
    <row r="40" spans="1:6" ht="53.25" customHeight="1" x14ac:dyDescent="0.15">
      <c r="A40" s="15" t="s">
        <v>328</v>
      </c>
      <c r="B40" s="31">
        <v>46247</v>
      </c>
      <c r="C40" s="30">
        <v>3</v>
      </c>
      <c r="D40" s="32">
        <v>3</v>
      </c>
      <c r="E40" s="15" t="s">
        <v>338</v>
      </c>
      <c r="F40" s="34"/>
    </row>
    <row r="41" spans="1:6" ht="53.25" customHeight="1" x14ac:dyDescent="0.15">
      <c r="A41" s="54" t="s">
        <v>358</v>
      </c>
      <c r="B41" s="31">
        <v>46248</v>
      </c>
      <c r="C41" s="30">
        <v>1</v>
      </c>
      <c r="D41" s="32">
        <v>1</v>
      </c>
      <c r="E41" s="15" t="s">
        <v>368</v>
      </c>
      <c r="F41" s="34"/>
    </row>
    <row r="42" spans="1:6" ht="53.25" customHeight="1" x14ac:dyDescent="0.15">
      <c r="A42" s="15" t="s">
        <v>360</v>
      </c>
      <c r="B42" s="31">
        <v>46248</v>
      </c>
      <c r="C42" s="30">
        <v>39</v>
      </c>
      <c r="D42" s="32">
        <v>39</v>
      </c>
      <c r="E42" s="15" t="s">
        <v>361</v>
      </c>
      <c r="F42" s="34"/>
    </row>
    <row r="43" spans="1:6" ht="53.25" customHeight="1" x14ac:dyDescent="0.15">
      <c r="A43" s="27" t="s">
        <v>382</v>
      </c>
      <c r="B43" s="31">
        <v>46251</v>
      </c>
      <c r="C43" s="30">
        <v>9</v>
      </c>
      <c r="D43" s="32">
        <v>9</v>
      </c>
      <c r="E43" s="27" t="s">
        <v>383</v>
      </c>
      <c r="F43" s="34"/>
    </row>
    <row r="44" spans="1:6" ht="53.25" customHeight="1" x14ac:dyDescent="0.15">
      <c r="A44" s="27" t="s">
        <v>379</v>
      </c>
      <c r="B44" s="31">
        <v>46251</v>
      </c>
      <c r="C44" s="30">
        <v>7</v>
      </c>
      <c r="D44" s="32">
        <v>7</v>
      </c>
      <c r="E44" s="27" t="s">
        <v>384</v>
      </c>
      <c r="F44" s="34"/>
    </row>
    <row r="45" spans="1:6" ht="53.25" customHeight="1" x14ac:dyDescent="0.15">
      <c r="A45" s="27" t="s">
        <v>380</v>
      </c>
      <c r="B45" s="31">
        <v>46251</v>
      </c>
      <c r="C45" s="30">
        <v>4</v>
      </c>
      <c r="D45" s="32">
        <v>4</v>
      </c>
      <c r="E45" s="27" t="s">
        <v>386</v>
      </c>
      <c r="F45" s="34"/>
    </row>
    <row r="46" spans="1:6" ht="53.25" customHeight="1" x14ac:dyDescent="0.15">
      <c r="A46" s="27" t="s">
        <v>389</v>
      </c>
      <c r="B46" s="31">
        <v>46251</v>
      </c>
      <c r="C46" s="30">
        <v>2</v>
      </c>
      <c r="D46" s="32">
        <v>2</v>
      </c>
      <c r="E46" s="27" t="s">
        <v>391</v>
      </c>
      <c r="F46" s="34"/>
    </row>
    <row r="47" spans="1:6" ht="60.6" customHeight="1" x14ac:dyDescent="0.15">
      <c r="A47" s="15" t="s">
        <v>393</v>
      </c>
      <c r="B47" s="31">
        <v>46251</v>
      </c>
      <c r="C47" s="30">
        <v>3</v>
      </c>
      <c r="D47" s="32">
        <v>3</v>
      </c>
      <c r="E47" s="15" t="s">
        <v>394</v>
      </c>
      <c r="F47" s="34"/>
    </row>
    <row r="48" spans="1:6" ht="53.25" customHeight="1" x14ac:dyDescent="0.15">
      <c r="A48" s="27" t="s">
        <v>398</v>
      </c>
      <c r="B48" s="31">
        <v>46252</v>
      </c>
      <c r="C48" s="30">
        <v>7</v>
      </c>
      <c r="D48" s="32">
        <v>7</v>
      </c>
      <c r="E48" s="15" t="s">
        <v>404</v>
      </c>
      <c r="F48" s="34"/>
    </row>
    <row r="49" spans="1:6" ht="53.25" customHeight="1" x14ac:dyDescent="0.15">
      <c r="A49" s="27" t="s">
        <v>399</v>
      </c>
      <c r="B49" s="31">
        <v>46252</v>
      </c>
      <c r="C49" s="30">
        <v>21</v>
      </c>
      <c r="D49" s="32">
        <v>21</v>
      </c>
      <c r="E49" s="15" t="s">
        <v>403</v>
      </c>
      <c r="F49" s="34"/>
    </row>
    <row r="50" spans="1:6" ht="66.75" customHeight="1" x14ac:dyDescent="0.15">
      <c r="A50" s="27" t="s">
        <v>433</v>
      </c>
      <c r="B50" s="31">
        <v>46253</v>
      </c>
      <c r="C50" s="30">
        <v>12</v>
      </c>
      <c r="D50" s="32">
        <v>12</v>
      </c>
      <c r="E50" s="15" t="s">
        <v>442</v>
      </c>
      <c r="F50" s="34"/>
    </row>
    <row r="51" spans="1:6" ht="53.25" customHeight="1" x14ac:dyDescent="0.15">
      <c r="A51" s="27" t="s">
        <v>434</v>
      </c>
      <c r="B51" s="31">
        <v>46253</v>
      </c>
      <c r="C51" s="30">
        <v>6</v>
      </c>
      <c r="D51" s="32">
        <v>6</v>
      </c>
      <c r="E51" s="15" t="s">
        <v>447</v>
      </c>
      <c r="F51" s="34"/>
    </row>
    <row r="52" spans="1:6" ht="53.25" customHeight="1" x14ac:dyDescent="0.15">
      <c r="A52" s="27" t="s">
        <v>459</v>
      </c>
      <c r="B52" s="31">
        <v>46254</v>
      </c>
      <c r="C52" s="30">
        <v>1</v>
      </c>
      <c r="D52" s="32">
        <v>1</v>
      </c>
      <c r="E52" s="15" t="s">
        <v>470</v>
      </c>
      <c r="F52" s="34"/>
    </row>
    <row r="53" spans="1:6" ht="53.25" customHeight="1" x14ac:dyDescent="0.15">
      <c r="A53" s="27" t="s">
        <v>456</v>
      </c>
      <c r="B53" s="31">
        <v>46254</v>
      </c>
      <c r="C53" s="30">
        <v>7</v>
      </c>
      <c r="D53" s="32">
        <v>7</v>
      </c>
      <c r="E53" s="15" t="s">
        <v>469</v>
      </c>
      <c r="F53" s="34"/>
    </row>
    <row r="54" spans="1:6" ht="53.25" customHeight="1" x14ac:dyDescent="0.15">
      <c r="A54" s="27" t="s">
        <v>457</v>
      </c>
      <c r="B54" s="31">
        <v>46254</v>
      </c>
      <c r="C54" s="30">
        <v>19</v>
      </c>
      <c r="D54" s="32">
        <v>19</v>
      </c>
      <c r="E54" s="15" t="s">
        <v>465</v>
      </c>
      <c r="F54" s="34"/>
    </row>
    <row r="55" spans="1:6" ht="53.25" customHeight="1" x14ac:dyDescent="0.15">
      <c r="A55" s="15" t="s">
        <v>473</v>
      </c>
      <c r="B55" s="31">
        <v>46254</v>
      </c>
      <c r="C55" s="30">
        <v>1</v>
      </c>
      <c r="D55" s="32">
        <v>1</v>
      </c>
      <c r="E55" s="15" t="s">
        <v>474</v>
      </c>
      <c r="F55" s="34"/>
    </row>
    <row r="56" spans="1:6" ht="53.25" customHeight="1" x14ac:dyDescent="0.15">
      <c r="A56" s="27" t="s">
        <v>497</v>
      </c>
      <c r="B56" s="31">
        <v>46255</v>
      </c>
      <c r="C56" s="30">
        <v>7</v>
      </c>
      <c r="D56" s="32">
        <v>7</v>
      </c>
      <c r="E56" s="15" t="s">
        <v>499</v>
      </c>
      <c r="F56" s="34"/>
    </row>
    <row r="57" spans="1:6" ht="53.25" customHeight="1" x14ac:dyDescent="0.15">
      <c r="A57" s="27" t="s">
        <v>491</v>
      </c>
      <c r="B57" s="31">
        <v>46255</v>
      </c>
      <c r="C57" s="30">
        <v>17</v>
      </c>
      <c r="D57" s="32">
        <v>17</v>
      </c>
      <c r="E57" s="15" t="s">
        <v>501</v>
      </c>
      <c r="F57" s="34"/>
    </row>
    <row r="58" spans="1:6" ht="53.25" customHeight="1" x14ac:dyDescent="0.15">
      <c r="A58" s="15" t="s">
        <v>492</v>
      </c>
      <c r="B58" s="31">
        <v>46255</v>
      </c>
      <c r="C58" s="30">
        <v>1</v>
      </c>
      <c r="D58" s="32">
        <v>1</v>
      </c>
      <c r="E58" s="15" t="s">
        <v>496</v>
      </c>
      <c r="F58" s="34"/>
    </row>
    <row r="59" spans="1:6" ht="53.25" customHeight="1" x14ac:dyDescent="0.15">
      <c r="A59" s="27" t="s">
        <v>493</v>
      </c>
      <c r="B59" s="31">
        <v>46255</v>
      </c>
      <c r="C59" s="30">
        <v>30</v>
      </c>
      <c r="D59" s="32">
        <v>30</v>
      </c>
      <c r="E59" s="15" t="s">
        <v>503</v>
      </c>
      <c r="F59" s="34"/>
    </row>
    <row r="60" spans="1:6" ht="53.25" customHeight="1" x14ac:dyDescent="0.15">
      <c r="A60" s="15" t="s">
        <v>506</v>
      </c>
      <c r="B60" s="31">
        <v>46255</v>
      </c>
      <c r="C60" s="30">
        <v>4</v>
      </c>
      <c r="D60" s="32">
        <v>4</v>
      </c>
      <c r="E60" s="15" t="s">
        <v>507</v>
      </c>
      <c r="F60" s="34"/>
    </row>
    <row r="61" spans="1:6" ht="66.75" customHeight="1" x14ac:dyDescent="0.15">
      <c r="A61" s="15" t="s">
        <v>325</v>
      </c>
      <c r="B61" s="31">
        <v>46247</v>
      </c>
      <c r="C61" s="30">
        <v>4</v>
      </c>
      <c r="D61" s="30">
        <v>0</v>
      </c>
      <c r="E61" s="15" t="s">
        <v>327</v>
      </c>
      <c r="F61" s="34" t="s">
        <v>523</v>
      </c>
    </row>
    <row r="62" spans="1:6" ht="71.25" customHeight="1" x14ac:dyDescent="0.15">
      <c r="A62" s="15" t="s">
        <v>310</v>
      </c>
      <c r="B62" s="31">
        <v>46247</v>
      </c>
      <c r="C62" s="30">
        <v>8</v>
      </c>
      <c r="D62" s="30">
        <v>0</v>
      </c>
      <c r="E62" s="15" t="s">
        <v>331</v>
      </c>
      <c r="F62" s="34" t="s">
        <v>522</v>
      </c>
    </row>
    <row r="63" spans="1:6" ht="53.25" customHeight="1" x14ac:dyDescent="0.15">
      <c r="A63" s="27" t="s">
        <v>432</v>
      </c>
      <c r="B63" s="31">
        <v>46253</v>
      </c>
      <c r="C63" s="30">
        <v>14</v>
      </c>
      <c r="D63" s="30">
        <v>0</v>
      </c>
      <c r="E63" s="15" t="s">
        <v>441</v>
      </c>
      <c r="F63" s="34" t="s">
        <v>521</v>
      </c>
    </row>
    <row r="64" spans="1:6" ht="53.25" customHeight="1" x14ac:dyDescent="0.15">
      <c r="A64" s="27" t="s">
        <v>498</v>
      </c>
      <c r="B64" s="31">
        <v>46255</v>
      </c>
      <c r="C64" s="30">
        <v>13</v>
      </c>
      <c r="D64" s="30">
        <v>0</v>
      </c>
      <c r="E64" s="15" t="s">
        <v>500</v>
      </c>
      <c r="F64" s="34" t="s">
        <v>520</v>
      </c>
    </row>
    <row r="65" spans="1:6" ht="53.25" customHeight="1" x14ac:dyDescent="0.15">
      <c r="A65" s="15"/>
      <c r="B65" s="31"/>
      <c r="C65" s="16"/>
      <c r="D65" s="46"/>
      <c r="E65" s="15"/>
      <c r="F65" s="34"/>
    </row>
    <row r="66" spans="1:6" ht="53.25" customHeight="1" x14ac:dyDescent="0.15">
      <c r="A66" s="15"/>
      <c r="B66" s="31"/>
      <c r="C66" s="16"/>
      <c r="D66" s="32"/>
      <c r="E66" s="27"/>
      <c r="F66" s="34"/>
    </row>
    <row r="67" spans="1:6" ht="38.25" customHeight="1" x14ac:dyDescent="0.15">
      <c r="A67" s="22" t="s">
        <v>12</v>
      </c>
      <c r="B67" s="21"/>
      <c r="C67" s="21">
        <f>SUM(C27:C66)</f>
        <v>446</v>
      </c>
      <c r="D67" s="21">
        <f>SUM(D27:D66)</f>
        <v>407</v>
      </c>
      <c r="E67" s="38"/>
      <c r="F67" s="39"/>
    </row>
    <row r="68" spans="1:6" ht="30" customHeight="1" x14ac:dyDescent="0.15">
      <c r="D68" s="44"/>
    </row>
    <row r="69" spans="1:6" ht="30" customHeight="1" x14ac:dyDescent="0.15">
      <c r="D69" s="44"/>
    </row>
  </sheetData>
  <pageMargins left="0.7" right="0.7" top="0.75" bottom="0.75" header="0.3" footer="0.3"/>
  <pageSetup scale="3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0250-DA7C-4887-9350-42320AF34E62}">
  <sheetPr>
    <pageSetUpPr fitToPage="1"/>
  </sheetPr>
  <dimension ref="A1:I66"/>
  <sheetViews>
    <sheetView topLeftCell="A9" zoomScale="85" zoomScaleNormal="85" workbookViewId="0">
      <selection activeCell="F15" sqref="F15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46259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27" t="s">
        <v>544</v>
      </c>
      <c r="B6" s="46">
        <v>6</v>
      </c>
      <c r="C6" s="46">
        <v>0</v>
      </c>
      <c r="D6" s="30">
        <v>0</v>
      </c>
      <c r="E6" s="15" t="s">
        <v>555</v>
      </c>
      <c r="F6" s="27" t="s">
        <v>545</v>
      </c>
      <c r="G6" s="46">
        <v>1</v>
      </c>
      <c r="H6" s="46">
        <v>0</v>
      </c>
      <c r="I6" s="51" t="s">
        <v>569</v>
      </c>
    </row>
    <row r="7" spans="1:9" ht="63" customHeight="1" x14ac:dyDescent="0.15">
      <c r="A7" s="15" t="s">
        <v>549</v>
      </c>
      <c r="B7" s="16">
        <v>2</v>
      </c>
      <c r="C7" s="16">
        <v>0</v>
      </c>
      <c r="D7" s="30">
        <v>0</v>
      </c>
      <c r="E7" s="15" t="s">
        <v>561</v>
      </c>
      <c r="F7" s="27" t="s">
        <v>546</v>
      </c>
      <c r="G7" s="46">
        <v>6</v>
      </c>
      <c r="H7" s="46">
        <v>0</v>
      </c>
      <c r="I7" s="51" t="s">
        <v>553</v>
      </c>
    </row>
    <row r="8" spans="1:9" ht="86.25" customHeight="1" x14ac:dyDescent="0.15">
      <c r="A8" s="27" t="s">
        <v>559</v>
      </c>
      <c r="B8" s="46">
        <v>46</v>
      </c>
      <c r="C8" s="46">
        <v>0</v>
      </c>
      <c r="D8" s="30">
        <v>0</v>
      </c>
      <c r="E8" s="15" t="s">
        <v>568</v>
      </c>
      <c r="F8" s="27" t="s">
        <v>547</v>
      </c>
      <c r="G8" s="16">
        <v>1</v>
      </c>
      <c r="H8" s="46">
        <v>0</v>
      </c>
      <c r="I8" s="51" t="s">
        <v>556</v>
      </c>
    </row>
    <row r="9" spans="1:9" ht="62.25" customHeight="1" x14ac:dyDescent="0.15">
      <c r="A9" s="15" t="s">
        <v>564</v>
      </c>
      <c r="B9" s="16">
        <v>4</v>
      </c>
      <c r="C9" s="16">
        <v>0</v>
      </c>
      <c r="D9" s="32">
        <v>4</v>
      </c>
      <c r="E9" s="15" t="s">
        <v>565</v>
      </c>
      <c r="F9" s="15" t="s">
        <v>548</v>
      </c>
      <c r="G9" s="16">
        <v>1</v>
      </c>
      <c r="H9" s="16">
        <v>0</v>
      </c>
      <c r="I9" s="34" t="s">
        <v>554</v>
      </c>
    </row>
    <row r="10" spans="1:9" ht="62.25" customHeight="1" x14ac:dyDescent="0.15">
      <c r="A10" s="15" t="s">
        <v>549</v>
      </c>
      <c r="B10" s="16">
        <v>2</v>
      </c>
      <c r="C10" s="16">
        <v>0</v>
      </c>
      <c r="D10" s="32">
        <v>2</v>
      </c>
      <c r="E10" s="15" t="s">
        <v>571</v>
      </c>
      <c r="F10" s="15" t="s">
        <v>550</v>
      </c>
      <c r="G10" s="16">
        <v>10</v>
      </c>
      <c r="H10" s="16">
        <v>0</v>
      </c>
      <c r="I10" s="51" t="s">
        <v>557</v>
      </c>
    </row>
    <row r="11" spans="1:9" ht="62.25" customHeight="1" x14ac:dyDescent="0.15">
      <c r="A11" s="15"/>
      <c r="B11" s="16"/>
      <c r="C11" s="16"/>
      <c r="D11" s="30"/>
      <c r="E11" s="15"/>
      <c r="F11" s="15" t="s">
        <v>551</v>
      </c>
      <c r="G11" s="46">
        <v>7</v>
      </c>
      <c r="H11" s="46">
        <v>0</v>
      </c>
      <c r="I11" s="51" t="s">
        <v>570</v>
      </c>
    </row>
    <row r="12" spans="1:9" ht="62.25" customHeight="1" x14ac:dyDescent="0.15">
      <c r="A12" s="15"/>
      <c r="B12" s="16"/>
      <c r="C12" s="16"/>
      <c r="D12" s="30"/>
      <c r="E12" s="15"/>
      <c r="F12" s="15" t="s">
        <v>552</v>
      </c>
      <c r="G12" s="16">
        <v>1</v>
      </c>
      <c r="H12" s="16">
        <v>0</v>
      </c>
      <c r="I12" s="51" t="s">
        <v>558</v>
      </c>
    </row>
    <row r="13" spans="1:9" ht="62.25" customHeight="1" x14ac:dyDescent="0.15">
      <c r="A13" s="15"/>
      <c r="B13" s="16"/>
      <c r="C13" s="16"/>
      <c r="D13" s="30"/>
      <c r="E13" s="15"/>
      <c r="F13" s="15" t="s">
        <v>560</v>
      </c>
      <c r="G13" s="16">
        <v>1</v>
      </c>
      <c r="H13" s="16">
        <v>0</v>
      </c>
      <c r="I13" s="51" t="s">
        <v>563</v>
      </c>
    </row>
    <row r="14" spans="1:9" ht="62.25" customHeight="1" x14ac:dyDescent="0.15">
      <c r="A14" s="15"/>
      <c r="B14" s="16"/>
      <c r="C14" s="16"/>
      <c r="D14" s="30"/>
      <c r="E14" s="15"/>
      <c r="F14" s="15" t="s">
        <v>549</v>
      </c>
      <c r="G14" s="16">
        <v>2</v>
      </c>
      <c r="H14" s="16">
        <v>0</v>
      </c>
      <c r="I14" s="51" t="s">
        <v>562</v>
      </c>
    </row>
    <row r="15" spans="1:9" ht="105" x14ac:dyDescent="0.15">
      <c r="A15" s="15"/>
      <c r="B15" s="16"/>
      <c r="C15" s="16"/>
      <c r="D15" s="30"/>
      <c r="E15" s="27"/>
      <c r="F15" s="15" t="s">
        <v>559</v>
      </c>
      <c r="G15" s="46">
        <v>46</v>
      </c>
      <c r="H15" s="16">
        <v>0</v>
      </c>
      <c r="I15" s="51" t="s">
        <v>567</v>
      </c>
    </row>
    <row r="16" spans="1:9" ht="62.25" customHeight="1" x14ac:dyDescent="0.15">
      <c r="A16" s="15"/>
      <c r="B16" s="16"/>
      <c r="C16" s="16"/>
      <c r="D16" s="17"/>
      <c r="E16" s="15"/>
      <c r="F16" s="15"/>
      <c r="G16" s="16"/>
      <c r="H16" s="16"/>
      <c r="I16" s="27"/>
    </row>
    <row r="17" spans="1:9" ht="53.25" customHeight="1" x14ac:dyDescent="0.15">
      <c r="A17" s="15"/>
      <c r="B17" s="16"/>
      <c r="C17" s="16"/>
      <c r="D17" s="16"/>
      <c r="E17" s="15"/>
      <c r="F17" s="15"/>
      <c r="G17" s="16"/>
      <c r="H17" s="16"/>
      <c r="I17" s="15"/>
    </row>
    <row r="18" spans="1:9" ht="30" customHeight="1" x14ac:dyDescent="0.15">
      <c r="A18" s="28" t="s">
        <v>12</v>
      </c>
      <c r="B18" s="29">
        <f>SUM(B6:B17)</f>
        <v>60</v>
      </c>
      <c r="C18" s="29">
        <f>SUM(C6:C17)</f>
        <v>0</v>
      </c>
      <c r="D18" s="29">
        <f>SUM(D6:D17)</f>
        <v>6</v>
      </c>
      <c r="E18" s="29"/>
      <c r="F18" s="29"/>
      <c r="G18" s="29">
        <f>SUM(G6:G17)</f>
        <v>76</v>
      </c>
      <c r="H18" s="29">
        <f>SUM(H6:H17)</f>
        <v>0</v>
      </c>
      <c r="I18" s="29"/>
    </row>
    <row r="21" spans="1:9" ht="30" customHeight="1" x14ac:dyDescent="0.15">
      <c r="A21" s="43" t="s">
        <v>13</v>
      </c>
      <c r="B21" s="43"/>
      <c r="C21" s="43"/>
      <c r="D21" s="43"/>
      <c r="E21" s="43"/>
      <c r="F21" s="43"/>
    </row>
    <row r="22" spans="1:9" ht="30" customHeight="1" x14ac:dyDescent="0.15">
      <c r="A22" s="20" t="s">
        <v>7</v>
      </c>
      <c r="B22" s="18" t="s">
        <v>1</v>
      </c>
      <c r="C22" s="18" t="s">
        <v>11</v>
      </c>
      <c r="D22" s="19" t="s">
        <v>10</v>
      </c>
      <c r="E22" s="19" t="s">
        <v>6</v>
      </c>
      <c r="F22" s="35"/>
    </row>
    <row r="23" spans="1:9" ht="53.25" customHeight="1" x14ac:dyDescent="0.15">
      <c r="A23" s="15" t="s">
        <v>14</v>
      </c>
      <c r="B23" s="31">
        <v>46199</v>
      </c>
      <c r="C23" s="16">
        <v>2</v>
      </c>
      <c r="D23" s="33">
        <v>2</v>
      </c>
      <c r="E23" s="27" t="s">
        <v>15</v>
      </c>
      <c r="F23" s="45" t="s">
        <v>20</v>
      </c>
    </row>
    <row r="24" spans="1:9" ht="53.25" customHeight="1" x14ac:dyDescent="0.15">
      <c r="A24" s="15" t="s">
        <v>17</v>
      </c>
      <c r="B24" s="31">
        <v>46203</v>
      </c>
      <c r="C24" s="16">
        <v>34</v>
      </c>
      <c r="D24" s="33">
        <v>34</v>
      </c>
      <c r="E24" s="37" t="s">
        <v>16</v>
      </c>
      <c r="F24" s="45" t="s">
        <v>22</v>
      </c>
    </row>
    <row r="25" spans="1:9" ht="53.25" customHeight="1" x14ac:dyDescent="0.15">
      <c r="A25" s="15" t="s">
        <v>26</v>
      </c>
      <c r="B25" s="31">
        <v>46216</v>
      </c>
      <c r="C25" s="16">
        <v>6</v>
      </c>
      <c r="D25" s="32">
        <v>6</v>
      </c>
      <c r="E25" s="27" t="s">
        <v>28</v>
      </c>
      <c r="F25" s="45" t="s">
        <v>29</v>
      </c>
    </row>
    <row r="26" spans="1:9" ht="53.25" customHeight="1" x14ac:dyDescent="0.15">
      <c r="A26" s="49" t="s">
        <v>30</v>
      </c>
      <c r="B26" s="31">
        <v>46224</v>
      </c>
      <c r="C26" s="16">
        <v>1</v>
      </c>
      <c r="D26" s="33">
        <v>1</v>
      </c>
      <c r="E26" s="27" t="s">
        <v>31</v>
      </c>
      <c r="F26" s="34"/>
    </row>
    <row r="27" spans="1:9" ht="53.25" customHeight="1" x14ac:dyDescent="0.15">
      <c r="A27" s="15" t="s">
        <v>32</v>
      </c>
      <c r="B27" s="31">
        <v>46226</v>
      </c>
      <c r="C27" s="16">
        <v>20</v>
      </c>
      <c r="D27" s="33">
        <v>20</v>
      </c>
      <c r="E27" s="27" t="s">
        <v>33</v>
      </c>
      <c r="F27" s="34"/>
    </row>
    <row r="28" spans="1:9" ht="53.25" customHeight="1" x14ac:dyDescent="0.15">
      <c r="A28" s="15" t="s">
        <v>34</v>
      </c>
      <c r="B28" s="31">
        <v>46227</v>
      </c>
      <c r="C28" s="30">
        <v>28</v>
      </c>
      <c r="D28" s="32">
        <v>28</v>
      </c>
      <c r="E28" s="27" t="s">
        <v>35</v>
      </c>
      <c r="F28" s="34"/>
    </row>
    <row r="29" spans="1:9" ht="53.25" customHeight="1" x14ac:dyDescent="0.15">
      <c r="A29" s="15" t="s">
        <v>63</v>
      </c>
      <c r="B29" s="31">
        <v>46237</v>
      </c>
      <c r="C29" s="30">
        <v>13</v>
      </c>
      <c r="D29" s="32">
        <v>13</v>
      </c>
      <c r="E29" s="15" t="s">
        <v>75</v>
      </c>
      <c r="F29" s="34"/>
    </row>
    <row r="30" spans="1:9" ht="53.25" customHeight="1" x14ac:dyDescent="0.15">
      <c r="A30" s="15" t="s">
        <v>191</v>
      </c>
      <c r="B30" s="31">
        <v>46244</v>
      </c>
      <c r="C30" s="16">
        <v>47</v>
      </c>
      <c r="D30" s="33">
        <v>47</v>
      </c>
      <c r="E30" s="15" t="s">
        <v>195</v>
      </c>
      <c r="F30" s="34"/>
    </row>
    <row r="31" spans="1:9" ht="53.25" customHeight="1" x14ac:dyDescent="0.15">
      <c r="A31" s="15" t="s">
        <v>276</v>
      </c>
      <c r="B31" s="31">
        <v>46246</v>
      </c>
      <c r="C31" s="16">
        <v>18</v>
      </c>
      <c r="D31" s="33">
        <v>18</v>
      </c>
      <c r="E31" s="15" t="s">
        <v>278</v>
      </c>
      <c r="F31" s="34"/>
    </row>
    <row r="32" spans="1:9" ht="53.25" customHeight="1" x14ac:dyDescent="0.15">
      <c r="A32" s="15" t="s">
        <v>305</v>
      </c>
      <c r="B32" s="31">
        <v>46247</v>
      </c>
      <c r="C32" s="30">
        <v>7</v>
      </c>
      <c r="D32" s="32">
        <v>7</v>
      </c>
      <c r="E32" s="15" t="s">
        <v>321</v>
      </c>
      <c r="F32" s="34"/>
    </row>
    <row r="33" spans="1:6" ht="66.75" customHeight="1" x14ac:dyDescent="0.15">
      <c r="A33" s="15" t="s">
        <v>306</v>
      </c>
      <c r="B33" s="31">
        <v>46247</v>
      </c>
      <c r="C33" s="30">
        <v>20</v>
      </c>
      <c r="D33" s="32">
        <v>20</v>
      </c>
      <c r="E33" s="15" t="s">
        <v>324</v>
      </c>
      <c r="F33" s="34"/>
    </row>
    <row r="34" spans="1:6" ht="53.25" customHeight="1" x14ac:dyDescent="0.15">
      <c r="A34" s="15" t="s">
        <v>307</v>
      </c>
      <c r="B34" s="31">
        <v>46247</v>
      </c>
      <c r="C34" s="30">
        <v>1</v>
      </c>
      <c r="D34" s="32">
        <v>1</v>
      </c>
      <c r="E34" s="15" t="s">
        <v>326</v>
      </c>
      <c r="F34" s="34"/>
    </row>
    <row r="35" spans="1:6" ht="53.25" customHeight="1" x14ac:dyDescent="0.15">
      <c r="A35" s="15" t="s">
        <v>313</v>
      </c>
      <c r="B35" s="31">
        <v>46247</v>
      </c>
      <c r="C35" s="30">
        <v>9</v>
      </c>
      <c r="D35" s="32">
        <v>9</v>
      </c>
      <c r="E35" s="15" t="s">
        <v>332</v>
      </c>
      <c r="F35" s="34"/>
    </row>
    <row r="36" spans="1:6" ht="53.25" customHeight="1" x14ac:dyDescent="0.15">
      <c r="A36" s="15" t="s">
        <v>328</v>
      </c>
      <c r="B36" s="31">
        <v>46247</v>
      </c>
      <c r="C36" s="30">
        <v>3</v>
      </c>
      <c r="D36" s="32">
        <v>3</v>
      </c>
      <c r="E36" s="15" t="s">
        <v>338</v>
      </c>
      <c r="F36" s="34"/>
    </row>
    <row r="37" spans="1:6" ht="53.25" customHeight="1" x14ac:dyDescent="0.15">
      <c r="A37" s="54" t="s">
        <v>358</v>
      </c>
      <c r="B37" s="31">
        <v>46248</v>
      </c>
      <c r="C37" s="30">
        <v>1</v>
      </c>
      <c r="D37" s="32">
        <v>1</v>
      </c>
      <c r="E37" s="15" t="s">
        <v>368</v>
      </c>
      <c r="F37" s="34"/>
    </row>
    <row r="38" spans="1:6" ht="53.25" customHeight="1" x14ac:dyDescent="0.15">
      <c r="A38" s="15" t="s">
        <v>360</v>
      </c>
      <c r="B38" s="31">
        <v>46248</v>
      </c>
      <c r="C38" s="30">
        <v>39</v>
      </c>
      <c r="D38" s="32">
        <v>39</v>
      </c>
      <c r="E38" s="15" t="s">
        <v>361</v>
      </c>
      <c r="F38" s="34"/>
    </row>
    <row r="39" spans="1:6" ht="53.25" customHeight="1" x14ac:dyDescent="0.15">
      <c r="A39" s="27" t="s">
        <v>382</v>
      </c>
      <c r="B39" s="31">
        <v>46251</v>
      </c>
      <c r="C39" s="30">
        <v>9</v>
      </c>
      <c r="D39" s="32">
        <v>9</v>
      </c>
      <c r="E39" s="27" t="s">
        <v>383</v>
      </c>
      <c r="F39" s="34"/>
    </row>
    <row r="40" spans="1:6" ht="53.25" customHeight="1" x14ac:dyDescent="0.15">
      <c r="A40" s="27" t="s">
        <v>379</v>
      </c>
      <c r="B40" s="31">
        <v>46251</v>
      </c>
      <c r="C40" s="30">
        <v>7</v>
      </c>
      <c r="D40" s="32">
        <v>7</v>
      </c>
      <c r="E40" s="27" t="s">
        <v>384</v>
      </c>
      <c r="F40" s="34"/>
    </row>
    <row r="41" spans="1:6" ht="53.25" customHeight="1" x14ac:dyDescent="0.15">
      <c r="A41" s="27" t="s">
        <v>380</v>
      </c>
      <c r="B41" s="31">
        <v>46251</v>
      </c>
      <c r="C41" s="30">
        <v>4</v>
      </c>
      <c r="D41" s="32">
        <v>4</v>
      </c>
      <c r="E41" s="27" t="s">
        <v>386</v>
      </c>
      <c r="F41" s="34"/>
    </row>
    <row r="42" spans="1:6" ht="53.25" customHeight="1" x14ac:dyDescent="0.15">
      <c r="A42" s="27" t="s">
        <v>389</v>
      </c>
      <c r="B42" s="31">
        <v>46251</v>
      </c>
      <c r="C42" s="30">
        <v>2</v>
      </c>
      <c r="D42" s="32">
        <v>2</v>
      </c>
      <c r="E42" s="27" t="s">
        <v>391</v>
      </c>
      <c r="F42" s="34"/>
    </row>
    <row r="43" spans="1:6" ht="60.6" customHeight="1" x14ac:dyDescent="0.15">
      <c r="A43" s="15" t="s">
        <v>393</v>
      </c>
      <c r="B43" s="31">
        <v>46251</v>
      </c>
      <c r="C43" s="30">
        <v>3</v>
      </c>
      <c r="D43" s="32">
        <v>3</v>
      </c>
      <c r="E43" s="15" t="s">
        <v>394</v>
      </c>
      <c r="F43" s="34"/>
    </row>
    <row r="44" spans="1:6" ht="53.25" customHeight="1" x14ac:dyDescent="0.15">
      <c r="A44" s="27" t="s">
        <v>398</v>
      </c>
      <c r="B44" s="31">
        <v>46252</v>
      </c>
      <c r="C44" s="30">
        <v>7</v>
      </c>
      <c r="D44" s="32">
        <v>7</v>
      </c>
      <c r="E44" s="15" t="s">
        <v>404</v>
      </c>
      <c r="F44" s="34"/>
    </row>
    <row r="45" spans="1:6" ht="53.25" customHeight="1" x14ac:dyDescent="0.15">
      <c r="A45" s="27" t="s">
        <v>399</v>
      </c>
      <c r="B45" s="31">
        <v>46252</v>
      </c>
      <c r="C45" s="30">
        <v>21</v>
      </c>
      <c r="D45" s="32">
        <v>21</v>
      </c>
      <c r="E45" s="15" t="s">
        <v>403</v>
      </c>
      <c r="F45" s="34"/>
    </row>
    <row r="46" spans="1:6" ht="66.75" customHeight="1" x14ac:dyDescent="0.15">
      <c r="A46" s="27" t="s">
        <v>433</v>
      </c>
      <c r="B46" s="31">
        <v>46253</v>
      </c>
      <c r="C46" s="30">
        <v>12</v>
      </c>
      <c r="D46" s="32">
        <v>12</v>
      </c>
      <c r="E46" s="15" t="s">
        <v>442</v>
      </c>
      <c r="F46" s="34"/>
    </row>
    <row r="47" spans="1:6" ht="53.25" customHeight="1" x14ac:dyDescent="0.15">
      <c r="A47" s="27" t="s">
        <v>434</v>
      </c>
      <c r="B47" s="31">
        <v>46253</v>
      </c>
      <c r="C47" s="30">
        <v>6</v>
      </c>
      <c r="D47" s="32">
        <v>6</v>
      </c>
      <c r="E47" s="15" t="s">
        <v>447</v>
      </c>
      <c r="F47" s="34"/>
    </row>
    <row r="48" spans="1:6" ht="53.25" customHeight="1" x14ac:dyDescent="0.15">
      <c r="A48" s="27" t="s">
        <v>459</v>
      </c>
      <c r="B48" s="31">
        <v>46254</v>
      </c>
      <c r="C48" s="30">
        <v>1</v>
      </c>
      <c r="D48" s="32">
        <v>1</v>
      </c>
      <c r="E48" s="15" t="s">
        <v>470</v>
      </c>
      <c r="F48" s="34"/>
    </row>
    <row r="49" spans="1:6" ht="53.25" customHeight="1" x14ac:dyDescent="0.15">
      <c r="A49" s="27" t="s">
        <v>456</v>
      </c>
      <c r="B49" s="31">
        <v>46254</v>
      </c>
      <c r="C49" s="30">
        <v>7</v>
      </c>
      <c r="D49" s="32">
        <v>7</v>
      </c>
      <c r="E49" s="15" t="s">
        <v>469</v>
      </c>
      <c r="F49" s="34"/>
    </row>
    <row r="50" spans="1:6" ht="53.25" customHeight="1" x14ac:dyDescent="0.15">
      <c r="A50" s="27" t="s">
        <v>457</v>
      </c>
      <c r="B50" s="31">
        <v>46254</v>
      </c>
      <c r="C50" s="30">
        <v>19</v>
      </c>
      <c r="D50" s="32">
        <v>19</v>
      </c>
      <c r="E50" s="15" t="s">
        <v>465</v>
      </c>
      <c r="F50" s="34"/>
    </row>
    <row r="51" spans="1:6" ht="53.25" customHeight="1" x14ac:dyDescent="0.15">
      <c r="A51" s="15" t="s">
        <v>473</v>
      </c>
      <c r="B51" s="31">
        <v>46254</v>
      </c>
      <c r="C51" s="30">
        <v>1</v>
      </c>
      <c r="D51" s="32">
        <v>1</v>
      </c>
      <c r="E51" s="15" t="s">
        <v>474</v>
      </c>
      <c r="F51" s="34"/>
    </row>
    <row r="52" spans="1:6" ht="53.25" customHeight="1" x14ac:dyDescent="0.15">
      <c r="A52" s="27" t="s">
        <v>497</v>
      </c>
      <c r="B52" s="31">
        <v>46255</v>
      </c>
      <c r="C52" s="30">
        <v>7</v>
      </c>
      <c r="D52" s="32">
        <v>7</v>
      </c>
      <c r="E52" s="15" t="s">
        <v>499</v>
      </c>
      <c r="F52" s="34"/>
    </row>
    <row r="53" spans="1:6" ht="53.25" customHeight="1" x14ac:dyDescent="0.15">
      <c r="A53" s="27" t="s">
        <v>491</v>
      </c>
      <c r="B53" s="31">
        <v>46255</v>
      </c>
      <c r="C53" s="30">
        <v>17</v>
      </c>
      <c r="D53" s="32">
        <v>17</v>
      </c>
      <c r="E53" s="15" t="s">
        <v>501</v>
      </c>
      <c r="F53" s="34"/>
    </row>
    <row r="54" spans="1:6" ht="53.25" customHeight="1" x14ac:dyDescent="0.15">
      <c r="A54" s="54" t="s">
        <v>492</v>
      </c>
      <c r="B54" s="31">
        <v>46255</v>
      </c>
      <c r="C54" s="30">
        <v>1</v>
      </c>
      <c r="D54" s="32">
        <v>1</v>
      </c>
      <c r="E54" s="15" t="s">
        <v>496</v>
      </c>
      <c r="F54" s="34"/>
    </row>
    <row r="55" spans="1:6" ht="53.25" customHeight="1" x14ac:dyDescent="0.15">
      <c r="A55" s="27" t="s">
        <v>493</v>
      </c>
      <c r="B55" s="31">
        <v>46255</v>
      </c>
      <c r="C55" s="30">
        <v>30</v>
      </c>
      <c r="D55" s="32">
        <v>30</v>
      </c>
      <c r="E55" s="15" t="s">
        <v>503</v>
      </c>
      <c r="F55" s="34"/>
    </row>
    <row r="56" spans="1:6" ht="53.25" customHeight="1" x14ac:dyDescent="0.15">
      <c r="A56" s="15" t="s">
        <v>506</v>
      </c>
      <c r="B56" s="31">
        <v>46255</v>
      </c>
      <c r="C56" s="30">
        <v>4</v>
      </c>
      <c r="D56" s="32">
        <v>4</v>
      </c>
      <c r="E56" s="15" t="s">
        <v>507</v>
      </c>
      <c r="F56" s="34"/>
    </row>
    <row r="57" spans="1:6" ht="67.5" customHeight="1" x14ac:dyDescent="0.15">
      <c r="A57" s="27" t="s">
        <v>513</v>
      </c>
      <c r="B57" s="31">
        <v>46258</v>
      </c>
      <c r="C57" s="46">
        <v>3</v>
      </c>
      <c r="D57" s="46">
        <v>1</v>
      </c>
      <c r="E57" s="15" t="s">
        <v>566</v>
      </c>
      <c r="F57" s="34"/>
    </row>
    <row r="58" spans="1:6" ht="53.25" customHeight="1" x14ac:dyDescent="0.15">
      <c r="A58" s="15" t="s">
        <v>516</v>
      </c>
      <c r="B58" s="31">
        <v>46258</v>
      </c>
      <c r="C58" s="16">
        <v>3</v>
      </c>
      <c r="D58" s="33">
        <v>2</v>
      </c>
      <c r="E58" s="15" t="s">
        <v>542</v>
      </c>
      <c r="F58" s="34" t="s">
        <v>569</v>
      </c>
    </row>
    <row r="59" spans="1:6" ht="53.25" customHeight="1" x14ac:dyDescent="0.15">
      <c r="A59" s="27" t="s">
        <v>517</v>
      </c>
      <c r="B59" s="31">
        <v>46258</v>
      </c>
      <c r="C59" s="46">
        <v>7</v>
      </c>
      <c r="D59" s="33">
        <v>7</v>
      </c>
      <c r="E59" s="15" t="s">
        <v>535</v>
      </c>
      <c r="F59" s="34"/>
    </row>
    <row r="60" spans="1:6" ht="53.25" customHeight="1" x14ac:dyDescent="0.15">
      <c r="A60" s="15" t="s">
        <v>518</v>
      </c>
      <c r="B60" s="31">
        <v>46258</v>
      </c>
      <c r="C60" s="16">
        <v>4</v>
      </c>
      <c r="D60" s="33">
        <v>4</v>
      </c>
      <c r="E60" s="15" t="s">
        <v>536</v>
      </c>
      <c r="F60" s="34"/>
    </row>
    <row r="61" spans="1:6" ht="53.25" customHeight="1" x14ac:dyDescent="0.15">
      <c r="A61" s="15" t="s">
        <v>519</v>
      </c>
      <c r="B61" s="31">
        <v>46258</v>
      </c>
      <c r="C61" s="16">
        <v>45</v>
      </c>
      <c r="D61" s="33">
        <v>45</v>
      </c>
      <c r="E61" s="15" t="s">
        <v>526</v>
      </c>
      <c r="F61" s="34"/>
    </row>
    <row r="62" spans="1:6" ht="53.25" customHeight="1" x14ac:dyDescent="0.15">
      <c r="A62" s="15"/>
      <c r="B62" s="31"/>
      <c r="C62" s="16"/>
      <c r="D62" s="32"/>
      <c r="E62" s="27"/>
      <c r="F62" s="34"/>
    </row>
    <row r="63" spans="1:6" ht="38.25" customHeight="1" x14ac:dyDescent="0.15">
      <c r="A63" s="22" t="s">
        <v>12</v>
      </c>
      <c r="B63" s="21"/>
      <c r="C63" s="21">
        <f>SUM(C23:C62)</f>
        <v>469</v>
      </c>
      <c r="D63" s="21">
        <f>SUM(D23:D62)</f>
        <v>466</v>
      </c>
      <c r="E63" s="38"/>
      <c r="F63" s="39"/>
    </row>
    <row r="64" spans="1:6" ht="30" customHeight="1" x14ac:dyDescent="0.15">
      <c r="D64" s="44"/>
    </row>
    <row r="65" spans="4:4" ht="30" customHeight="1" x14ac:dyDescent="0.15">
      <c r="D65" s="44"/>
    </row>
    <row r="66" spans="4:4" ht="30" customHeight="1" x14ac:dyDescent="0.15">
      <c r="D66" s="3">
        <f>+D63+6</f>
        <v>472</v>
      </c>
    </row>
  </sheetData>
  <pageMargins left="0.7" right="0.7" top="0.75" bottom="0.75" header="0.3" footer="0.3"/>
  <pageSetup scale="3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EB22-D5E0-454A-8634-ED37752CB956}">
  <sheetPr>
    <pageSetUpPr fitToPage="1"/>
  </sheetPr>
  <dimension ref="A1:I72"/>
  <sheetViews>
    <sheetView zoomScale="85" zoomScaleNormal="85" workbookViewId="0">
      <selection activeCell="F7" sqref="F7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46260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27" t="s">
        <v>572</v>
      </c>
      <c r="B6" s="46">
        <v>2</v>
      </c>
      <c r="C6" s="46">
        <v>0</v>
      </c>
      <c r="D6" s="30">
        <v>0</v>
      </c>
      <c r="E6" s="15" t="s">
        <v>591</v>
      </c>
      <c r="F6" s="15" t="s">
        <v>577</v>
      </c>
      <c r="G6" s="16">
        <v>1</v>
      </c>
      <c r="H6" s="16">
        <v>0</v>
      </c>
      <c r="I6" s="51" t="s">
        <v>579</v>
      </c>
    </row>
    <row r="7" spans="1:9" ht="63" customHeight="1" x14ac:dyDescent="0.15">
      <c r="A7" s="15" t="s">
        <v>573</v>
      </c>
      <c r="B7" s="16">
        <v>7</v>
      </c>
      <c r="C7" s="16">
        <v>0</v>
      </c>
      <c r="D7" s="32">
        <v>7</v>
      </c>
      <c r="E7" s="15" t="s">
        <v>581</v>
      </c>
      <c r="F7" s="27" t="s">
        <v>580</v>
      </c>
      <c r="G7" s="46">
        <v>48</v>
      </c>
      <c r="H7" s="46">
        <v>0</v>
      </c>
      <c r="I7" s="51" t="s">
        <v>585</v>
      </c>
    </row>
    <row r="8" spans="1:9" ht="60.75" customHeight="1" x14ac:dyDescent="0.15">
      <c r="A8" s="27" t="s">
        <v>574</v>
      </c>
      <c r="B8" s="46">
        <v>21</v>
      </c>
      <c r="C8" s="46">
        <v>0</v>
      </c>
      <c r="D8" s="32">
        <v>21</v>
      </c>
      <c r="E8" s="15" t="s">
        <v>582</v>
      </c>
      <c r="F8" s="27" t="s">
        <v>587</v>
      </c>
      <c r="G8" s="16">
        <v>1</v>
      </c>
      <c r="H8" s="46">
        <v>0</v>
      </c>
      <c r="I8" s="51" t="s">
        <v>594</v>
      </c>
    </row>
    <row r="9" spans="1:9" ht="62.25" customHeight="1" x14ac:dyDescent="0.15">
      <c r="A9" s="15" t="s">
        <v>575</v>
      </c>
      <c r="B9" s="16">
        <v>2</v>
      </c>
      <c r="C9" s="16">
        <v>0</v>
      </c>
      <c r="D9" s="32">
        <v>2</v>
      </c>
      <c r="E9" s="15" t="s">
        <v>584</v>
      </c>
      <c r="F9" s="15" t="s">
        <v>572</v>
      </c>
      <c r="G9" s="16">
        <v>2</v>
      </c>
      <c r="H9" s="16">
        <v>0</v>
      </c>
      <c r="I9" s="34" t="s">
        <v>592</v>
      </c>
    </row>
    <row r="10" spans="1:9" ht="62.25" customHeight="1" x14ac:dyDescent="0.15">
      <c r="A10" s="15" t="s">
        <v>576</v>
      </c>
      <c r="B10" s="16">
        <v>6</v>
      </c>
      <c r="C10" s="16">
        <v>0</v>
      </c>
      <c r="D10" s="32">
        <v>6</v>
      </c>
      <c r="E10" s="15" t="s">
        <v>588</v>
      </c>
      <c r="F10" s="15" t="s">
        <v>593</v>
      </c>
      <c r="G10" s="16">
        <v>17</v>
      </c>
      <c r="H10" s="16">
        <v>0</v>
      </c>
      <c r="I10" s="51" t="s">
        <v>595</v>
      </c>
    </row>
    <row r="11" spans="1:9" ht="62.25" customHeight="1" x14ac:dyDescent="0.15">
      <c r="A11" s="15" t="s">
        <v>577</v>
      </c>
      <c r="B11" s="16">
        <v>6</v>
      </c>
      <c r="C11" s="16">
        <v>0</v>
      </c>
      <c r="D11" s="30">
        <v>0</v>
      </c>
      <c r="E11" s="15" t="s">
        <v>578</v>
      </c>
      <c r="F11" s="15" t="s">
        <v>596</v>
      </c>
      <c r="G11" s="46">
        <v>1</v>
      </c>
      <c r="H11" s="46">
        <v>0</v>
      </c>
      <c r="I11" s="51" t="s">
        <v>603</v>
      </c>
    </row>
    <row r="12" spans="1:9" ht="62.25" customHeight="1" x14ac:dyDescent="0.15">
      <c r="A12" s="15" t="s">
        <v>577</v>
      </c>
      <c r="B12" s="16">
        <v>1</v>
      </c>
      <c r="C12" s="16">
        <v>0</v>
      </c>
      <c r="D12" s="30">
        <v>0</v>
      </c>
      <c r="E12" s="15" t="s">
        <v>579</v>
      </c>
      <c r="F12" s="15" t="s">
        <v>597</v>
      </c>
      <c r="G12" s="46">
        <v>15</v>
      </c>
      <c r="H12" s="46">
        <v>0</v>
      </c>
      <c r="I12" s="51" t="s">
        <v>598</v>
      </c>
    </row>
    <row r="13" spans="1:9" ht="62.25" customHeight="1" x14ac:dyDescent="0.15">
      <c r="A13" s="15" t="s">
        <v>583</v>
      </c>
      <c r="B13" s="16">
        <v>1</v>
      </c>
      <c r="C13" s="16">
        <v>0</v>
      </c>
      <c r="D13" s="32">
        <v>1</v>
      </c>
      <c r="E13" s="15" t="s">
        <v>586</v>
      </c>
      <c r="F13" s="15" t="s">
        <v>599</v>
      </c>
      <c r="G13" s="16">
        <v>82</v>
      </c>
      <c r="H13" s="16">
        <v>0</v>
      </c>
      <c r="I13" s="51" t="s">
        <v>604</v>
      </c>
    </row>
    <row r="14" spans="1:9" ht="62.25" customHeight="1" x14ac:dyDescent="0.15">
      <c r="A14" s="15" t="s">
        <v>589</v>
      </c>
      <c r="B14" s="16">
        <v>6</v>
      </c>
      <c r="C14" s="16">
        <v>0</v>
      </c>
      <c r="D14" s="30">
        <v>0</v>
      </c>
      <c r="E14" s="15" t="s">
        <v>590</v>
      </c>
      <c r="F14" s="15" t="s">
        <v>600</v>
      </c>
      <c r="G14" s="16">
        <v>15</v>
      </c>
      <c r="H14" s="16">
        <v>0</v>
      </c>
      <c r="I14" s="51" t="s">
        <v>605</v>
      </c>
    </row>
    <row r="15" spans="1:9" ht="62.25" customHeight="1" x14ac:dyDescent="0.15">
      <c r="A15" s="15"/>
      <c r="B15" s="16"/>
      <c r="C15" s="16"/>
      <c r="D15" s="30"/>
      <c r="E15" s="15"/>
      <c r="F15" s="15" t="s">
        <v>601</v>
      </c>
      <c r="G15" s="16">
        <v>7</v>
      </c>
      <c r="H15" s="16">
        <v>0</v>
      </c>
      <c r="I15" s="51" t="s">
        <v>602</v>
      </c>
    </row>
    <row r="16" spans="1:9" ht="62.25" customHeight="1" x14ac:dyDescent="0.15">
      <c r="A16" s="15"/>
      <c r="B16" s="16"/>
      <c r="C16" s="16"/>
      <c r="D16" s="30"/>
      <c r="E16" s="15"/>
      <c r="F16" s="15"/>
      <c r="G16" s="16"/>
      <c r="H16" s="16"/>
      <c r="I16" s="51"/>
    </row>
    <row r="17" spans="1:9" ht="62.25" customHeight="1" x14ac:dyDescent="0.15">
      <c r="A17" s="15"/>
      <c r="B17" s="16"/>
      <c r="C17" s="16"/>
      <c r="D17" s="17"/>
      <c r="E17" s="15"/>
      <c r="F17" s="15"/>
      <c r="G17" s="16"/>
      <c r="H17" s="16"/>
      <c r="I17" s="27"/>
    </row>
    <row r="18" spans="1:9" ht="53.25" customHeight="1" x14ac:dyDescent="0.15">
      <c r="A18" s="15"/>
      <c r="B18" s="16"/>
      <c r="C18" s="16"/>
      <c r="D18" s="16"/>
      <c r="E18" s="15"/>
      <c r="F18" s="15"/>
      <c r="G18" s="16"/>
      <c r="H18" s="16"/>
      <c r="I18" s="15"/>
    </row>
    <row r="19" spans="1:9" ht="30" customHeight="1" x14ac:dyDescent="0.15">
      <c r="A19" s="28" t="s">
        <v>12</v>
      </c>
      <c r="B19" s="29">
        <f>SUM(B6:B18)</f>
        <v>52</v>
      </c>
      <c r="C19" s="29">
        <f>SUM(C6:C18)</f>
        <v>0</v>
      </c>
      <c r="D19" s="29">
        <f>SUM(D6:D18)</f>
        <v>37</v>
      </c>
      <c r="E19" s="29"/>
      <c r="F19" s="29"/>
      <c r="G19" s="29">
        <f>SUM(G6:G18)</f>
        <v>189</v>
      </c>
      <c r="H19" s="29">
        <f>SUM(H6:H18)</f>
        <v>0</v>
      </c>
      <c r="I19" s="29"/>
    </row>
    <row r="22" spans="1:9" ht="30" customHeight="1" x14ac:dyDescent="0.15">
      <c r="A22" s="43" t="s">
        <v>13</v>
      </c>
      <c r="B22" s="43"/>
      <c r="C22" s="43"/>
      <c r="D22" s="43"/>
      <c r="E22" s="43"/>
      <c r="F22" s="43"/>
    </row>
    <row r="23" spans="1:9" ht="30" customHeight="1" x14ac:dyDescent="0.15">
      <c r="A23" s="20" t="s">
        <v>7</v>
      </c>
      <c r="B23" s="18" t="s">
        <v>1</v>
      </c>
      <c r="C23" s="18" t="s">
        <v>11</v>
      </c>
      <c r="D23" s="19" t="s">
        <v>10</v>
      </c>
      <c r="E23" s="19" t="s">
        <v>6</v>
      </c>
      <c r="F23" s="35"/>
    </row>
    <row r="24" spans="1:9" ht="53.25" customHeight="1" x14ac:dyDescent="0.15">
      <c r="A24" s="15" t="s">
        <v>14</v>
      </c>
      <c r="B24" s="31">
        <v>46199</v>
      </c>
      <c r="C24" s="16">
        <v>2</v>
      </c>
      <c r="D24" s="33">
        <v>2</v>
      </c>
      <c r="E24" s="27" t="s">
        <v>15</v>
      </c>
      <c r="F24" s="45" t="s">
        <v>20</v>
      </c>
    </row>
    <row r="25" spans="1:9" ht="53.25" customHeight="1" x14ac:dyDescent="0.15">
      <c r="A25" s="15" t="s">
        <v>17</v>
      </c>
      <c r="B25" s="31">
        <v>46203</v>
      </c>
      <c r="C25" s="16">
        <v>34</v>
      </c>
      <c r="D25" s="33">
        <v>34</v>
      </c>
      <c r="E25" s="37" t="s">
        <v>16</v>
      </c>
      <c r="F25" s="45" t="s">
        <v>22</v>
      </c>
    </row>
    <row r="26" spans="1:9" ht="53.25" customHeight="1" x14ac:dyDescent="0.15">
      <c r="A26" s="15" t="s">
        <v>26</v>
      </c>
      <c r="B26" s="31">
        <v>46216</v>
      </c>
      <c r="C26" s="16">
        <v>6</v>
      </c>
      <c r="D26" s="32">
        <v>6</v>
      </c>
      <c r="E26" s="27" t="s">
        <v>28</v>
      </c>
      <c r="F26" s="45" t="s">
        <v>29</v>
      </c>
    </row>
    <row r="27" spans="1:9" ht="53.25" customHeight="1" x14ac:dyDescent="0.15">
      <c r="A27" s="49" t="s">
        <v>30</v>
      </c>
      <c r="B27" s="31">
        <v>46224</v>
      </c>
      <c r="C27" s="16">
        <v>1</v>
      </c>
      <c r="D27" s="33">
        <v>1</v>
      </c>
      <c r="E27" s="27" t="s">
        <v>31</v>
      </c>
      <c r="F27" s="34"/>
    </row>
    <row r="28" spans="1:9" ht="53.25" customHeight="1" x14ac:dyDescent="0.15">
      <c r="A28" s="15" t="s">
        <v>32</v>
      </c>
      <c r="B28" s="31">
        <v>46226</v>
      </c>
      <c r="C28" s="16">
        <v>20</v>
      </c>
      <c r="D28" s="33">
        <v>20</v>
      </c>
      <c r="E28" s="27" t="s">
        <v>33</v>
      </c>
      <c r="F28" s="34"/>
    </row>
    <row r="29" spans="1:9" ht="53.25" customHeight="1" x14ac:dyDescent="0.15">
      <c r="A29" s="15" t="s">
        <v>34</v>
      </c>
      <c r="B29" s="31">
        <v>46227</v>
      </c>
      <c r="C29" s="30">
        <v>28</v>
      </c>
      <c r="D29" s="32">
        <v>28</v>
      </c>
      <c r="E29" s="27" t="s">
        <v>35</v>
      </c>
      <c r="F29" s="34"/>
    </row>
    <row r="30" spans="1:9" ht="53.25" customHeight="1" x14ac:dyDescent="0.15">
      <c r="A30" s="15" t="s">
        <v>63</v>
      </c>
      <c r="B30" s="31">
        <v>46237</v>
      </c>
      <c r="C30" s="30">
        <v>13</v>
      </c>
      <c r="D30" s="32">
        <v>13</v>
      </c>
      <c r="E30" s="15" t="s">
        <v>75</v>
      </c>
      <c r="F30" s="34"/>
    </row>
    <row r="31" spans="1:9" ht="53.25" customHeight="1" x14ac:dyDescent="0.15">
      <c r="A31" s="15" t="s">
        <v>191</v>
      </c>
      <c r="B31" s="31">
        <v>46244</v>
      </c>
      <c r="C31" s="16">
        <v>47</v>
      </c>
      <c r="D31" s="33">
        <v>47</v>
      </c>
      <c r="E31" s="15" t="s">
        <v>195</v>
      </c>
      <c r="F31" s="34"/>
    </row>
    <row r="32" spans="1:9" ht="53.25" customHeight="1" x14ac:dyDescent="0.15">
      <c r="A32" s="15" t="s">
        <v>276</v>
      </c>
      <c r="B32" s="31">
        <v>46246</v>
      </c>
      <c r="C32" s="16">
        <v>18</v>
      </c>
      <c r="D32" s="33">
        <v>18</v>
      </c>
      <c r="E32" s="15" t="s">
        <v>278</v>
      </c>
      <c r="F32" s="34"/>
    </row>
    <row r="33" spans="1:6" ht="53.25" customHeight="1" x14ac:dyDescent="0.15">
      <c r="A33" s="15" t="s">
        <v>305</v>
      </c>
      <c r="B33" s="31">
        <v>46247</v>
      </c>
      <c r="C33" s="30">
        <v>7</v>
      </c>
      <c r="D33" s="32">
        <v>7</v>
      </c>
      <c r="E33" s="15" t="s">
        <v>321</v>
      </c>
      <c r="F33" s="34"/>
    </row>
    <row r="34" spans="1:6" ht="66.75" customHeight="1" x14ac:dyDescent="0.15">
      <c r="A34" s="15" t="s">
        <v>306</v>
      </c>
      <c r="B34" s="31">
        <v>46247</v>
      </c>
      <c r="C34" s="30">
        <v>20</v>
      </c>
      <c r="D34" s="32">
        <v>20</v>
      </c>
      <c r="E34" s="15" t="s">
        <v>324</v>
      </c>
      <c r="F34" s="34"/>
    </row>
    <row r="35" spans="1:6" ht="53.25" customHeight="1" x14ac:dyDescent="0.15">
      <c r="A35" s="15" t="s">
        <v>307</v>
      </c>
      <c r="B35" s="31">
        <v>46247</v>
      </c>
      <c r="C35" s="30">
        <v>1</v>
      </c>
      <c r="D35" s="32">
        <v>1</v>
      </c>
      <c r="E35" s="15" t="s">
        <v>326</v>
      </c>
      <c r="F35" s="34"/>
    </row>
    <row r="36" spans="1:6" ht="53.25" customHeight="1" x14ac:dyDescent="0.15">
      <c r="A36" s="15" t="s">
        <v>313</v>
      </c>
      <c r="B36" s="31">
        <v>46247</v>
      </c>
      <c r="C36" s="30">
        <v>9</v>
      </c>
      <c r="D36" s="32">
        <v>9</v>
      </c>
      <c r="E36" s="15" t="s">
        <v>332</v>
      </c>
      <c r="F36" s="34"/>
    </row>
    <row r="37" spans="1:6" ht="53.25" customHeight="1" x14ac:dyDescent="0.15">
      <c r="A37" s="15" t="s">
        <v>328</v>
      </c>
      <c r="B37" s="31">
        <v>46247</v>
      </c>
      <c r="C37" s="30">
        <v>3</v>
      </c>
      <c r="D37" s="32">
        <v>3</v>
      </c>
      <c r="E37" s="15" t="s">
        <v>338</v>
      </c>
      <c r="F37" s="34"/>
    </row>
    <row r="38" spans="1:6" ht="53.25" customHeight="1" x14ac:dyDescent="0.15">
      <c r="A38" s="54" t="s">
        <v>358</v>
      </c>
      <c r="B38" s="31">
        <v>46248</v>
      </c>
      <c r="C38" s="30">
        <v>1</v>
      </c>
      <c r="D38" s="32">
        <v>1</v>
      </c>
      <c r="E38" s="15" t="s">
        <v>368</v>
      </c>
      <c r="F38" s="34"/>
    </row>
    <row r="39" spans="1:6" ht="53.25" customHeight="1" x14ac:dyDescent="0.15">
      <c r="A39" s="15" t="s">
        <v>360</v>
      </c>
      <c r="B39" s="31">
        <v>46248</v>
      </c>
      <c r="C39" s="30">
        <v>39</v>
      </c>
      <c r="D39" s="32">
        <v>39</v>
      </c>
      <c r="E39" s="15" t="s">
        <v>361</v>
      </c>
      <c r="F39" s="34"/>
    </row>
    <row r="40" spans="1:6" ht="53.25" customHeight="1" x14ac:dyDescent="0.15">
      <c r="A40" s="27" t="s">
        <v>382</v>
      </c>
      <c r="B40" s="31">
        <v>46251</v>
      </c>
      <c r="C40" s="30">
        <v>9</v>
      </c>
      <c r="D40" s="32">
        <v>9</v>
      </c>
      <c r="E40" s="27" t="s">
        <v>383</v>
      </c>
      <c r="F40" s="34"/>
    </row>
    <row r="41" spans="1:6" ht="53.25" customHeight="1" x14ac:dyDescent="0.15">
      <c r="A41" s="27" t="s">
        <v>379</v>
      </c>
      <c r="B41" s="31">
        <v>46251</v>
      </c>
      <c r="C41" s="30">
        <v>7</v>
      </c>
      <c r="D41" s="32">
        <v>7</v>
      </c>
      <c r="E41" s="27" t="s">
        <v>384</v>
      </c>
      <c r="F41" s="34"/>
    </row>
    <row r="42" spans="1:6" ht="53.25" customHeight="1" x14ac:dyDescent="0.15">
      <c r="A42" s="27" t="s">
        <v>380</v>
      </c>
      <c r="B42" s="31">
        <v>46251</v>
      </c>
      <c r="C42" s="30">
        <v>4</v>
      </c>
      <c r="D42" s="32">
        <v>4</v>
      </c>
      <c r="E42" s="27" t="s">
        <v>386</v>
      </c>
      <c r="F42" s="34"/>
    </row>
    <row r="43" spans="1:6" ht="53.25" customHeight="1" x14ac:dyDescent="0.15">
      <c r="A43" s="27" t="s">
        <v>389</v>
      </c>
      <c r="B43" s="31">
        <v>46251</v>
      </c>
      <c r="C43" s="30">
        <v>2</v>
      </c>
      <c r="D43" s="32">
        <v>2</v>
      </c>
      <c r="E43" s="27" t="s">
        <v>391</v>
      </c>
      <c r="F43" s="34"/>
    </row>
    <row r="44" spans="1:6" ht="60.6" customHeight="1" x14ac:dyDescent="0.15">
      <c r="A44" s="15" t="s">
        <v>393</v>
      </c>
      <c r="B44" s="31">
        <v>46251</v>
      </c>
      <c r="C44" s="30">
        <v>3</v>
      </c>
      <c r="D44" s="32">
        <v>3</v>
      </c>
      <c r="E44" s="15" t="s">
        <v>394</v>
      </c>
      <c r="F44" s="34"/>
    </row>
    <row r="45" spans="1:6" ht="53.25" customHeight="1" x14ac:dyDescent="0.15">
      <c r="A45" s="27" t="s">
        <v>398</v>
      </c>
      <c r="B45" s="31">
        <v>46252</v>
      </c>
      <c r="C45" s="30">
        <v>7</v>
      </c>
      <c r="D45" s="32">
        <v>7</v>
      </c>
      <c r="E45" s="15" t="s">
        <v>404</v>
      </c>
      <c r="F45" s="34"/>
    </row>
    <row r="46" spans="1:6" ht="53.25" customHeight="1" x14ac:dyDescent="0.15">
      <c r="A46" s="27" t="s">
        <v>399</v>
      </c>
      <c r="B46" s="31">
        <v>46252</v>
      </c>
      <c r="C46" s="30">
        <v>21</v>
      </c>
      <c r="D46" s="32">
        <v>21</v>
      </c>
      <c r="E46" s="15" t="s">
        <v>403</v>
      </c>
      <c r="F46" s="34"/>
    </row>
    <row r="47" spans="1:6" ht="66.75" customHeight="1" x14ac:dyDescent="0.15">
      <c r="A47" s="27" t="s">
        <v>433</v>
      </c>
      <c r="B47" s="31">
        <v>46253</v>
      </c>
      <c r="C47" s="30">
        <v>12</v>
      </c>
      <c r="D47" s="32">
        <v>12</v>
      </c>
      <c r="E47" s="15" t="s">
        <v>442</v>
      </c>
      <c r="F47" s="34"/>
    </row>
    <row r="48" spans="1:6" ht="53.25" customHeight="1" x14ac:dyDescent="0.15">
      <c r="A48" s="27" t="s">
        <v>434</v>
      </c>
      <c r="B48" s="31">
        <v>46253</v>
      </c>
      <c r="C48" s="30">
        <v>6</v>
      </c>
      <c r="D48" s="32">
        <v>6</v>
      </c>
      <c r="E48" s="15" t="s">
        <v>447</v>
      </c>
      <c r="F48" s="34"/>
    </row>
    <row r="49" spans="1:6" ht="53.25" customHeight="1" x14ac:dyDescent="0.15">
      <c r="A49" s="27" t="s">
        <v>459</v>
      </c>
      <c r="B49" s="31">
        <v>46254</v>
      </c>
      <c r="C49" s="30">
        <v>1</v>
      </c>
      <c r="D49" s="32">
        <v>1</v>
      </c>
      <c r="E49" s="15" t="s">
        <v>470</v>
      </c>
      <c r="F49" s="34"/>
    </row>
    <row r="50" spans="1:6" ht="53.25" customHeight="1" x14ac:dyDescent="0.15">
      <c r="A50" s="27" t="s">
        <v>456</v>
      </c>
      <c r="B50" s="31">
        <v>46254</v>
      </c>
      <c r="C50" s="30">
        <v>7</v>
      </c>
      <c r="D50" s="32">
        <v>7</v>
      </c>
      <c r="E50" s="15" t="s">
        <v>469</v>
      </c>
      <c r="F50" s="34"/>
    </row>
    <row r="51" spans="1:6" ht="53.25" customHeight="1" x14ac:dyDescent="0.15">
      <c r="A51" s="27" t="s">
        <v>457</v>
      </c>
      <c r="B51" s="31">
        <v>46254</v>
      </c>
      <c r="C51" s="30">
        <v>19</v>
      </c>
      <c r="D51" s="32">
        <v>19</v>
      </c>
      <c r="E51" s="15" t="s">
        <v>465</v>
      </c>
      <c r="F51" s="34"/>
    </row>
    <row r="52" spans="1:6" ht="53.25" customHeight="1" x14ac:dyDescent="0.15">
      <c r="A52" s="15" t="s">
        <v>473</v>
      </c>
      <c r="B52" s="31">
        <v>46254</v>
      </c>
      <c r="C52" s="30">
        <v>1</v>
      </c>
      <c r="D52" s="32">
        <v>1</v>
      </c>
      <c r="E52" s="15" t="s">
        <v>474</v>
      </c>
      <c r="F52" s="34"/>
    </row>
    <row r="53" spans="1:6" ht="53.25" customHeight="1" x14ac:dyDescent="0.15">
      <c r="A53" s="27" t="s">
        <v>497</v>
      </c>
      <c r="B53" s="31">
        <v>46255</v>
      </c>
      <c r="C53" s="30">
        <v>7</v>
      </c>
      <c r="D53" s="32">
        <v>7</v>
      </c>
      <c r="E53" s="15" t="s">
        <v>499</v>
      </c>
      <c r="F53" s="34"/>
    </row>
    <row r="54" spans="1:6" ht="53.25" customHeight="1" x14ac:dyDescent="0.15">
      <c r="A54" s="27" t="s">
        <v>491</v>
      </c>
      <c r="B54" s="31">
        <v>46255</v>
      </c>
      <c r="C54" s="30">
        <v>17</v>
      </c>
      <c r="D54" s="32">
        <v>17</v>
      </c>
      <c r="E54" s="15" t="s">
        <v>501</v>
      </c>
      <c r="F54" s="34"/>
    </row>
    <row r="55" spans="1:6" ht="53.25" customHeight="1" x14ac:dyDescent="0.15">
      <c r="A55" s="54" t="s">
        <v>492</v>
      </c>
      <c r="B55" s="31">
        <v>46255</v>
      </c>
      <c r="C55" s="30">
        <v>1</v>
      </c>
      <c r="D55" s="32">
        <v>1</v>
      </c>
      <c r="E55" s="15" t="s">
        <v>496</v>
      </c>
      <c r="F55" s="34"/>
    </row>
    <row r="56" spans="1:6" ht="53.25" customHeight="1" x14ac:dyDescent="0.15">
      <c r="A56" s="27" t="s">
        <v>493</v>
      </c>
      <c r="B56" s="31">
        <v>46255</v>
      </c>
      <c r="C56" s="30">
        <v>30</v>
      </c>
      <c r="D56" s="32">
        <v>30</v>
      </c>
      <c r="E56" s="15" t="s">
        <v>503</v>
      </c>
      <c r="F56" s="34"/>
    </row>
    <row r="57" spans="1:6" ht="53.25" customHeight="1" x14ac:dyDescent="0.15">
      <c r="A57" s="15" t="s">
        <v>506</v>
      </c>
      <c r="B57" s="31">
        <v>46255</v>
      </c>
      <c r="C57" s="30">
        <v>4</v>
      </c>
      <c r="D57" s="32">
        <v>4</v>
      </c>
      <c r="E57" s="15" t="s">
        <v>507</v>
      </c>
      <c r="F57" s="34"/>
    </row>
    <row r="58" spans="1:6" ht="67.5" customHeight="1" x14ac:dyDescent="0.15">
      <c r="A58" s="27" t="s">
        <v>513</v>
      </c>
      <c r="B58" s="31">
        <v>46258</v>
      </c>
      <c r="C58" s="46">
        <v>3</v>
      </c>
      <c r="D58" s="46">
        <v>1</v>
      </c>
      <c r="E58" s="15" t="s">
        <v>566</v>
      </c>
      <c r="F58" s="34"/>
    </row>
    <row r="59" spans="1:6" ht="53.25" customHeight="1" x14ac:dyDescent="0.15">
      <c r="A59" s="15" t="s">
        <v>516</v>
      </c>
      <c r="B59" s="31">
        <v>46258</v>
      </c>
      <c r="C59" s="16">
        <v>3</v>
      </c>
      <c r="D59" s="33">
        <v>2</v>
      </c>
      <c r="E59" s="15" t="s">
        <v>542</v>
      </c>
      <c r="F59" s="34" t="s">
        <v>569</v>
      </c>
    </row>
    <row r="60" spans="1:6" ht="53.25" customHeight="1" x14ac:dyDescent="0.15">
      <c r="A60" s="27" t="s">
        <v>517</v>
      </c>
      <c r="B60" s="31">
        <v>46258</v>
      </c>
      <c r="C60" s="46">
        <v>7</v>
      </c>
      <c r="D60" s="33">
        <v>7</v>
      </c>
      <c r="E60" s="15" t="s">
        <v>535</v>
      </c>
      <c r="F60" s="34"/>
    </row>
    <row r="61" spans="1:6" ht="53.25" customHeight="1" x14ac:dyDescent="0.15">
      <c r="A61" s="15" t="s">
        <v>518</v>
      </c>
      <c r="B61" s="31">
        <v>46258</v>
      </c>
      <c r="C61" s="16">
        <v>4</v>
      </c>
      <c r="D61" s="33">
        <v>4</v>
      </c>
      <c r="E61" s="15" t="s">
        <v>536</v>
      </c>
      <c r="F61" s="34"/>
    </row>
    <row r="62" spans="1:6" ht="53.25" customHeight="1" x14ac:dyDescent="0.15">
      <c r="A62" s="15" t="s">
        <v>519</v>
      </c>
      <c r="B62" s="31">
        <v>46258</v>
      </c>
      <c r="C62" s="16">
        <v>45</v>
      </c>
      <c r="D62" s="33">
        <v>45</v>
      </c>
      <c r="E62" s="15" t="s">
        <v>526</v>
      </c>
      <c r="F62" s="34"/>
    </row>
    <row r="63" spans="1:6" ht="53.25" customHeight="1" x14ac:dyDescent="0.15">
      <c r="A63" s="15" t="s">
        <v>564</v>
      </c>
      <c r="B63" s="31">
        <v>46259</v>
      </c>
      <c r="C63" s="30">
        <v>4</v>
      </c>
      <c r="D63" s="32">
        <v>4</v>
      </c>
      <c r="E63" s="15" t="s">
        <v>565</v>
      </c>
      <c r="F63" s="34"/>
    </row>
    <row r="64" spans="1:6" ht="53.25" customHeight="1" x14ac:dyDescent="0.15">
      <c r="A64" s="15" t="s">
        <v>549</v>
      </c>
      <c r="B64" s="31">
        <v>46259</v>
      </c>
      <c r="C64" s="30">
        <v>2</v>
      </c>
      <c r="D64" s="32">
        <v>2</v>
      </c>
      <c r="E64" s="15" t="s">
        <v>571</v>
      </c>
      <c r="F64" s="34"/>
    </row>
    <row r="65" spans="1:6" ht="53.25" customHeight="1" x14ac:dyDescent="0.15">
      <c r="A65" s="15"/>
      <c r="B65" s="31"/>
      <c r="C65" s="16"/>
      <c r="D65" s="33"/>
      <c r="E65" s="15"/>
      <c r="F65" s="34"/>
    </row>
    <row r="66" spans="1:6" ht="53.25" customHeight="1" x14ac:dyDescent="0.15">
      <c r="A66" s="15"/>
      <c r="B66" s="31"/>
      <c r="C66" s="16"/>
      <c r="D66" s="32"/>
      <c r="E66" s="27"/>
      <c r="F66" s="34"/>
    </row>
    <row r="67" spans="1:6" ht="38.25" customHeight="1" x14ac:dyDescent="0.15">
      <c r="A67" s="22" t="s">
        <v>12</v>
      </c>
      <c r="B67" s="21"/>
      <c r="C67" s="21">
        <f>SUM(C24:C66)</f>
        <v>475</v>
      </c>
      <c r="D67" s="21">
        <f>SUM(D24:D66)</f>
        <v>472</v>
      </c>
      <c r="E67" s="38"/>
      <c r="F67" s="39"/>
    </row>
    <row r="68" spans="1:6" ht="30" customHeight="1" x14ac:dyDescent="0.15">
      <c r="D68" s="44"/>
    </row>
    <row r="69" spans="1:6" ht="30" customHeight="1" x14ac:dyDescent="0.15">
      <c r="D69" s="44"/>
    </row>
    <row r="72" spans="1:6" ht="30" customHeight="1" x14ac:dyDescent="0.15">
      <c r="D72" s="44">
        <f>+D67+D19</f>
        <v>509</v>
      </c>
    </row>
  </sheetData>
  <pageMargins left="0.7" right="0.7" top="0.75" bottom="0.75" header="0.3" footer="0.3"/>
  <pageSetup scale="3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1257-D43C-4AD4-B171-E1D5FF3CD046}">
  <sheetPr>
    <pageSetUpPr fitToPage="1"/>
  </sheetPr>
  <dimension ref="A1:I75"/>
  <sheetViews>
    <sheetView topLeftCell="A9" zoomScale="85" zoomScaleNormal="85" workbookViewId="0">
      <selection activeCell="A11" sqref="A11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46261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27" t="s">
        <v>606</v>
      </c>
      <c r="B6" s="46">
        <v>1</v>
      </c>
      <c r="C6" s="46">
        <v>0</v>
      </c>
      <c r="D6" s="32">
        <v>1</v>
      </c>
      <c r="E6" s="15" t="s">
        <v>612</v>
      </c>
      <c r="F6" s="15" t="s">
        <v>573</v>
      </c>
      <c r="G6" s="16">
        <v>7</v>
      </c>
      <c r="H6" s="16">
        <v>0</v>
      </c>
      <c r="I6" s="51" t="s">
        <v>614</v>
      </c>
    </row>
    <row r="7" spans="1:9" ht="63" customHeight="1" x14ac:dyDescent="0.15">
      <c r="A7" s="15" t="s">
        <v>607</v>
      </c>
      <c r="B7" s="16">
        <v>1</v>
      </c>
      <c r="C7" s="16">
        <v>0</v>
      </c>
      <c r="D7" s="30">
        <v>0</v>
      </c>
      <c r="E7" s="15" t="s">
        <v>610</v>
      </c>
      <c r="F7" s="27" t="s">
        <v>621</v>
      </c>
      <c r="G7" s="46">
        <v>7</v>
      </c>
      <c r="H7" s="46">
        <v>0</v>
      </c>
      <c r="I7" s="51" t="s">
        <v>631</v>
      </c>
    </row>
    <row r="8" spans="1:9" ht="60.75" customHeight="1" x14ac:dyDescent="0.15">
      <c r="A8" s="27" t="s">
        <v>608</v>
      </c>
      <c r="B8" s="46">
        <v>2</v>
      </c>
      <c r="C8" s="46">
        <v>0</v>
      </c>
      <c r="D8" s="32">
        <v>2</v>
      </c>
      <c r="E8" s="15" t="s">
        <v>613</v>
      </c>
      <c r="F8" s="27" t="s">
        <v>623</v>
      </c>
      <c r="G8" s="16">
        <v>44</v>
      </c>
      <c r="H8" s="46">
        <v>0</v>
      </c>
      <c r="I8" s="51" t="s">
        <v>628</v>
      </c>
    </row>
    <row r="9" spans="1:9" ht="62.25" customHeight="1" x14ac:dyDescent="0.15">
      <c r="A9" s="15" t="s">
        <v>609</v>
      </c>
      <c r="B9" s="16">
        <v>1</v>
      </c>
      <c r="C9" s="16">
        <v>0</v>
      </c>
      <c r="D9" s="30">
        <v>0</v>
      </c>
      <c r="E9" s="15" t="s">
        <v>617</v>
      </c>
      <c r="F9" s="15" t="s">
        <v>624</v>
      </c>
      <c r="G9" s="16">
        <v>14</v>
      </c>
      <c r="H9" s="16">
        <v>0</v>
      </c>
      <c r="I9" s="34" t="s">
        <v>625</v>
      </c>
    </row>
    <row r="10" spans="1:9" ht="62.25" customHeight="1" x14ac:dyDescent="0.15">
      <c r="A10" s="15" t="s">
        <v>618</v>
      </c>
      <c r="B10" s="16">
        <v>3</v>
      </c>
      <c r="C10" s="16">
        <v>0</v>
      </c>
      <c r="D10" s="32">
        <v>3</v>
      </c>
      <c r="E10" s="15" t="s">
        <v>622</v>
      </c>
      <c r="F10" s="15" t="s">
        <v>626</v>
      </c>
      <c r="G10" s="16">
        <v>3</v>
      </c>
      <c r="H10" s="16">
        <v>0</v>
      </c>
      <c r="I10" s="51" t="s">
        <v>629</v>
      </c>
    </row>
    <row r="11" spans="1:9" ht="62.25" customHeight="1" x14ac:dyDescent="0.15">
      <c r="A11" s="15" t="s">
        <v>619</v>
      </c>
      <c r="B11" s="16">
        <v>3</v>
      </c>
      <c r="C11" s="16">
        <v>0</v>
      </c>
      <c r="D11" s="32">
        <v>3</v>
      </c>
      <c r="E11" s="15" t="s">
        <v>620</v>
      </c>
      <c r="F11" s="15" t="s">
        <v>627</v>
      </c>
      <c r="G11" s="16">
        <v>5</v>
      </c>
      <c r="H11" s="16">
        <v>0</v>
      </c>
      <c r="I11" s="51" t="s">
        <v>630</v>
      </c>
    </row>
    <row r="12" spans="1:9" ht="62.25" customHeight="1" x14ac:dyDescent="0.15">
      <c r="A12" s="15" t="s">
        <v>624</v>
      </c>
      <c r="B12" s="16">
        <v>14</v>
      </c>
      <c r="C12" s="16">
        <v>0</v>
      </c>
      <c r="D12" s="30">
        <v>0</v>
      </c>
      <c r="E12" s="15" t="s">
        <v>632</v>
      </c>
      <c r="F12" s="15"/>
      <c r="G12" s="16"/>
      <c r="H12" s="16"/>
      <c r="I12" s="51"/>
    </row>
    <row r="13" spans="1:9" ht="62.25" customHeight="1" x14ac:dyDescent="0.15">
      <c r="A13" s="15" t="s">
        <v>626</v>
      </c>
      <c r="B13" s="16">
        <v>3</v>
      </c>
      <c r="C13" s="16">
        <v>0</v>
      </c>
      <c r="D13" s="30">
        <v>0</v>
      </c>
      <c r="E13" s="15" t="s">
        <v>629</v>
      </c>
      <c r="F13" s="15"/>
      <c r="G13" s="16"/>
      <c r="H13" s="16"/>
      <c r="I13" s="51"/>
    </row>
    <row r="14" spans="1:9" ht="62.25" customHeight="1" x14ac:dyDescent="0.15">
      <c r="A14" s="15" t="s">
        <v>627</v>
      </c>
      <c r="B14" s="16">
        <v>5</v>
      </c>
      <c r="C14" s="16">
        <v>0</v>
      </c>
      <c r="D14" s="30">
        <v>0</v>
      </c>
      <c r="E14" s="15" t="s">
        <v>633</v>
      </c>
      <c r="F14" s="15"/>
      <c r="G14" s="16"/>
      <c r="H14" s="16"/>
      <c r="I14" s="51"/>
    </row>
    <row r="15" spans="1:9" ht="62.25" customHeight="1" x14ac:dyDescent="0.15">
      <c r="A15" s="15"/>
      <c r="B15" s="16"/>
      <c r="C15" s="16"/>
      <c r="D15" s="30"/>
      <c r="E15" s="15"/>
      <c r="F15" s="15"/>
      <c r="G15" s="16"/>
      <c r="H15" s="16"/>
      <c r="I15" s="51"/>
    </row>
    <row r="16" spans="1:9" ht="62.25" customHeight="1" x14ac:dyDescent="0.15">
      <c r="A16" s="15"/>
      <c r="B16" s="16"/>
      <c r="C16" s="16"/>
      <c r="D16" s="17"/>
      <c r="E16" s="15"/>
      <c r="F16" s="15"/>
      <c r="G16" s="16"/>
      <c r="H16" s="16"/>
      <c r="I16" s="27"/>
    </row>
    <row r="17" spans="1:9" ht="53.25" customHeight="1" x14ac:dyDescent="0.15">
      <c r="A17" s="15"/>
      <c r="B17" s="16"/>
      <c r="C17" s="16"/>
      <c r="D17" s="16"/>
      <c r="E17" s="15"/>
      <c r="F17" s="15"/>
      <c r="G17" s="16"/>
      <c r="H17" s="16"/>
      <c r="I17" s="15"/>
    </row>
    <row r="18" spans="1:9" ht="30" customHeight="1" x14ac:dyDescent="0.15">
      <c r="A18" s="28" t="s">
        <v>12</v>
      </c>
      <c r="B18" s="29">
        <f>SUM(B6:B17)</f>
        <v>33</v>
      </c>
      <c r="C18" s="29">
        <f>SUM(C6:C17)</f>
        <v>0</v>
      </c>
      <c r="D18" s="29">
        <f>SUM(D6:D17)</f>
        <v>9</v>
      </c>
      <c r="E18" s="29"/>
      <c r="F18" s="29"/>
      <c r="G18" s="29">
        <f>SUM(G6:G17)</f>
        <v>80</v>
      </c>
      <c r="H18" s="29">
        <f>SUM(H6:H17)</f>
        <v>0</v>
      </c>
      <c r="I18" s="29"/>
    </row>
    <row r="21" spans="1:9" ht="30" customHeight="1" x14ac:dyDescent="0.15">
      <c r="A21" s="43" t="s">
        <v>13</v>
      </c>
      <c r="B21" s="43"/>
      <c r="C21" s="43"/>
      <c r="D21" s="43"/>
      <c r="E21" s="43"/>
      <c r="F21" s="43"/>
    </row>
    <row r="22" spans="1:9" ht="30" customHeight="1" x14ac:dyDescent="0.15">
      <c r="A22" s="20" t="s">
        <v>7</v>
      </c>
      <c r="B22" s="18" t="s">
        <v>1</v>
      </c>
      <c r="C22" s="18" t="s">
        <v>11</v>
      </c>
      <c r="D22" s="19" t="s">
        <v>10</v>
      </c>
      <c r="E22" s="19" t="s">
        <v>6</v>
      </c>
      <c r="F22" s="35"/>
    </row>
    <row r="23" spans="1:9" ht="53.25" customHeight="1" x14ac:dyDescent="0.15">
      <c r="A23" s="15" t="s">
        <v>14</v>
      </c>
      <c r="B23" s="31">
        <v>46199</v>
      </c>
      <c r="C23" s="16">
        <v>2</v>
      </c>
      <c r="D23" s="33">
        <v>2</v>
      </c>
      <c r="E23" s="27" t="s">
        <v>15</v>
      </c>
      <c r="F23" s="45" t="s">
        <v>20</v>
      </c>
    </row>
    <row r="24" spans="1:9" ht="53.25" customHeight="1" x14ac:dyDescent="0.15">
      <c r="A24" s="15" t="s">
        <v>17</v>
      </c>
      <c r="B24" s="31">
        <v>46203</v>
      </c>
      <c r="C24" s="16">
        <v>34</v>
      </c>
      <c r="D24" s="33">
        <v>34</v>
      </c>
      <c r="E24" s="37" t="s">
        <v>16</v>
      </c>
      <c r="F24" s="45" t="s">
        <v>22</v>
      </c>
    </row>
    <row r="25" spans="1:9" ht="53.25" customHeight="1" x14ac:dyDescent="0.15">
      <c r="A25" s="15" t="s">
        <v>26</v>
      </c>
      <c r="B25" s="31">
        <v>46216</v>
      </c>
      <c r="C25" s="16">
        <v>6</v>
      </c>
      <c r="D25" s="32">
        <v>6</v>
      </c>
      <c r="E25" s="27" t="s">
        <v>28</v>
      </c>
      <c r="F25" s="45" t="s">
        <v>29</v>
      </c>
    </row>
    <row r="26" spans="1:9" ht="53.25" customHeight="1" x14ac:dyDescent="0.15">
      <c r="A26" s="49" t="s">
        <v>30</v>
      </c>
      <c r="B26" s="31">
        <v>46224</v>
      </c>
      <c r="C26" s="16">
        <v>1</v>
      </c>
      <c r="D26" s="33">
        <v>1</v>
      </c>
      <c r="E26" s="27" t="s">
        <v>31</v>
      </c>
      <c r="F26" s="34"/>
    </row>
    <row r="27" spans="1:9" ht="53.25" customHeight="1" x14ac:dyDescent="0.15">
      <c r="A27" s="15" t="s">
        <v>32</v>
      </c>
      <c r="B27" s="31">
        <v>46226</v>
      </c>
      <c r="C27" s="16">
        <v>20</v>
      </c>
      <c r="D27" s="33">
        <v>20</v>
      </c>
      <c r="E27" s="27" t="s">
        <v>33</v>
      </c>
      <c r="F27" s="34"/>
    </row>
    <row r="28" spans="1:9" ht="53.25" customHeight="1" x14ac:dyDescent="0.15">
      <c r="A28" s="15" t="s">
        <v>34</v>
      </c>
      <c r="B28" s="31">
        <v>46227</v>
      </c>
      <c r="C28" s="30">
        <v>28</v>
      </c>
      <c r="D28" s="32">
        <v>28</v>
      </c>
      <c r="E28" s="27" t="s">
        <v>35</v>
      </c>
      <c r="F28" s="34"/>
    </row>
    <row r="29" spans="1:9" ht="53.25" customHeight="1" x14ac:dyDescent="0.15">
      <c r="A29" s="15" t="s">
        <v>63</v>
      </c>
      <c r="B29" s="31">
        <v>46237</v>
      </c>
      <c r="C29" s="30">
        <v>13</v>
      </c>
      <c r="D29" s="32">
        <v>13</v>
      </c>
      <c r="E29" s="15" t="s">
        <v>75</v>
      </c>
      <c r="F29" s="34"/>
    </row>
    <row r="30" spans="1:9" ht="53.25" customHeight="1" x14ac:dyDescent="0.15">
      <c r="A30" s="15" t="s">
        <v>191</v>
      </c>
      <c r="B30" s="31">
        <v>46244</v>
      </c>
      <c r="C30" s="16">
        <v>47</v>
      </c>
      <c r="D30" s="33">
        <v>47</v>
      </c>
      <c r="E30" s="15" t="s">
        <v>195</v>
      </c>
      <c r="F30" s="34"/>
    </row>
    <row r="31" spans="1:9" ht="53.25" customHeight="1" x14ac:dyDescent="0.15">
      <c r="A31" s="15" t="s">
        <v>276</v>
      </c>
      <c r="B31" s="31">
        <v>46246</v>
      </c>
      <c r="C31" s="16">
        <v>18</v>
      </c>
      <c r="D31" s="33">
        <v>18</v>
      </c>
      <c r="E31" s="15" t="s">
        <v>278</v>
      </c>
      <c r="F31" s="34"/>
    </row>
    <row r="32" spans="1:9" ht="53.25" customHeight="1" x14ac:dyDescent="0.15">
      <c r="A32" s="15" t="s">
        <v>305</v>
      </c>
      <c r="B32" s="31">
        <v>46247</v>
      </c>
      <c r="C32" s="30">
        <v>7</v>
      </c>
      <c r="D32" s="32">
        <v>7</v>
      </c>
      <c r="E32" s="15" t="s">
        <v>321</v>
      </c>
      <c r="F32" s="34"/>
    </row>
    <row r="33" spans="1:6" ht="66.75" customHeight="1" x14ac:dyDescent="0.15">
      <c r="A33" s="15" t="s">
        <v>306</v>
      </c>
      <c r="B33" s="31">
        <v>46247</v>
      </c>
      <c r="C33" s="30">
        <v>20</v>
      </c>
      <c r="D33" s="32">
        <v>20</v>
      </c>
      <c r="E33" s="15" t="s">
        <v>324</v>
      </c>
      <c r="F33" s="34"/>
    </row>
    <row r="34" spans="1:6" ht="53.25" customHeight="1" x14ac:dyDescent="0.15">
      <c r="A34" s="15" t="s">
        <v>307</v>
      </c>
      <c r="B34" s="31">
        <v>46247</v>
      </c>
      <c r="C34" s="30">
        <v>1</v>
      </c>
      <c r="D34" s="32">
        <v>1</v>
      </c>
      <c r="E34" s="15" t="s">
        <v>326</v>
      </c>
      <c r="F34" s="34"/>
    </row>
    <row r="35" spans="1:6" ht="53.25" customHeight="1" x14ac:dyDescent="0.15">
      <c r="A35" s="15" t="s">
        <v>313</v>
      </c>
      <c r="B35" s="31">
        <v>46247</v>
      </c>
      <c r="C35" s="30">
        <v>9</v>
      </c>
      <c r="D35" s="32">
        <v>9</v>
      </c>
      <c r="E35" s="15" t="s">
        <v>332</v>
      </c>
      <c r="F35" s="34"/>
    </row>
    <row r="36" spans="1:6" ht="53.25" customHeight="1" x14ac:dyDescent="0.15">
      <c r="A36" s="15" t="s">
        <v>328</v>
      </c>
      <c r="B36" s="31">
        <v>46247</v>
      </c>
      <c r="C36" s="30">
        <v>3</v>
      </c>
      <c r="D36" s="32">
        <v>3</v>
      </c>
      <c r="E36" s="15" t="s">
        <v>338</v>
      </c>
      <c r="F36" s="34"/>
    </row>
    <row r="37" spans="1:6" ht="53.25" customHeight="1" x14ac:dyDescent="0.15">
      <c r="A37" s="15" t="s">
        <v>360</v>
      </c>
      <c r="B37" s="31">
        <v>46248</v>
      </c>
      <c r="C37" s="30">
        <v>39</v>
      </c>
      <c r="D37" s="32">
        <v>39</v>
      </c>
      <c r="E37" s="15" t="s">
        <v>361</v>
      </c>
      <c r="F37" s="34"/>
    </row>
    <row r="38" spans="1:6" ht="53.25" customHeight="1" x14ac:dyDescent="0.15">
      <c r="A38" s="27" t="s">
        <v>382</v>
      </c>
      <c r="B38" s="31">
        <v>46251</v>
      </c>
      <c r="C38" s="30">
        <v>9</v>
      </c>
      <c r="D38" s="32">
        <v>9</v>
      </c>
      <c r="E38" s="27" t="s">
        <v>383</v>
      </c>
      <c r="F38" s="34"/>
    </row>
    <row r="39" spans="1:6" ht="53.25" customHeight="1" x14ac:dyDescent="0.15">
      <c r="A39" s="27" t="s">
        <v>379</v>
      </c>
      <c r="B39" s="31">
        <v>46251</v>
      </c>
      <c r="C39" s="30">
        <v>7</v>
      </c>
      <c r="D39" s="32">
        <v>7</v>
      </c>
      <c r="E39" s="27" t="s">
        <v>384</v>
      </c>
      <c r="F39" s="34"/>
    </row>
    <row r="40" spans="1:6" ht="53.25" customHeight="1" x14ac:dyDescent="0.15">
      <c r="A40" s="27" t="s">
        <v>380</v>
      </c>
      <c r="B40" s="31">
        <v>46251</v>
      </c>
      <c r="C40" s="30">
        <v>4</v>
      </c>
      <c r="D40" s="32">
        <v>4</v>
      </c>
      <c r="E40" s="27" t="s">
        <v>386</v>
      </c>
      <c r="F40" s="34"/>
    </row>
    <row r="41" spans="1:6" ht="53.25" customHeight="1" x14ac:dyDescent="0.15">
      <c r="A41" s="27" t="s">
        <v>389</v>
      </c>
      <c r="B41" s="31">
        <v>46251</v>
      </c>
      <c r="C41" s="30">
        <v>2</v>
      </c>
      <c r="D41" s="32">
        <v>2</v>
      </c>
      <c r="E41" s="27" t="s">
        <v>391</v>
      </c>
      <c r="F41" s="34"/>
    </row>
    <row r="42" spans="1:6" ht="60.6" customHeight="1" x14ac:dyDescent="0.15">
      <c r="A42" s="15" t="s">
        <v>393</v>
      </c>
      <c r="B42" s="31">
        <v>46251</v>
      </c>
      <c r="C42" s="30">
        <v>3</v>
      </c>
      <c r="D42" s="32">
        <v>3</v>
      </c>
      <c r="E42" s="15" t="s">
        <v>394</v>
      </c>
      <c r="F42" s="34"/>
    </row>
    <row r="43" spans="1:6" ht="53.25" customHeight="1" x14ac:dyDescent="0.15">
      <c r="A43" s="27" t="s">
        <v>398</v>
      </c>
      <c r="B43" s="31">
        <v>46252</v>
      </c>
      <c r="C43" s="30">
        <v>7</v>
      </c>
      <c r="D43" s="32">
        <v>7</v>
      </c>
      <c r="E43" s="15" t="s">
        <v>404</v>
      </c>
      <c r="F43" s="34"/>
    </row>
    <row r="44" spans="1:6" ht="53.25" customHeight="1" x14ac:dyDescent="0.15">
      <c r="A44" s="27" t="s">
        <v>399</v>
      </c>
      <c r="B44" s="31">
        <v>46252</v>
      </c>
      <c r="C44" s="30">
        <v>21</v>
      </c>
      <c r="D44" s="32">
        <v>21</v>
      </c>
      <c r="E44" s="15" t="s">
        <v>403</v>
      </c>
      <c r="F44" s="34"/>
    </row>
    <row r="45" spans="1:6" ht="66.75" customHeight="1" x14ac:dyDescent="0.15">
      <c r="A45" s="27" t="s">
        <v>433</v>
      </c>
      <c r="B45" s="31">
        <v>46253</v>
      </c>
      <c r="C45" s="30">
        <v>12</v>
      </c>
      <c r="D45" s="32">
        <v>12</v>
      </c>
      <c r="E45" s="15" t="s">
        <v>442</v>
      </c>
      <c r="F45" s="34"/>
    </row>
    <row r="46" spans="1:6" ht="53.25" customHeight="1" x14ac:dyDescent="0.15">
      <c r="A46" s="27" t="s">
        <v>434</v>
      </c>
      <c r="B46" s="31">
        <v>46253</v>
      </c>
      <c r="C46" s="30">
        <v>6</v>
      </c>
      <c r="D46" s="32">
        <v>6</v>
      </c>
      <c r="E46" s="15" t="s">
        <v>447</v>
      </c>
      <c r="F46" s="34"/>
    </row>
    <row r="47" spans="1:6" ht="53.25" customHeight="1" x14ac:dyDescent="0.15">
      <c r="A47" s="27" t="s">
        <v>459</v>
      </c>
      <c r="B47" s="31">
        <v>46254</v>
      </c>
      <c r="C47" s="30">
        <v>1</v>
      </c>
      <c r="D47" s="32">
        <v>1</v>
      </c>
      <c r="E47" s="15" t="s">
        <v>470</v>
      </c>
      <c r="F47" s="34"/>
    </row>
    <row r="48" spans="1:6" ht="53.25" customHeight="1" x14ac:dyDescent="0.15">
      <c r="A48" s="27" t="s">
        <v>456</v>
      </c>
      <c r="B48" s="31">
        <v>46254</v>
      </c>
      <c r="C48" s="30">
        <v>7</v>
      </c>
      <c r="D48" s="32">
        <v>7</v>
      </c>
      <c r="E48" s="15" t="s">
        <v>469</v>
      </c>
      <c r="F48" s="34"/>
    </row>
    <row r="49" spans="1:6" ht="53.25" customHeight="1" x14ac:dyDescent="0.15">
      <c r="A49" s="27" t="s">
        <v>457</v>
      </c>
      <c r="B49" s="31">
        <v>46254</v>
      </c>
      <c r="C49" s="30">
        <v>19</v>
      </c>
      <c r="D49" s="32">
        <v>19</v>
      </c>
      <c r="E49" s="15" t="s">
        <v>465</v>
      </c>
      <c r="F49" s="34"/>
    </row>
    <row r="50" spans="1:6" ht="53.25" customHeight="1" x14ac:dyDescent="0.15">
      <c r="A50" s="15" t="s">
        <v>473</v>
      </c>
      <c r="B50" s="31">
        <v>46254</v>
      </c>
      <c r="C50" s="30">
        <v>1</v>
      </c>
      <c r="D50" s="32">
        <v>1</v>
      </c>
      <c r="E50" s="15" t="s">
        <v>474</v>
      </c>
      <c r="F50" s="34"/>
    </row>
    <row r="51" spans="1:6" ht="53.25" customHeight="1" x14ac:dyDescent="0.15">
      <c r="A51" s="27" t="s">
        <v>497</v>
      </c>
      <c r="B51" s="31">
        <v>46255</v>
      </c>
      <c r="C51" s="30">
        <v>7</v>
      </c>
      <c r="D51" s="32">
        <v>7</v>
      </c>
      <c r="E51" s="15" t="s">
        <v>499</v>
      </c>
      <c r="F51" s="34"/>
    </row>
    <row r="52" spans="1:6" ht="53.25" customHeight="1" x14ac:dyDescent="0.15">
      <c r="A52" s="27" t="s">
        <v>491</v>
      </c>
      <c r="B52" s="31">
        <v>46255</v>
      </c>
      <c r="C52" s="30">
        <v>17</v>
      </c>
      <c r="D52" s="32">
        <v>17</v>
      </c>
      <c r="E52" s="15" t="s">
        <v>501</v>
      </c>
      <c r="F52" s="34"/>
    </row>
    <row r="53" spans="1:6" ht="53.25" customHeight="1" x14ac:dyDescent="0.15">
      <c r="A53" s="54" t="s">
        <v>492</v>
      </c>
      <c r="B53" s="31">
        <v>46255</v>
      </c>
      <c r="C53" s="30">
        <v>1</v>
      </c>
      <c r="D53" s="32">
        <v>1</v>
      </c>
      <c r="E53" s="15" t="s">
        <v>496</v>
      </c>
      <c r="F53" s="34"/>
    </row>
    <row r="54" spans="1:6" ht="53.25" customHeight="1" x14ac:dyDescent="0.15">
      <c r="A54" s="27" t="s">
        <v>493</v>
      </c>
      <c r="B54" s="31">
        <v>46255</v>
      </c>
      <c r="C54" s="30">
        <v>30</v>
      </c>
      <c r="D54" s="32">
        <v>30</v>
      </c>
      <c r="E54" s="15" t="s">
        <v>503</v>
      </c>
      <c r="F54" s="34"/>
    </row>
    <row r="55" spans="1:6" ht="53.25" customHeight="1" x14ac:dyDescent="0.15">
      <c r="A55" s="15" t="s">
        <v>506</v>
      </c>
      <c r="B55" s="31">
        <v>46255</v>
      </c>
      <c r="C55" s="30">
        <v>4</v>
      </c>
      <c r="D55" s="32">
        <v>4</v>
      </c>
      <c r="E55" s="15" t="s">
        <v>507</v>
      </c>
      <c r="F55" s="34"/>
    </row>
    <row r="56" spans="1:6" ht="67.5" customHeight="1" x14ac:dyDescent="0.15">
      <c r="A56" s="55" t="s">
        <v>513</v>
      </c>
      <c r="B56" s="31">
        <v>46258</v>
      </c>
      <c r="C56" s="46">
        <v>3</v>
      </c>
      <c r="D56" s="46">
        <v>1</v>
      </c>
      <c r="E56" s="15" t="s">
        <v>566</v>
      </c>
      <c r="F56" s="34"/>
    </row>
    <row r="57" spans="1:6" ht="53.25" customHeight="1" x14ac:dyDescent="0.15">
      <c r="A57" s="15" t="s">
        <v>516</v>
      </c>
      <c r="B57" s="31">
        <v>46258</v>
      </c>
      <c r="C57" s="16">
        <v>3</v>
      </c>
      <c r="D57" s="33">
        <v>2</v>
      </c>
      <c r="E57" s="15" t="s">
        <v>542</v>
      </c>
      <c r="F57" s="34" t="s">
        <v>569</v>
      </c>
    </row>
    <row r="58" spans="1:6" ht="53.25" customHeight="1" x14ac:dyDescent="0.15">
      <c r="A58" s="27" t="s">
        <v>517</v>
      </c>
      <c r="B58" s="31">
        <v>46258</v>
      </c>
      <c r="C58" s="46">
        <v>7</v>
      </c>
      <c r="D58" s="33">
        <v>7</v>
      </c>
      <c r="E58" s="15" t="s">
        <v>535</v>
      </c>
      <c r="F58" s="34"/>
    </row>
    <row r="59" spans="1:6" ht="53.25" customHeight="1" x14ac:dyDescent="0.15">
      <c r="A59" s="15" t="s">
        <v>518</v>
      </c>
      <c r="B59" s="31">
        <v>46258</v>
      </c>
      <c r="C59" s="16">
        <v>4</v>
      </c>
      <c r="D59" s="33">
        <v>4</v>
      </c>
      <c r="E59" s="15" t="s">
        <v>536</v>
      </c>
      <c r="F59" s="34"/>
    </row>
    <row r="60" spans="1:6" ht="53.25" customHeight="1" x14ac:dyDescent="0.15">
      <c r="A60" s="15" t="s">
        <v>519</v>
      </c>
      <c r="B60" s="31">
        <v>46258</v>
      </c>
      <c r="C60" s="16">
        <v>45</v>
      </c>
      <c r="D60" s="33">
        <v>45</v>
      </c>
      <c r="E60" s="15" t="s">
        <v>526</v>
      </c>
      <c r="F60" s="34"/>
    </row>
    <row r="61" spans="1:6" ht="53.25" customHeight="1" x14ac:dyDescent="0.15">
      <c r="A61" s="15" t="s">
        <v>564</v>
      </c>
      <c r="B61" s="31">
        <v>46259</v>
      </c>
      <c r="C61" s="30">
        <v>4</v>
      </c>
      <c r="D61" s="32">
        <v>4</v>
      </c>
      <c r="E61" s="15" t="s">
        <v>565</v>
      </c>
      <c r="F61" s="34"/>
    </row>
    <row r="62" spans="1:6" ht="53.25" customHeight="1" x14ac:dyDescent="0.15">
      <c r="A62" s="15" t="s">
        <v>549</v>
      </c>
      <c r="B62" s="31">
        <v>46259</v>
      </c>
      <c r="C62" s="30">
        <v>2</v>
      </c>
      <c r="D62" s="32">
        <v>2</v>
      </c>
      <c r="E62" s="15" t="s">
        <v>571</v>
      </c>
      <c r="F62" s="34"/>
    </row>
    <row r="63" spans="1:6" ht="53.25" customHeight="1" x14ac:dyDescent="0.15">
      <c r="A63" s="27" t="s">
        <v>574</v>
      </c>
      <c r="B63" s="31">
        <v>46260</v>
      </c>
      <c r="C63" s="30">
        <v>21</v>
      </c>
      <c r="D63" s="32">
        <v>21</v>
      </c>
      <c r="E63" s="15" t="s">
        <v>582</v>
      </c>
      <c r="F63" s="34"/>
    </row>
    <row r="64" spans="1:6" ht="53.25" customHeight="1" x14ac:dyDescent="0.15">
      <c r="A64" s="15" t="s">
        <v>575</v>
      </c>
      <c r="B64" s="31">
        <v>46260</v>
      </c>
      <c r="C64" s="30">
        <v>2</v>
      </c>
      <c r="D64" s="32">
        <v>2</v>
      </c>
      <c r="E64" s="15" t="s">
        <v>584</v>
      </c>
      <c r="F64" s="34"/>
    </row>
    <row r="65" spans="1:6" ht="53.25" customHeight="1" x14ac:dyDescent="0.15">
      <c r="A65" s="15" t="s">
        <v>576</v>
      </c>
      <c r="B65" s="31">
        <v>46260</v>
      </c>
      <c r="C65" s="30">
        <v>6</v>
      </c>
      <c r="D65" s="32">
        <v>6</v>
      </c>
      <c r="E65" s="15" t="s">
        <v>588</v>
      </c>
      <c r="F65" s="34"/>
    </row>
    <row r="66" spans="1:6" ht="53.25" customHeight="1" x14ac:dyDescent="0.15">
      <c r="A66" s="54" t="s">
        <v>583</v>
      </c>
      <c r="B66" s="31">
        <v>46260</v>
      </c>
      <c r="C66" s="30">
        <v>1</v>
      </c>
      <c r="D66" s="32">
        <v>1</v>
      </c>
      <c r="E66" s="15" t="s">
        <v>586</v>
      </c>
      <c r="F66" s="34"/>
    </row>
    <row r="67" spans="1:6" ht="53.25" customHeight="1" x14ac:dyDescent="0.15">
      <c r="A67" s="15" t="s">
        <v>573</v>
      </c>
      <c r="B67" s="31">
        <v>46260</v>
      </c>
      <c r="C67" s="30">
        <v>7</v>
      </c>
      <c r="D67" s="30">
        <v>0</v>
      </c>
      <c r="E67" s="15" t="s">
        <v>581</v>
      </c>
      <c r="F67" s="34" t="s">
        <v>611</v>
      </c>
    </row>
    <row r="68" spans="1:6" ht="53.25" customHeight="1" x14ac:dyDescent="0.15">
      <c r="A68" s="15" t="s">
        <v>358</v>
      </c>
      <c r="B68" s="31">
        <v>46248</v>
      </c>
      <c r="C68" s="30">
        <v>1</v>
      </c>
      <c r="D68" s="30">
        <v>0</v>
      </c>
      <c r="E68" s="15" t="s">
        <v>615</v>
      </c>
      <c r="F68" s="34" t="s">
        <v>616</v>
      </c>
    </row>
    <row r="69" spans="1:6" ht="53.25" customHeight="1" x14ac:dyDescent="0.15">
      <c r="A69" s="15"/>
      <c r="B69" s="31"/>
      <c r="C69" s="16"/>
      <c r="D69" s="32"/>
      <c r="E69" s="27"/>
      <c r="F69" s="34"/>
    </row>
    <row r="70" spans="1:6" ht="38.25" customHeight="1" x14ac:dyDescent="0.15">
      <c r="A70" s="22" t="s">
        <v>12</v>
      </c>
      <c r="B70" s="21"/>
      <c r="C70" s="21">
        <f>SUM(C23:C69)</f>
        <v>512</v>
      </c>
      <c r="D70" s="21">
        <f>SUM(D23:D69)</f>
        <v>501</v>
      </c>
      <c r="E70" s="38"/>
      <c r="F70" s="39"/>
    </row>
    <row r="71" spans="1:6" ht="30" customHeight="1" x14ac:dyDescent="0.15">
      <c r="D71" s="44"/>
    </row>
    <row r="72" spans="1:6" ht="30" customHeight="1" x14ac:dyDescent="0.15">
      <c r="D72" s="44"/>
    </row>
    <row r="75" spans="1:6" ht="30" customHeight="1" x14ac:dyDescent="0.15">
      <c r="D75" s="44">
        <f>+D70+D18</f>
        <v>510</v>
      </c>
    </row>
  </sheetData>
  <pageMargins left="0.7" right="0.7" top="0.75" bottom="0.75" header="0.3" footer="0.3"/>
  <pageSetup scale="3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A86B-3950-4797-865C-94954CD4E4B4}">
  <sheetPr>
    <pageSetUpPr fitToPage="1"/>
  </sheetPr>
  <dimension ref="A1:I78"/>
  <sheetViews>
    <sheetView tabSelected="1" topLeftCell="A14" zoomScale="85" zoomScaleNormal="85" workbookViewId="0">
      <selection activeCell="F13" sqref="F13"/>
    </sheetView>
  </sheetViews>
  <sheetFormatPr defaultColWidth="8.875" defaultRowHeight="30" customHeight="1" x14ac:dyDescent="0.15"/>
  <cols>
    <col min="1" max="1" width="31" style="3" customWidth="1"/>
    <col min="2" max="3" width="18.875" style="3" customWidth="1"/>
    <col min="4" max="4" width="23.5" style="3" customWidth="1"/>
    <col min="5" max="5" width="34.375" style="3" customWidth="1"/>
    <col min="6" max="6" width="31" style="25" customWidth="1"/>
    <col min="7" max="7" width="30.5" style="3" customWidth="1"/>
    <col min="8" max="8" width="29.5" style="3" customWidth="1"/>
    <col min="9" max="9" width="30.75" style="3" customWidth="1"/>
    <col min="10" max="16384" width="8.875" style="3"/>
  </cols>
  <sheetData>
    <row r="1" spans="1:9" s="1" customFormat="1" ht="30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s="1" customFormat="1" ht="30" customHeight="1" x14ac:dyDescent="0.15">
      <c r="A2" s="4" t="s">
        <v>1</v>
      </c>
      <c r="B2" s="5">
        <v>46262</v>
      </c>
      <c r="C2" s="5"/>
      <c r="D2" s="6"/>
      <c r="E2" s="6"/>
      <c r="F2" s="23"/>
      <c r="G2" s="7"/>
      <c r="H2" s="7" t="s">
        <v>2</v>
      </c>
      <c r="I2" s="8" t="s">
        <v>3</v>
      </c>
    </row>
    <row r="3" spans="1:9" s="1" customFormat="1" ht="9" customHeight="1" x14ac:dyDescent="0.15">
      <c r="A3" s="9"/>
      <c r="B3" s="10"/>
      <c r="C3" s="10"/>
      <c r="D3" s="10"/>
      <c r="E3" s="10"/>
      <c r="F3" s="24"/>
      <c r="G3" s="10"/>
      <c r="H3" s="10"/>
      <c r="I3" s="11"/>
    </row>
    <row r="4" spans="1:9" s="1" customFormat="1" ht="30" customHeight="1" x14ac:dyDescent="0.15">
      <c r="A4" s="12" t="s">
        <v>4</v>
      </c>
      <c r="B4" s="12"/>
      <c r="C4" s="12"/>
      <c r="D4" s="12"/>
      <c r="E4" s="12"/>
      <c r="F4" s="41" t="s">
        <v>5</v>
      </c>
      <c r="G4" s="41"/>
      <c r="H4" s="41"/>
      <c r="I4" s="42" t="s">
        <v>6</v>
      </c>
    </row>
    <row r="5" spans="1:9" s="2" customFormat="1" ht="33" customHeight="1" x14ac:dyDescent="0.15">
      <c r="A5" s="13" t="s">
        <v>7</v>
      </c>
      <c r="B5" s="13" t="s">
        <v>8</v>
      </c>
      <c r="C5" s="14" t="s">
        <v>9</v>
      </c>
      <c r="D5" s="14" t="s">
        <v>10</v>
      </c>
      <c r="E5" s="14" t="s">
        <v>6</v>
      </c>
      <c r="F5" s="13" t="s">
        <v>7</v>
      </c>
      <c r="G5" s="13" t="s">
        <v>11</v>
      </c>
      <c r="H5" s="14" t="s">
        <v>10</v>
      </c>
      <c r="I5" s="42"/>
    </row>
    <row r="6" spans="1:9" ht="66" customHeight="1" x14ac:dyDescent="0.15">
      <c r="A6" s="27" t="s">
        <v>634</v>
      </c>
      <c r="B6" s="46">
        <v>116</v>
      </c>
      <c r="C6" s="46">
        <v>0</v>
      </c>
      <c r="D6" s="30">
        <v>0</v>
      </c>
      <c r="E6" s="15" t="s">
        <v>637</v>
      </c>
      <c r="F6" s="27" t="s">
        <v>635</v>
      </c>
      <c r="G6" s="46">
        <v>12</v>
      </c>
      <c r="H6" s="46">
        <v>0</v>
      </c>
      <c r="I6" s="51" t="s">
        <v>636</v>
      </c>
    </row>
    <row r="7" spans="1:9" ht="60.75" customHeight="1" x14ac:dyDescent="0.15">
      <c r="A7" s="27" t="s">
        <v>635</v>
      </c>
      <c r="B7" s="46">
        <v>12</v>
      </c>
      <c r="C7" s="46">
        <v>0</v>
      </c>
      <c r="D7" s="30">
        <v>0</v>
      </c>
      <c r="E7" s="15" t="s">
        <v>636</v>
      </c>
      <c r="F7" s="27" t="s">
        <v>634</v>
      </c>
      <c r="G7" s="46">
        <v>116</v>
      </c>
      <c r="H7" s="46">
        <v>0</v>
      </c>
      <c r="I7" s="51" t="s">
        <v>637</v>
      </c>
    </row>
    <row r="8" spans="1:9" ht="62.25" customHeight="1" x14ac:dyDescent="0.15">
      <c r="A8" s="15" t="s">
        <v>638</v>
      </c>
      <c r="B8" s="16">
        <v>11</v>
      </c>
      <c r="C8" s="16">
        <v>0</v>
      </c>
      <c r="D8" s="30">
        <v>0</v>
      </c>
      <c r="E8" s="15" t="s">
        <v>643</v>
      </c>
      <c r="F8" s="15" t="s">
        <v>658</v>
      </c>
      <c r="G8" s="16">
        <v>1</v>
      </c>
      <c r="H8" s="16">
        <v>0</v>
      </c>
      <c r="I8" s="51" t="s">
        <v>644</v>
      </c>
    </row>
    <row r="9" spans="1:9" ht="62.25" customHeight="1" x14ac:dyDescent="0.15">
      <c r="A9" s="15" t="s">
        <v>641</v>
      </c>
      <c r="B9" s="16">
        <v>116</v>
      </c>
      <c r="C9" s="16">
        <v>0</v>
      </c>
      <c r="D9" s="30">
        <v>0</v>
      </c>
      <c r="E9" s="15" t="s">
        <v>648</v>
      </c>
      <c r="F9" s="15" t="s">
        <v>642</v>
      </c>
      <c r="G9" s="16">
        <v>4</v>
      </c>
      <c r="H9" s="16">
        <v>0</v>
      </c>
      <c r="I9" s="51" t="s">
        <v>645</v>
      </c>
    </row>
    <row r="10" spans="1:9" ht="99.75" customHeight="1" x14ac:dyDescent="0.15">
      <c r="A10" s="15" t="s">
        <v>642</v>
      </c>
      <c r="B10" s="16">
        <v>4</v>
      </c>
      <c r="C10" s="16">
        <v>0</v>
      </c>
      <c r="D10" s="30">
        <v>0</v>
      </c>
      <c r="E10" s="15" t="s">
        <v>645</v>
      </c>
      <c r="F10" s="15" t="s">
        <v>191</v>
      </c>
      <c r="G10" s="16">
        <v>47</v>
      </c>
      <c r="H10" s="16">
        <v>0</v>
      </c>
      <c r="I10" s="51" t="s">
        <v>656</v>
      </c>
    </row>
    <row r="11" spans="1:9" ht="62.25" customHeight="1" x14ac:dyDescent="0.15">
      <c r="A11" s="15" t="s">
        <v>646</v>
      </c>
      <c r="B11" s="16">
        <v>5</v>
      </c>
      <c r="C11" s="16">
        <v>0</v>
      </c>
      <c r="D11" s="30">
        <v>0</v>
      </c>
      <c r="E11" s="15" t="s">
        <v>647</v>
      </c>
      <c r="F11" s="15" t="s">
        <v>34</v>
      </c>
      <c r="G11" s="16">
        <v>28</v>
      </c>
      <c r="H11" s="16">
        <v>0</v>
      </c>
      <c r="I11" s="51" t="s">
        <v>655</v>
      </c>
    </row>
    <row r="12" spans="1:9" ht="62.25" customHeight="1" x14ac:dyDescent="0.15">
      <c r="A12" s="15" t="s">
        <v>649</v>
      </c>
      <c r="B12" s="16">
        <v>1</v>
      </c>
      <c r="C12" s="16">
        <v>0</v>
      </c>
      <c r="D12" s="30">
        <v>0</v>
      </c>
      <c r="E12" s="56" t="s">
        <v>657</v>
      </c>
      <c r="F12" s="15"/>
      <c r="G12" s="16"/>
      <c r="H12" s="16"/>
      <c r="I12" s="51"/>
    </row>
    <row r="13" spans="1:9" ht="62.25" customHeight="1" x14ac:dyDescent="0.15">
      <c r="A13" s="15" t="s">
        <v>650</v>
      </c>
      <c r="B13" s="16">
        <v>69</v>
      </c>
      <c r="C13" s="16">
        <v>0</v>
      </c>
      <c r="D13" s="30">
        <v>0</v>
      </c>
      <c r="E13" s="15" t="s">
        <v>654</v>
      </c>
      <c r="F13" s="15"/>
      <c r="G13" s="16"/>
      <c r="H13" s="16"/>
      <c r="I13" s="51"/>
    </row>
    <row r="14" spans="1:9" ht="62.25" customHeight="1" x14ac:dyDescent="0.15">
      <c r="A14" s="15"/>
      <c r="B14" s="16"/>
      <c r="C14" s="16"/>
      <c r="D14" s="30"/>
      <c r="E14" s="15"/>
      <c r="F14" s="15"/>
      <c r="G14" s="16"/>
      <c r="H14" s="16"/>
      <c r="I14" s="51"/>
    </row>
    <row r="15" spans="1:9" ht="62.25" customHeight="1" x14ac:dyDescent="0.15">
      <c r="A15" s="15"/>
      <c r="B15" s="16"/>
      <c r="C15" s="16"/>
      <c r="D15" s="30"/>
      <c r="E15" s="15"/>
      <c r="F15" s="15"/>
      <c r="G15" s="16"/>
      <c r="H15" s="16"/>
      <c r="I15" s="51"/>
    </row>
    <row r="16" spans="1:9" ht="62.25" customHeight="1" x14ac:dyDescent="0.15">
      <c r="A16" s="15"/>
      <c r="B16" s="16"/>
      <c r="C16" s="16"/>
      <c r="D16" s="17"/>
      <c r="E16" s="15"/>
      <c r="F16" s="15"/>
      <c r="G16" s="16"/>
      <c r="H16" s="16"/>
      <c r="I16" s="27"/>
    </row>
    <row r="17" spans="1:9" ht="53.25" customHeight="1" x14ac:dyDescent="0.15">
      <c r="A17" s="15"/>
      <c r="B17" s="16"/>
      <c r="C17" s="16"/>
      <c r="D17" s="16"/>
      <c r="E17" s="15"/>
      <c r="F17" s="15"/>
      <c r="G17" s="16"/>
      <c r="H17" s="16"/>
      <c r="I17" s="15"/>
    </row>
    <row r="18" spans="1:9" ht="30" customHeight="1" x14ac:dyDescent="0.15">
      <c r="A18" s="28" t="s">
        <v>12</v>
      </c>
      <c r="B18" s="29">
        <f>SUM(B6:B17)</f>
        <v>334</v>
      </c>
      <c r="C18" s="29">
        <f>SUM(C6:C17)</f>
        <v>0</v>
      </c>
      <c r="D18" s="29">
        <f>SUM(D6:D17)</f>
        <v>0</v>
      </c>
      <c r="E18" s="29"/>
      <c r="F18" s="29"/>
      <c r="G18" s="29">
        <f>SUM(G6:G17)</f>
        <v>208</v>
      </c>
      <c r="H18" s="29">
        <f>SUM(H6:H17)</f>
        <v>0</v>
      </c>
      <c r="I18" s="29"/>
    </row>
    <row r="21" spans="1:9" ht="30" customHeight="1" x14ac:dyDescent="0.15">
      <c r="A21" s="43" t="s">
        <v>13</v>
      </c>
      <c r="B21" s="43"/>
      <c r="C21" s="43"/>
      <c r="D21" s="43"/>
      <c r="E21" s="43"/>
      <c r="F21" s="43"/>
    </row>
    <row r="22" spans="1:9" ht="30" customHeight="1" x14ac:dyDescent="0.15">
      <c r="A22" s="20" t="s">
        <v>7</v>
      </c>
      <c r="B22" s="18" t="s">
        <v>1</v>
      </c>
      <c r="C22" s="18" t="s">
        <v>11</v>
      </c>
      <c r="D22" s="19" t="s">
        <v>10</v>
      </c>
      <c r="E22" s="19" t="s">
        <v>6</v>
      </c>
      <c r="F22" s="35"/>
    </row>
    <row r="23" spans="1:9" ht="53.25" customHeight="1" x14ac:dyDescent="0.15">
      <c r="A23" s="15" t="s">
        <v>14</v>
      </c>
      <c r="B23" s="31">
        <v>46199</v>
      </c>
      <c r="C23" s="16">
        <v>2</v>
      </c>
      <c r="D23" s="33">
        <v>2</v>
      </c>
      <c r="E23" s="27" t="s">
        <v>15</v>
      </c>
      <c r="F23" s="45" t="s">
        <v>20</v>
      </c>
    </row>
    <row r="24" spans="1:9" ht="53.25" customHeight="1" x14ac:dyDescent="0.15">
      <c r="A24" s="15" t="s">
        <v>17</v>
      </c>
      <c r="B24" s="31">
        <v>46203</v>
      </c>
      <c r="C24" s="16">
        <v>34</v>
      </c>
      <c r="D24" s="33">
        <v>34</v>
      </c>
      <c r="E24" s="37" t="s">
        <v>16</v>
      </c>
      <c r="F24" s="45" t="s">
        <v>22</v>
      </c>
    </row>
    <row r="25" spans="1:9" ht="53.25" customHeight="1" x14ac:dyDescent="0.15">
      <c r="A25" s="15" t="s">
        <v>26</v>
      </c>
      <c r="B25" s="31">
        <v>46216</v>
      </c>
      <c r="C25" s="16">
        <v>6</v>
      </c>
      <c r="D25" s="32">
        <v>6</v>
      </c>
      <c r="E25" s="27" t="s">
        <v>28</v>
      </c>
      <c r="F25" s="45" t="s">
        <v>29</v>
      </c>
    </row>
    <row r="26" spans="1:9" ht="53.25" customHeight="1" x14ac:dyDescent="0.15">
      <c r="A26" s="49" t="s">
        <v>30</v>
      </c>
      <c r="B26" s="31">
        <v>46224</v>
      </c>
      <c r="C26" s="16">
        <v>1</v>
      </c>
      <c r="D26" s="33">
        <v>1</v>
      </c>
      <c r="E26" s="27" t="s">
        <v>31</v>
      </c>
      <c r="F26" s="34"/>
    </row>
    <row r="27" spans="1:9" ht="53.25" customHeight="1" x14ac:dyDescent="0.15">
      <c r="A27" s="15" t="s">
        <v>32</v>
      </c>
      <c r="B27" s="31">
        <v>46226</v>
      </c>
      <c r="C27" s="16">
        <v>20</v>
      </c>
      <c r="D27" s="33">
        <v>20</v>
      </c>
      <c r="E27" s="27" t="s">
        <v>33</v>
      </c>
      <c r="F27" s="34"/>
    </row>
    <row r="28" spans="1:9" ht="53.25" customHeight="1" x14ac:dyDescent="0.15">
      <c r="A28" s="15" t="s">
        <v>63</v>
      </c>
      <c r="B28" s="31">
        <v>46237</v>
      </c>
      <c r="C28" s="30">
        <v>13</v>
      </c>
      <c r="D28" s="32">
        <v>13</v>
      </c>
      <c r="E28" s="15" t="s">
        <v>75</v>
      </c>
      <c r="F28" s="34"/>
    </row>
    <row r="29" spans="1:9" ht="53.25" customHeight="1" x14ac:dyDescent="0.15">
      <c r="A29" s="15" t="s">
        <v>305</v>
      </c>
      <c r="B29" s="31">
        <v>46247</v>
      </c>
      <c r="C29" s="30">
        <v>7</v>
      </c>
      <c r="D29" s="32">
        <v>7</v>
      </c>
      <c r="E29" s="15" t="s">
        <v>321</v>
      </c>
      <c r="F29" s="34"/>
    </row>
    <row r="30" spans="1:9" ht="66.75" customHeight="1" x14ac:dyDescent="0.15">
      <c r="A30" s="15" t="s">
        <v>306</v>
      </c>
      <c r="B30" s="31">
        <v>46247</v>
      </c>
      <c r="C30" s="30">
        <v>20</v>
      </c>
      <c r="D30" s="32">
        <v>20</v>
      </c>
      <c r="E30" s="15" t="s">
        <v>324</v>
      </c>
      <c r="F30" s="34"/>
    </row>
    <row r="31" spans="1:9" ht="53.25" customHeight="1" x14ac:dyDescent="0.15">
      <c r="A31" s="15" t="s">
        <v>307</v>
      </c>
      <c r="B31" s="31">
        <v>46247</v>
      </c>
      <c r="C31" s="30">
        <v>1</v>
      </c>
      <c r="D31" s="32">
        <v>1</v>
      </c>
      <c r="E31" s="15" t="s">
        <v>326</v>
      </c>
      <c r="F31" s="34"/>
    </row>
    <row r="32" spans="1:9" ht="53.25" customHeight="1" x14ac:dyDescent="0.15">
      <c r="A32" s="15" t="s">
        <v>313</v>
      </c>
      <c r="B32" s="31">
        <v>46247</v>
      </c>
      <c r="C32" s="30">
        <v>9</v>
      </c>
      <c r="D32" s="32">
        <v>9</v>
      </c>
      <c r="E32" s="15" t="s">
        <v>332</v>
      </c>
      <c r="F32" s="34"/>
    </row>
    <row r="33" spans="1:6" ht="53.25" customHeight="1" x14ac:dyDescent="0.15">
      <c r="A33" s="15" t="s">
        <v>328</v>
      </c>
      <c r="B33" s="31">
        <v>46247</v>
      </c>
      <c r="C33" s="30">
        <v>3</v>
      </c>
      <c r="D33" s="32">
        <v>3</v>
      </c>
      <c r="E33" s="15" t="s">
        <v>338</v>
      </c>
      <c r="F33" s="34"/>
    </row>
    <row r="34" spans="1:6" ht="53.25" customHeight="1" x14ac:dyDescent="0.15">
      <c r="A34" s="15" t="s">
        <v>360</v>
      </c>
      <c r="B34" s="31">
        <v>46248</v>
      </c>
      <c r="C34" s="30">
        <v>39</v>
      </c>
      <c r="D34" s="32">
        <v>39</v>
      </c>
      <c r="E34" s="15" t="s">
        <v>361</v>
      </c>
      <c r="F34" s="34"/>
    </row>
    <row r="35" spans="1:6" ht="53.25" customHeight="1" x14ac:dyDescent="0.15">
      <c r="A35" s="27" t="s">
        <v>382</v>
      </c>
      <c r="B35" s="31">
        <v>46251</v>
      </c>
      <c r="C35" s="30">
        <v>9</v>
      </c>
      <c r="D35" s="32">
        <v>9</v>
      </c>
      <c r="E35" s="27" t="s">
        <v>383</v>
      </c>
      <c r="F35" s="34"/>
    </row>
    <row r="36" spans="1:6" ht="53.25" customHeight="1" x14ac:dyDescent="0.15">
      <c r="A36" s="27" t="s">
        <v>379</v>
      </c>
      <c r="B36" s="31">
        <v>46251</v>
      </c>
      <c r="C36" s="30">
        <v>7</v>
      </c>
      <c r="D36" s="32">
        <v>7</v>
      </c>
      <c r="E36" s="27" t="s">
        <v>384</v>
      </c>
      <c r="F36" s="34"/>
    </row>
    <row r="37" spans="1:6" ht="53.25" customHeight="1" x14ac:dyDescent="0.15">
      <c r="A37" s="27" t="s">
        <v>380</v>
      </c>
      <c r="B37" s="31">
        <v>46251</v>
      </c>
      <c r="C37" s="30">
        <v>4</v>
      </c>
      <c r="D37" s="32">
        <v>4</v>
      </c>
      <c r="E37" s="27" t="s">
        <v>386</v>
      </c>
      <c r="F37" s="34"/>
    </row>
    <row r="38" spans="1:6" ht="53.25" customHeight="1" x14ac:dyDescent="0.15">
      <c r="A38" s="27" t="s">
        <v>389</v>
      </c>
      <c r="B38" s="31">
        <v>46251</v>
      </c>
      <c r="C38" s="30">
        <v>2</v>
      </c>
      <c r="D38" s="32">
        <v>2</v>
      </c>
      <c r="E38" s="27" t="s">
        <v>391</v>
      </c>
      <c r="F38" s="34"/>
    </row>
    <row r="39" spans="1:6" ht="60.6" customHeight="1" x14ac:dyDescent="0.15">
      <c r="A39" s="15" t="s">
        <v>393</v>
      </c>
      <c r="B39" s="31">
        <v>46251</v>
      </c>
      <c r="C39" s="30">
        <v>3</v>
      </c>
      <c r="D39" s="32">
        <v>3</v>
      </c>
      <c r="E39" s="15" t="s">
        <v>394</v>
      </c>
      <c r="F39" s="34"/>
    </row>
    <row r="40" spans="1:6" ht="53.25" customHeight="1" x14ac:dyDescent="0.15">
      <c r="A40" s="27" t="s">
        <v>398</v>
      </c>
      <c r="B40" s="31">
        <v>46252</v>
      </c>
      <c r="C40" s="30">
        <v>7</v>
      </c>
      <c r="D40" s="32">
        <v>7</v>
      </c>
      <c r="E40" s="15" t="s">
        <v>404</v>
      </c>
      <c r="F40" s="34"/>
    </row>
    <row r="41" spans="1:6" ht="53.25" customHeight="1" x14ac:dyDescent="0.15">
      <c r="A41" s="27" t="s">
        <v>399</v>
      </c>
      <c r="B41" s="31">
        <v>46252</v>
      </c>
      <c r="C41" s="30">
        <v>21</v>
      </c>
      <c r="D41" s="32">
        <v>21</v>
      </c>
      <c r="E41" s="15" t="s">
        <v>403</v>
      </c>
      <c r="F41" s="34"/>
    </row>
    <row r="42" spans="1:6" ht="66.75" customHeight="1" x14ac:dyDescent="0.15">
      <c r="A42" s="27" t="s">
        <v>433</v>
      </c>
      <c r="B42" s="31">
        <v>46253</v>
      </c>
      <c r="C42" s="30">
        <v>12</v>
      </c>
      <c r="D42" s="32">
        <v>12</v>
      </c>
      <c r="E42" s="15" t="s">
        <v>442</v>
      </c>
      <c r="F42" s="34"/>
    </row>
    <row r="43" spans="1:6" ht="53.25" customHeight="1" x14ac:dyDescent="0.15">
      <c r="A43" s="27" t="s">
        <v>434</v>
      </c>
      <c r="B43" s="31">
        <v>46253</v>
      </c>
      <c r="C43" s="30">
        <v>6</v>
      </c>
      <c r="D43" s="32">
        <v>6</v>
      </c>
      <c r="E43" s="15" t="s">
        <v>447</v>
      </c>
      <c r="F43" s="34"/>
    </row>
    <row r="44" spans="1:6" ht="53.25" customHeight="1" x14ac:dyDescent="0.15">
      <c r="A44" s="27" t="s">
        <v>459</v>
      </c>
      <c r="B44" s="31">
        <v>46254</v>
      </c>
      <c r="C44" s="30">
        <v>1</v>
      </c>
      <c r="D44" s="32">
        <v>1</v>
      </c>
      <c r="E44" s="15" t="s">
        <v>470</v>
      </c>
      <c r="F44" s="34"/>
    </row>
    <row r="45" spans="1:6" ht="53.25" customHeight="1" x14ac:dyDescent="0.15">
      <c r="A45" s="27" t="s">
        <v>456</v>
      </c>
      <c r="B45" s="31">
        <v>46254</v>
      </c>
      <c r="C45" s="30">
        <v>7</v>
      </c>
      <c r="D45" s="32">
        <v>7</v>
      </c>
      <c r="E45" s="15" t="s">
        <v>469</v>
      </c>
      <c r="F45" s="34"/>
    </row>
    <row r="46" spans="1:6" ht="53.25" customHeight="1" x14ac:dyDescent="0.15">
      <c r="A46" s="27" t="s">
        <v>457</v>
      </c>
      <c r="B46" s="31">
        <v>46254</v>
      </c>
      <c r="C46" s="30">
        <v>19</v>
      </c>
      <c r="D46" s="32">
        <v>19</v>
      </c>
      <c r="E46" s="15" t="s">
        <v>465</v>
      </c>
      <c r="F46" s="34"/>
    </row>
    <row r="47" spans="1:6" ht="53.25" customHeight="1" x14ac:dyDescent="0.15">
      <c r="A47" s="15" t="s">
        <v>473</v>
      </c>
      <c r="B47" s="31">
        <v>46254</v>
      </c>
      <c r="C47" s="30">
        <v>1</v>
      </c>
      <c r="D47" s="32">
        <v>1</v>
      </c>
      <c r="E47" s="15" t="s">
        <v>474</v>
      </c>
      <c r="F47" s="34"/>
    </row>
    <row r="48" spans="1:6" ht="53.25" customHeight="1" x14ac:dyDescent="0.15">
      <c r="A48" s="27" t="s">
        <v>497</v>
      </c>
      <c r="B48" s="31">
        <v>46255</v>
      </c>
      <c r="C48" s="30">
        <v>7</v>
      </c>
      <c r="D48" s="32">
        <v>7</v>
      </c>
      <c r="E48" s="15" t="s">
        <v>499</v>
      </c>
      <c r="F48" s="34"/>
    </row>
    <row r="49" spans="1:6" ht="53.25" customHeight="1" x14ac:dyDescent="0.15">
      <c r="A49" s="27" t="s">
        <v>491</v>
      </c>
      <c r="B49" s="31">
        <v>46255</v>
      </c>
      <c r="C49" s="30">
        <v>17</v>
      </c>
      <c r="D49" s="32">
        <v>17</v>
      </c>
      <c r="E49" s="15" t="s">
        <v>501</v>
      </c>
      <c r="F49" s="34"/>
    </row>
    <row r="50" spans="1:6" ht="53.25" customHeight="1" x14ac:dyDescent="0.15">
      <c r="A50" s="54" t="s">
        <v>492</v>
      </c>
      <c r="B50" s="31">
        <v>46255</v>
      </c>
      <c r="C50" s="30">
        <v>1</v>
      </c>
      <c r="D50" s="32">
        <v>1</v>
      </c>
      <c r="E50" s="15" t="s">
        <v>496</v>
      </c>
      <c r="F50" s="34"/>
    </row>
    <row r="51" spans="1:6" ht="53.25" customHeight="1" x14ac:dyDescent="0.15">
      <c r="A51" s="27" t="s">
        <v>493</v>
      </c>
      <c r="B51" s="31">
        <v>46255</v>
      </c>
      <c r="C51" s="30">
        <v>30</v>
      </c>
      <c r="D51" s="32">
        <v>30</v>
      </c>
      <c r="E51" s="15" t="s">
        <v>503</v>
      </c>
      <c r="F51" s="34"/>
    </row>
    <row r="52" spans="1:6" ht="53.25" customHeight="1" x14ac:dyDescent="0.15">
      <c r="A52" s="15" t="s">
        <v>506</v>
      </c>
      <c r="B52" s="31">
        <v>46255</v>
      </c>
      <c r="C52" s="30">
        <v>4</v>
      </c>
      <c r="D52" s="32">
        <v>4</v>
      </c>
      <c r="E52" s="15" t="s">
        <v>507</v>
      </c>
      <c r="F52" s="34"/>
    </row>
    <row r="53" spans="1:6" ht="67.5" customHeight="1" x14ac:dyDescent="0.15">
      <c r="A53" s="55" t="s">
        <v>513</v>
      </c>
      <c r="B53" s="31">
        <v>46258</v>
      </c>
      <c r="C53" s="46">
        <v>3</v>
      </c>
      <c r="D53" s="46">
        <v>1</v>
      </c>
      <c r="E53" s="15" t="s">
        <v>566</v>
      </c>
      <c r="F53" s="34"/>
    </row>
    <row r="54" spans="1:6" ht="53.25" customHeight="1" x14ac:dyDescent="0.15">
      <c r="A54" s="15" t="s">
        <v>516</v>
      </c>
      <c r="B54" s="31">
        <v>46258</v>
      </c>
      <c r="C54" s="16">
        <v>3</v>
      </c>
      <c r="D54" s="33">
        <v>2</v>
      </c>
      <c r="E54" s="15" t="s">
        <v>542</v>
      </c>
      <c r="F54" s="34" t="s">
        <v>569</v>
      </c>
    </row>
    <row r="55" spans="1:6" ht="53.25" customHeight="1" x14ac:dyDescent="0.15">
      <c r="A55" s="27" t="s">
        <v>517</v>
      </c>
      <c r="B55" s="31">
        <v>46258</v>
      </c>
      <c r="C55" s="46">
        <v>7</v>
      </c>
      <c r="D55" s="33">
        <v>7</v>
      </c>
      <c r="E55" s="15" t="s">
        <v>535</v>
      </c>
      <c r="F55" s="34"/>
    </row>
    <row r="56" spans="1:6" ht="53.25" customHeight="1" x14ac:dyDescent="0.15">
      <c r="A56" s="15" t="s">
        <v>518</v>
      </c>
      <c r="B56" s="31">
        <v>46258</v>
      </c>
      <c r="C56" s="16">
        <v>4</v>
      </c>
      <c r="D56" s="33">
        <v>4</v>
      </c>
      <c r="E56" s="15" t="s">
        <v>536</v>
      </c>
      <c r="F56" s="34"/>
    </row>
    <row r="57" spans="1:6" ht="53.25" customHeight="1" x14ac:dyDescent="0.15">
      <c r="A57" s="15" t="s">
        <v>519</v>
      </c>
      <c r="B57" s="31">
        <v>46258</v>
      </c>
      <c r="C57" s="16">
        <v>45</v>
      </c>
      <c r="D57" s="33">
        <v>45</v>
      </c>
      <c r="E57" s="15" t="s">
        <v>526</v>
      </c>
      <c r="F57" s="34"/>
    </row>
    <row r="58" spans="1:6" ht="53.25" customHeight="1" x14ac:dyDescent="0.15">
      <c r="A58" s="15" t="s">
        <v>564</v>
      </c>
      <c r="B58" s="31">
        <v>46259</v>
      </c>
      <c r="C58" s="30">
        <v>4</v>
      </c>
      <c r="D58" s="32">
        <v>4</v>
      </c>
      <c r="E58" s="15" t="s">
        <v>565</v>
      </c>
      <c r="F58" s="34"/>
    </row>
    <row r="59" spans="1:6" ht="53.25" customHeight="1" x14ac:dyDescent="0.15">
      <c r="A59" s="15" t="s">
        <v>549</v>
      </c>
      <c r="B59" s="31">
        <v>46259</v>
      </c>
      <c r="C59" s="30">
        <v>2</v>
      </c>
      <c r="D59" s="32">
        <v>2</v>
      </c>
      <c r="E59" s="15" t="s">
        <v>571</v>
      </c>
      <c r="F59" s="34"/>
    </row>
    <row r="60" spans="1:6" ht="53.25" customHeight="1" x14ac:dyDescent="0.15">
      <c r="A60" s="27" t="s">
        <v>574</v>
      </c>
      <c r="B60" s="31">
        <v>46260</v>
      </c>
      <c r="C60" s="30">
        <v>21</v>
      </c>
      <c r="D60" s="32">
        <v>21</v>
      </c>
      <c r="E60" s="15" t="s">
        <v>582</v>
      </c>
      <c r="F60" s="34"/>
    </row>
    <row r="61" spans="1:6" ht="53.25" customHeight="1" x14ac:dyDescent="0.15">
      <c r="A61" s="15" t="s">
        <v>575</v>
      </c>
      <c r="B61" s="31">
        <v>46260</v>
      </c>
      <c r="C61" s="30">
        <v>2</v>
      </c>
      <c r="D61" s="32">
        <v>2</v>
      </c>
      <c r="E61" s="15" t="s">
        <v>584</v>
      </c>
      <c r="F61" s="34"/>
    </row>
    <row r="62" spans="1:6" ht="53.25" customHeight="1" x14ac:dyDescent="0.15">
      <c r="A62" s="15" t="s">
        <v>576</v>
      </c>
      <c r="B62" s="31">
        <v>46260</v>
      </c>
      <c r="C62" s="30">
        <v>6</v>
      </c>
      <c r="D62" s="32">
        <v>6</v>
      </c>
      <c r="E62" s="15" t="s">
        <v>588</v>
      </c>
      <c r="F62" s="34"/>
    </row>
    <row r="63" spans="1:6" ht="53.25" customHeight="1" x14ac:dyDescent="0.15">
      <c r="A63" s="54" t="s">
        <v>583</v>
      </c>
      <c r="B63" s="31">
        <v>46260</v>
      </c>
      <c r="C63" s="30">
        <v>1</v>
      </c>
      <c r="D63" s="32">
        <v>1</v>
      </c>
      <c r="E63" s="15" t="s">
        <v>586</v>
      </c>
      <c r="F63" s="34"/>
    </row>
    <row r="64" spans="1:6" ht="53.25" customHeight="1" x14ac:dyDescent="0.15">
      <c r="A64" s="27" t="s">
        <v>606</v>
      </c>
      <c r="B64" s="31">
        <v>46261</v>
      </c>
      <c r="C64" s="30">
        <v>1</v>
      </c>
      <c r="D64" s="32">
        <v>1</v>
      </c>
      <c r="E64" s="15" t="s">
        <v>612</v>
      </c>
      <c r="F64" s="34"/>
    </row>
    <row r="65" spans="1:7" ht="53.25" customHeight="1" x14ac:dyDescent="0.15">
      <c r="A65" s="27" t="s">
        <v>608</v>
      </c>
      <c r="B65" s="31">
        <v>46261</v>
      </c>
      <c r="C65" s="30">
        <v>2</v>
      </c>
      <c r="D65" s="32">
        <v>2</v>
      </c>
      <c r="E65" s="15" t="s">
        <v>613</v>
      </c>
      <c r="F65" s="34"/>
    </row>
    <row r="66" spans="1:7" ht="53.25" customHeight="1" x14ac:dyDescent="0.15">
      <c r="A66" s="15" t="s">
        <v>618</v>
      </c>
      <c r="B66" s="31">
        <v>46261</v>
      </c>
      <c r="C66" s="30">
        <v>3</v>
      </c>
      <c r="D66" s="32">
        <v>3</v>
      </c>
      <c r="E66" s="15" t="s">
        <v>622</v>
      </c>
      <c r="F66" s="34"/>
    </row>
    <row r="67" spans="1:7" ht="53.25" customHeight="1" x14ac:dyDescent="0.15">
      <c r="A67" s="15" t="s">
        <v>276</v>
      </c>
      <c r="B67" s="31">
        <v>46246</v>
      </c>
      <c r="C67" s="16">
        <v>18</v>
      </c>
      <c r="D67" s="33">
        <v>18</v>
      </c>
      <c r="E67" s="15" t="s">
        <v>278</v>
      </c>
      <c r="F67" s="45" t="s">
        <v>653</v>
      </c>
      <c r="G67" s="3" t="s">
        <v>640</v>
      </c>
    </row>
    <row r="68" spans="1:7" ht="53.25" customHeight="1" x14ac:dyDescent="0.15">
      <c r="A68" s="15" t="s">
        <v>619</v>
      </c>
      <c r="B68" s="31">
        <v>46261</v>
      </c>
      <c r="C68" s="30">
        <v>3</v>
      </c>
      <c r="D68" s="32">
        <v>3</v>
      </c>
      <c r="E68" s="15" t="s">
        <v>620</v>
      </c>
      <c r="F68" s="45" t="s">
        <v>639</v>
      </c>
      <c r="G68" s="3" t="s">
        <v>640</v>
      </c>
    </row>
    <row r="69" spans="1:7" ht="53.25" customHeight="1" x14ac:dyDescent="0.15">
      <c r="A69" s="15" t="s">
        <v>191</v>
      </c>
      <c r="B69" s="31">
        <v>46244</v>
      </c>
      <c r="C69" s="16">
        <v>47</v>
      </c>
      <c r="D69" s="46">
        <v>0</v>
      </c>
      <c r="E69" s="15" t="s">
        <v>195</v>
      </c>
      <c r="F69" s="34" t="s">
        <v>651</v>
      </c>
    </row>
    <row r="70" spans="1:7" ht="53.25" customHeight="1" x14ac:dyDescent="0.15">
      <c r="A70" s="15" t="s">
        <v>34</v>
      </c>
      <c r="B70" s="31">
        <v>46227</v>
      </c>
      <c r="C70" s="30">
        <v>28</v>
      </c>
      <c r="D70" s="30">
        <v>0</v>
      </c>
      <c r="E70" s="27" t="s">
        <v>35</v>
      </c>
      <c r="F70" s="34" t="s">
        <v>652</v>
      </c>
    </row>
    <row r="71" spans="1:7" ht="53.25" customHeight="1" x14ac:dyDescent="0.15">
      <c r="A71" s="15"/>
      <c r="B71" s="31"/>
      <c r="C71" s="30"/>
      <c r="D71" s="30"/>
      <c r="E71" s="15"/>
      <c r="F71" s="34"/>
    </row>
    <row r="72" spans="1:7" ht="53.25" customHeight="1" x14ac:dyDescent="0.15">
      <c r="A72" s="15"/>
      <c r="B72" s="31"/>
      <c r="C72" s="16"/>
      <c r="D72" s="32"/>
      <c r="E72" s="27"/>
      <c r="F72" s="34"/>
    </row>
    <row r="73" spans="1:7" ht="38.25" customHeight="1" x14ac:dyDescent="0.15">
      <c r="A73" s="22" t="s">
        <v>12</v>
      </c>
      <c r="B73" s="21"/>
      <c r="C73" s="21">
        <f>SUM(C23:C72)</f>
        <v>513</v>
      </c>
      <c r="D73" s="21">
        <f>SUM(D23:D72)</f>
        <v>435</v>
      </c>
      <c r="E73" s="38"/>
      <c r="F73" s="39"/>
    </row>
    <row r="74" spans="1:7" ht="30" customHeight="1" x14ac:dyDescent="0.15">
      <c r="D74" s="44"/>
    </row>
    <row r="75" spans="1:7" ht="30" customHeight="1" x14ac:dyDescent="0.15">
      <c r="D75" s="44"/>
    </row>
    <row r="78" spans="1:7" ht="30" customHeight="1" x14ac:dyDescent="0.15">
      <c r="D78" s="44">
        <f>+D73+D18</f>
        <v>435</v>
      </c>
    </row>
  </sheetData>
  <pageMargins left="0.7" right="0.7" top="0.75" bottom="0.75" header="0.3" footer="0.3"/>
  <pageSetup scale="3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ddb25e-2ccb-44c1-b0c9-a88f32777a9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3DAB5CD05E434EA08191D1F1F581F5" ma:contentTypeVersion="12" ma:contentTypeDescription="Create a new document." ma:contentTypeScope="" ma:versionID="5475a6e6e5300e34ecf90042af537736">
  <xsd:schema xmlns:xsd="http://www.w3.org/2001/XMLSchema" xmlns:xs="http://www.w3.org/2001/XMLSchema" xmlns:p="http://schemas.microsoft.com/office/2006/metadata/properties" xmlns:ns3="76ddb25e-2ccb-44c1-b0c9-a88f32777a93" targetNamespace="http://schemas.microsoft.com/office/2006/metadata/properties" ma:root="true" ma:fieldsID="2e60182ae1b092daccdc8849a03e77fe" ns3:_="">
    <xsd:import namespace="76ddb25e-2ccb-44c1-b0c9-a88f32777a9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db25e-2ccb-44c1-b0c9-a88f32777a9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58500-7E95-40F3-991D-0A368385DD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77F676-64FC-49B0-BA6F-0CFFFFAB86D6}">
  <ds:schemaRefs>
    <ds:schemaRef ds:uri="http://schemas.microsoft.com/office/2006/metadata/properties"/>
    <ds:schemaRef ds:uri="http://schemas.microsoft.com/office/infopath/2007/PartnerControls"/>
    <ds:schemaRef ds:uri="76ddb25e-2ccb-44c1-b0c9-a88f32777a93"/>
  </ds:schemaRefs>
</ds:datastoreItem>
</file>

<file path=customXml/itemProps3.xml><?xml version="1.0" encoding="utf-8"?>
<ds:datastoreItem xmlns:ds="http://schemas.openxmlformats.org/officeDocument/2006/customXml" ds:itemID="{18631A5B-3E8A-4EF0-B350-4046A65886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db25e-2ccb-44c1-b0c9-a88f32777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3-08</vt:lpstr>
      <vt:lpstr>4-08</vt:lpstr>
      <vt:lpstr>5-08</vt:lpstr>
      <vt:lpstr>6-08</vt:lpstr>
      <vt:lpstr>7-08</vt:lpstr>
      <vt:lpstr>10-08</vt:lpstr>
      <vt:lpstr>11-08</vt:lpstr>
      <vt:lpstr>12-08</vt:lpstr>
      <vt:lpstr>13-08</vt:lpstr>
      <vt:lpstr>14-08</vt:lpstr>
      <vt:lpstr>17-08</vt:lpstr>
      <vt:lpstr>18-08</vt:lpstr>
      <vt:lpstr>19-08</vt:lpstr>
      <vt:lpstr>20-08</vt:lpstr>
      <vt:lpstr>21-08</vt:lpstr>
      <vt:lpstr>24-08</vt:lpstr>
      <vt:lpstr>25-08</vt:lpstr>
      <vt:lpstr>26-08 </vt:lpstr>
      <vt:lpstr>27-08</vt:lpstr>
      <vt:lpstr>28-08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Mujeeb Rahman</dc:creator>
  <cp:keywords/>
  <dc:description/>
  <cp:lastModifiedBy>Suhas Parakkandy</cp:lastModifiedBy>
  <cp:revision/>
  <dcterms:created xsi:type="dcterms:W3CDTF">2025-05-13T05:09:00Z</dcterms:created>
  <dcterms:modified xsi:type="dcterms:W3CDTF">2026-08-28T15:20:34Z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0x010100F73DAB5CD05E434EA08191D1F1F581F5</vt:lpwstr>
  </property>
  <property fmtid="{D5CDD505-2E9C-101B-9397-08002B2CF9AE}" pid="3" name="ICV">
    <vt:lpwstr>B4F532275EA4491B85438E299421E14E_12</vt:lpwstr>
  </property>
  <property fmtid="{D5CDD505-2E9C-101B-9397-08002B2CF9AE}" pid="4" name="KSOProductBuildVer">
    <vt:lpwstr>1033-12.2.0.21931</vt:lpwstr>
  </property>
</Properties>
</file>