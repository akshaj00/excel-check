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RDS\671-CHP Chapel St- Project\2 Daily Report\"/>
    </mc:Choice>
  </mc:AlternateContent>
  <xr:revisionPtr revIDLastSave="0" documentId="13_ncr:1_{83113AEA-2DB3-48AB-BB05-2506135E3639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01-10" sheetId="277" r:id="rId1"/>
    <sheet name="02-10" sheetId="278" r:id="rId2"/>
    <sheet name="05-10" sheetId="279" r:id="rId3"/>
    <sheet name="06-10" sheetId="280" r:id="rId4"/>
    <sheet name="07-10" sheetId="281" r:id="rId5"/>
    <sheet name="08-10" sheetId="282" r:id="rId6"/>
    <sheet name="09-10" sheetId="283" r:id="rId7"/>
    <sheet name="12-10" sheetId="284" r:id="rId8"/>
    <sheet name="13-10" sheetId="285" r:id="rId9"/>
    <sheet name="14-10 " sheetId="286" r:id="rId10"/>
    <sheet name="15-10" sheetId="287" r:id="rId11"/>
    <sheet name="16-10" sheetId="28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88" l="1"/>
  <c r="C29" i="288"/>
  <c r="H17" i="288"/>
  <c r="G17" i="288"/>
  <c r="D17" i="288"/>
  <c r="C17" i="288"/>
  <c r="B17" i="288"/>
  <c r="D28" i="287"/>
  <c r="C28" i="287"/>
  <c r="H16" i="287"/>
  <c r="G16" i="287"/>
  <c r="D16" i="287"/>
  <c r="C16" i="287"/>
  <c r="B16" i="287"/>
  <c r="D26" i="286"/>
  <c r="C26" i="286"/>
  <c r="H14" i="286"/>
  <c r="G14" i="286"/>
  <c r="D14" i="286"/>
  <c r="C14" i="286"/>
  <c r="B14" i="286"/>
  <c r="B21" i="285"/>
  <c r="D33" i="285"/>
  <c r="C33" i="285"/>
  <c r="H21" i="285"/>
  <c r="G21" i="285"/>
  <c r="D21" i="285"/>
  <c r="C21" i="285"/>
  <c r="D25" i="284"/>
  <c r="C25" i="284"/>
  <c r="H13" i="284"/>
  <c r="G13" i="284"/>
  <c r="D13" i="284"/>
  <c r="C13" i="284"/>
  <c r="B13" i="284"/>
  <c r="D29" i="283"/>
  <c r="C29" i="283"/>
  <c r="H17" i="283"/>
  <c r="G17" i="283"/>
  <c r="D17" i="283"/>
  <c r="C17" i="283"/>
  <c r="B17" i="283"/>
  <c r="D25" i="282"/>
  <c r="C25" i="282"/>
  <c r="H13" i="282"/>
  <c r="G13" i="282"/>
  <c r="D13" i="282"/>
  <c r="C13" i="282"/>
  <c r="B13" i="282"/>
  <c r="D25" i="281"/>
  <c r="C25" i="281"/>
  <c r="H13" i="281"/>
  <c r="G13" i="281"/>
  <c r="D13" i="281"/>
  <c r="C13" i="281"/>
  <c r="B13" i="281"/>
  <c r="D25" i="280"/>
  <c r="C25" i="280"/>
  <c r="H13" i="280"/>
  <c r="G13" i="280"/>
  <c r="D13" i="280"/>
  <c r="C13" i="280"/>
  <c r="B13" i="280"/>
  <c r="D28" i="279"/>
  <c r="C28" i="279"/>
  <c r="H16" i="279"/>
  <c r="G16" i="279"/>
  <c r="D16" i="279"/>
  <c r="C16" i="279"/>
  <c r="B16" i="279"/>
  <c r="D31" i="278"/>
  <c r="C31" i="278"/>
  <c r="H19" i="278"/>
  <c r="G19" i="278"/>
  <c r="D19" i="278"/>
  <c r="C19" i="278"/>
  <c r="B19" i="278"/>
  <c r="D32" i="277"/>
  <c r="C32" i="277"/>
  <c r="H18" i="277"/>
  <c r="G18" i="277"/>
  <c r="D18" i="277"/>
  <c r="C18" i="277"/>
  <c r="B18" i="277"/>
</calcChain>
</file>

<file path=xl/sharedStrings.xml><?xml version="1.0" encoding="utf-8"?>
<sst xmlns="http://schemas.openxmlformats.org/spreadsheetml/2006/main" count="541" uniqueCount="198">
  <si>
    <t>KPG | RDS | DOCUMENT CONTROLLER DAILY REPORT</t>
  </si>
  <si>
    <t>Date:</t>
  </si>
  <si>
    <t>Project:</t>
  </si>
  <si>
    <t>671CHP - Chapel St.</t>
  </si>
  <si>
    <t>Incoming  Transmittals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</si>
  <si>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</si>
  <si>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</si>
  <si>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</si>
  <si>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</si>
  <si>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</si>
  <si>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</si>
  <si>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</si>
  <si>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>Total</t>
  </si>
  <si>
    <t>Pending  Transmittals</t>
  </si>
  <si>
    <t>LGCE-TRANSMIT-000089: Level 3 light and power</t>
  </si>
  <si>
    <t>ifc -Tayla to advise - KPTG-IntCorr-001504</t>
  </si>
  <si>
    <t>ccair-TRANSMIT-000063: Mechanical Services B1 and Ground Shop Drawing IFC [0]</t>
  </si>
  <si>
    <t>IFC-Waiting for Tayla advise-KPTG-IntCorr-001509</t>
  </si>
  <si>
    <t>ccair-TRANSMIT-000066: Electrical Load Estimation</t>
  </si>
  <si>
    <t>IFC-Waiting for Tayla advise-KPTG-IntCorr-001525</t>
  </si>
  <si>
    <t>POTTSENG-TRANSMIT-000059 671C: HYDRAULIC SERVICES - BASEMENT 1 &amp; 2 - WATER LAYOUTS</t>
  </si>
  <si>
    <t>IFC - ACC updated - waiting for Kapitol to confirm on the review -KPTG-IntCorr-001610</t>
  </si>
  <si>
    <t>RDSBIM-TRANSMIT-000125 671CHP BASEMENT 03 BLOCKWORK PLAN AND ELEVATIONS -880</t>
  </si>
  <si>
    <t>RDSBIM-TRANSMIT-000122 671CHP BASEMENT 04 BLOCKWORK PLAN AND ELEVATIONS  -878</t>
  </si>
  <si>
    <t>KPTG-TRANSMIT-002023</t>
  </si>
  <si>
    <t>KPTG-TRANSMIT-002025</t>
  </si>
  <si>
    <t>RDSBIM-TRANSMIT-000134 LEVEL 05 -10 (TYPICAL) CONCRETE PROFILE PLAN -935</t>
  </si>
  <si>
    <t>B Smart-TRANSMIT-000121 Drawings update -939</t>
  </si>
  <si>
    <t>Jangho-TRANSMIT-000133 The calculation report for the 3–18F corner BOX KPTG-WTRAN-001432: Final (WF-000840)</t>
  </si>
  <si>
    <t>KPTG-TRANSMIT-002027</t>
  </si>
  <si>
    <t>Jangho-TRANSMIT-000135  Podium GF Shop Drawings Rev - 0 - KPTG-WTRAN-001437: Final (WF-000842)</t>
  </si>
  <si>
    <t>KPTG-TRANSMIT-002030</t>
  </si>
  <si>
    <t>KPTG-TRANSMIT-002032</t>
  </si>
  <si>
    <t>IJF-TRANSMIT-000040 PT - Robe Drawings with Inspection Markups -GFMIML-WTRAN-000071: Final (WF-000859)</t>
  </si>
  <si>
    <t>KPTG-TRANSMIT-002033</t>
  </si>
  <si>
    <t>IJF-TRANSMIT-000043: PT Study Drawings with Inspection markups GFMIML-WTRAN-000072: Final (WF-000865)</t>
  </si>
  <si>
    <t>KPTG-TRANSMIT-002036</t>
  </si>
  <si>
    <t xml:space="preserve">IJF-TRANSMIT-000038 PT - Drawings Updated with Inspection Notes - GFMIML-WTRAN-000073: Final (WF-000858) </t>
  </si>
  <si>
    <t>KPTG-TRANSMIT-002039</t>
  </si>
  <si>
    <t>KPTG-TRANSMIT-002041</t>
  </si>
  <si>
    <t>RDSBIM-TRANSMIT-000136 671CHP  COREWALL -  GROUND LEVEL TO ROOF</t>
  </si>
  <si>
    <t>ACC#948 |WF-000896</t>
  </si>
  <si>
    <t>RDSBIM-TRANSMIT-000135 671CHP  LEVEL 18 CONCRETE PROFILE PLAN AND SECTIONS</t>
  </si>
  <si>
    <t>POTTSENG-TRANSMIT-000060: 671C: HYDRAULIC SERVICES - LEVEL 03 &amp; LEVEL 11-20 - DRAINAGE LAYOUTS</t>
  </si>
  <si>
    <t>ACC#950 |WF-000897</t>
  </si>
  <si>
    <t>IFA - ACC#952 | WF-000898</t>
  </si>
  <si>
    <t>RDSBIM-TRANSMIT-000137: 671CHP | L04 APT 2.5 INTERNAL FITOUT AND FINISHES PLAN</t>
  </si>
  <si>
    <t>ACC#954 | WF-000899</t>
  </si>
  <si>
    <t>POTTSENG-TRANSMIT-000061: 671C: HYDRAULIC SERVICES - LEGEND OF SYMBOLS</t>
  </si>
  <si>
    <t>Auspan-TRANSMIT-000149: Re: Panel 8PC7E-12 and 10PC7E-12</t>
  </si>
  <si>
    <t>POTTSENG-TRANSMIT-000062: 671C: HYDRAULIC SERVICES - LEVELS 04-10 - DRAINAGE LAYOUTS</t>
  </si>
  <si>
    <t>POTTSENG-TRANSMIT-000063: 671C: HYDRAULIC SERVICES - GROUND - WATER LAYOUT</t>
  </si>
  <si>
    <t>ACC#957 |WF-000901</t>
  </si>
  <si>
    <t>Ifi - Waiting for Kapitol advise on the review  KPTG-IntCorr-001628</t>
  </si>
  <si>
    <t>KPTG-SADV-005203 - proceed to wF</t>
  </si>
  <si>
    <t>ACC#959 | WF-000902</t>
  </si>
  <si>
    <r>
      <t xml:space="preserve">IFC-Waiting for Tayla advise-KPTG-IntCorr-001509
</t>
    </r>
    <r>
      <rPr>
        <b/>
        <sz val="11"/>
        <rFont val="Calibri"/>
        <family val="2"/>
      </rPr>
      <t xml:space="preserve">ACC#961 | WF-000904 </t>
    </r>
    <r>
      <rPr>
        <sz val="11"/>
        <rFont val="Calibri"/>
        <family val="2"/>
      </rPr>
      <t>for 1 drawing and two are to proceed IFC (Registered and distributed)</t>
    </r>
  </si>
  <si>
    <t>IFC - Registered and transmitted - KPTG-TRANSMIT-002045</t>
  </si>
  <si>
    <r>
      <t xml:space="preserve">IFC-Waiting for Tayla advise-KPTG-IntCorr-001525
</t>
    </r>
    <r>
      <rPr>
        <b/>
        <sz val="11"/>
        <rFont val="Calibri"/>
        <family val="2"/>
      </rPr>
      <t>WF-000905</t>
    </r>
  </si>
  <si>
    <t>KPTG-SADV-005202 - 2 DRAWINGS ok to proceed IFC</t>
  </si>
  <si>
    <t>ccair-TRANSMIT-000071: Mechanical Services L1 shop drawing IFA [B]</t>
  </si>
  <si>
    <t>ELLA to adviseKPTG-IntCorr-001629</t>
  </si>
  <si>
    <t>ACC#963 | WF-000906</t>
  </si>
  <si>
    <t>B Smart-TRANSMIT-000122: Purchaser Variations</t>
  </si>
  <si>
    <t>Kapitol Design Manager to advise on IFI drawings review. KPTG-IntCorr-001630</t>
  </si>
  <si>
    <r>
      <t xml:space="preserve">Kapitol Design Manager to advise on IFI drawings review. KPTG-IntCorr-001630
</t>
    </r>
    <r>
      <rPr>
        <b/>
        <sz val="11"/>
        <rFont val="Calibri"/>
        <family val="2"/>
      </rPr>
      <t>ACC#965 | WF-000907</t>
    </r>
  </si>
  <si>
    <t>KALLIBRE-TRANSMIT-000001: Door Frames - Batch 1 - IFA-1</t>
  </si>
  <si>
    <t>POTTSENG-TRANSMIT-000064: 671C: HYDRAULIC SERVICES - LEVEL 05 - PENETRATION LAYOUT</t>
  </si>
  <si>
    <t>Aloha P-TRANSMIT-000005 Sample and Technical Data Sheets</t>
  </si>
  <si>
    <t>Review terminated as advised by Kapitol via KPTG-IntCorr-001641</t>
  </si>
  <si>
    <t>WF-000910</t>
  </si>
  <si>
    <t>Aloha P-TRANSMIT-000005 Sample and Technical Data Sheets -WF-000891</t>
  </si>
  <si>
    <t>ACC#967 | WF-000911</t>
  </si>
  <si>
    <t>ACC#969 | WF-000912</t>
  </si>
  <si>
    <t>WF-000913</t>
  </si>
  <si>
    <t>Auspan-TRANSMIT-000149 Re: Panel 8PC7E-12 and 10PC7E-12</t>
  </si>
  <si>
    <t>Action taken by project coordinator</t>
  </si>
  <si>
    <t>ccair-TRANSMIT-000074: MSSB Drawings for Approval</t>
  </si>
  <si>
    <r>
      <t xml:space="preserve">IFC - ACC updated - waiting for Kapitol to confirm on the review -KPTG-IntCorr-001610
</t>
    </r>
    <r>
      <rPr>
        <b/>
        <sz val="11"/>
        <rFont val="Calibri"/>
        <family val="2"/>
      </rPr>
      <t xml:space="preserve">ACC#975 | </t>
    </r>
    <r>
      <rPr>
        <sz val="11"/>
        <rFont val="Calibri"/>
        <family val="2"/>
      </rPr>
      <t>WF-000917</t>
    </r>
  </si>
  <si>
    <t>Superseded by LGCE-TRANSMIT-000094</t>
  </si>
  <si>
    <t>IFC internal review initiated.</t>
  </si>
  <si>
    <t>LGCE-TRANSMIT-000094  Level 3 light and power</t>
  </si>
  <si>
    <t>ACC:#977 |WF-000918</t>
  </si>
  <si>
    <t>Waiting for Kapitol advise : KPTG-IntCorr-001658
Action taken by Kapitol PC - WF-000919</t>
  </si>
  <si>
    <t>RDSBIM-TRANSMIT-000121 671CHP LEVEL 11 CONCRETE PROFILE KEYPLAN AND SECTION #874</t>
  </si>
  <si>
    <t>KPTG-TRANSMIT-002065</t>
  </si>
  <si>
    <t>RDSBIM-TRANSMIT-000138 671CHP  LEVEL 05-10 (TYPICAL) CONCRETE PROFILE KEYPLAN</t>
  </si>
  <si>
    <t>RDSBIM-TRANSMIT-000139 671CHP  BASEMENT 01 PARTITION WALL LAYOUT</t>
  </si>
  <si>
    <t>ACC#981 | WF-000922</t>
  </si>
  <si>
    <t>ACC#979 | WF-000921</t>
  </si>
  <si>
    <t>POTTSENG-TRANSMIT-000065: 671C - 	HYDRAULIC SERVICES - GROUND &amp; L01 - DRAINAGE LAYOUT</t>
  </si>
  <si>
    <t>POTTSENG-TRANSMIT-000066: 671C - HYDRAULIC SERVICES - LEVEL 02 - DRAINAGE LAYOUT</t>
  </si>
  <si>
    <t>RDSBIM-TRANSMIT-000140 671CHP  BASEMENT 04 PARTITION WALL LAYOUT</t>
  </si>
  <si>
    <t>ACC#983 | WF-000923</t>
  </si>
  <si>
    <t>RDSBIM-TRANSMIT-000141 671CHP  BASEMENT 03 PARTITION WALL LAYOUT</t>
  </si>
  <si>
    <t>ACC#985 | WF-000924</t>
  </si>
  <si>
    <t>RDSBIM-TRANSMIT-000142 671CHP  BASEMENT 02 PARTITION WALL LAYOUT</t>
  </si>
  <si>
    <t>ACC#987 | WF-000925</t>
  </si>
  <si>
    <t>ccair-TRANSMIT-000078: Mechanical Services B4 to B1 Duct &amp; Pipe IFC</t>
  </si>
  <si>
    <t>IFC waiting for advise-KPTG-IntCorr-001667</t>
  </si>
  <si>
    <t>ACC#989 | WF-000926</t>
  </si>
  <si>
    <t>ACC#991 | WF-000927</t>
  </si>
  <si>
    <t>Jangho-TRANSMIT-000139 L5~L18F cast in channel IFC drawing Rev03  (Jangho-TRANSMIT-000139)</t>
  </si>
  <si>
    <t>KPTG-IntCorr-001675: Fwd: Sample and Technical Data Sheets</t>
  </si>
  <si>
    <t>Documents are not registered. To initiate workflow, trade partner must transmit via Aconex - KPTG-IntCorr-001681</t>
  </si>
  <si>
    <t>Aloha P-TRANSMIT-000005 Sample and Technical Data Sheets -WF-000910</t>
  </si>
  <si>
    <t>Review terminated as advise - KPTG-IntCorr-001677</t>
  </si>
  <si>
    <t>WF-000928</t>
  </si>
  <si>
    <t>Aloha P-TRANSMIT-000005 Sample and Technical Data Sheets  (KPTG-IntCorr-001677)</t>
  </si>
  <si>
    <t>IFC - ACC register updated. Already actioned by Kapitol PC.</t>
  </si>
  <si>
    <t>IFC - ACC registe updated. Already actioned by Kapitol PC. KPTG-SADV-005352</t>
  </si>
  <si>
    <t>KPTG-WTRAN-001483: Final (WF-000888) 671 CHP - STR - Interspan SHOP DRAWING REVIEW - IFC - INTSPN-TRANSMIT-000063 L4 Updated plans</t>
  </si>
  <si>
    <t>Jangho-TRANSMIT-000142 L5~L20F cast in channel IFC drawing Rev03</t>
  </si>
  <si>
    <t>Jangho-TRANSMIT-000143 L5~L20F cast in channel IFC drawing Rev03 0 CAD files.</t>
  </si>
  <si>
    <t>IFC - As advised by kevin Choi, Register and transmit to RDS -KPTG-TRANSMIT-002088</t>
  </si>
  <si>
    <t>IFC CAD - As advised by kevin Choi, Register and transmit to RDS -KPTG-TRANSMIT-002089</t>
  </si>
  <si>
    <t>RDSBIM-TRANSMIT-000144 RDS  671 CHP  B3  BW  IFC</t>
  </si>
  <si>
    <t>RDSBIM-TRANSMIT-000145 RDS  671 CHP  GL  BLOKWORK  IFR</t>
  </si>
  <si>
    <t>RDSBIM-TRANSMIT-000147 RDS  671 CHP B1 BW IFC</t>
  </si>
  <si>
    <t>RDSBIM-TRANSMIT-000146 RDS  671 CHP  B2  BW  IFC</t>
  </si>
  <si>
    <t>RDSBIM-TRANSMIT-000143 RDS  671 CHP  B4 BW IFC</t>
  </si>
  <si>
    <t>ACC#993 |WF-000929</t>
  </si>
  <si>
    <t>ACC#995 | WF-000930</t>
  </si>
  <si>
    <t>IFR ACC#997 |WF-000931</t>
  </si>
  <si>
    <t>ACC#999 |WF-000932</t>
  </si>
  <si>
    <t>ACC#1001 |WF-000933</t>
  </si>
  <si>
    <t>KPTG-WTRAN-001490: Final (WF-000784) Jangho-TRANSMIT-000120 Re: 19‑20F IFA drawings Rev-01</t>
  </si>
  <si>
    <t>Aloha P-TRANSMIT-000009 Pool Tile Sample Sheets</t>
  </si>
  <si>
    <t>WF-000934</t>
  </si>
  <si>
    <t>Aloha P-TRANSMIT-000008 Pool IFA Rev B Drawings (KPTG-TRANSMIT-002093)</t>
  </si>
  <si>
    <t>Rejected due to QA issues, DRAFT-015457</t>
  </si>
  <si>
    <t>B Smart-TRANSMIT-000125 updated drawings as per red stick</t>
  </si>
  <si>
    <t>cair-TRANSMIT-000082: Fwd: Mechanical Services Ground Duct &amp; Pipe IFC [1]</t>
  </si>
  <si>
    <t>ACC#1003 | WF-000935</t>
  </si>
  <si>
    <t>ccair-TRANSMIT-000081 Mechanical Services Core Builders works IFC [1]</t>
  </si>
  <si>
    <t>KPTG-TRANSMIT-002094</t>
  </si>
  <si>
    <t>ACC#1005 | WF-000936</t>
  </si>
  <si>
    <t>KPTG-TRANSMIT-002095</t>
  </si>
  <si>
    <t xml:space="preserve">Jangho-TRANSMIT-000128 L3~18 IFC Drawings Rev03 Final KPTG-WTRAN-001491 (WF-000825) </t>
  </si>
  <si>
    <t>KPTG-TRANSMIT-002097</t>
  </si>
  <si>
    <t>RDSBIM-TRANSMIT-000145 RDS  671 CHP  GL  BLOKWORK  ACC#997</t>
  </si>
  <si>
    <t>Rejected due to QA issues, DRAFT-015462</t>
  </si>
  <si>
    <t>Review terminated as advised; RDS is issuing an updated set.</t>
  </si>
  <si>
    <t>RDSBIM-TRANSMIT-000148 671 CHP  GROUND FLOOR BLOCKWORK ELEVATIONS</t>
  </si>
  <si>
    <t>ACC#1009 | WF-000937</t>
  </si>
  <si>
    <t>RDSBIM-TRANSMIT-000149 671 CHP  LEVEL 11 CONCRETE PROFILE KEYPLAN</t>
  </si>
  <si>
    <t>ACC#1011 | WF-000938</t>
  </si>
  <si>
    <t>ccair-TRANSMIT-000084: Mechanical Services L04-10 Duct &amp; Pipe IFA</t>
  </si>
  <si>
    <t>crossfir-TRANSMIT-000043: Wet Fire - Penetrations Level 11 to up, IFC</t>
  </si>
  <si>
    <t>Rejected- difference in title- DRAFT-015506</t>
  </si>
  <si>
    <t>IFC waiting for kapitol advise-KPTG-IntCorr-001705
10 Drawings</t>
  </si>
  <si>
    <t>B Smart-TRANSMIT-000126: Re: updated drawings as per red stick</t>
  </si>
  <si>
    <t>Waiting for clarification from BSA - on number of drawings.(resubmssion does not include 20 drawings). As advised by the Architect.  This transmittal will be superseded</t>
  </si>
  <si>
    <t>As advised by the Architect.  This transmittal will be superseded</t>
  </si>
  <si>
    <t>B Smart-TRANSMIT-000126 Re: updated drawings as per red stick</t>
  </si>
  <si>
    <t>IFC waiting for kapitol advise-KPTG-IntCorr-001705</t>
  </si>
  <si>
    <t>AESG-AU1-TRANSMIT-000006 - F3P1 PERFORMANCE SOLUTION REPORT - WEATHERPROOFING -KPTG-WTRAN-001500: Final (WF-000762)</t>
  </si>
  <si>
    <t>Jangho-TRANSMIT-000121 Podium 1-2F IFC Drawings Rev-02 KPTG-WTRAN-001502: Final (WF-000781)</t>
  </si>
  <si>
    <t>crossfir-TRANSMIT-000044: Wet Fire - Pumproom and Tank, IFA</t>
  </si>
  <si>
    <t>B Smart-TRANSMIT-000127 Re: updated drawings as per red stick</t>
  </si>
  <si>
    <t>IFC - ACC#1013 | WF-000941</t>
  </si>
  <si>
    <t>IFI  - ACC#1014 | WF-000942</t>
  </si>
  <si>
    <t>B Smart-TRANSMIT-000127 updated drawings as per red stick</t>
  </si>
  <si>
    <t>RDSBIM-TRANSMIT-000150 671 CHP  GROUND FLOOR PARTITION WALL PLAN</t>
  </si>
  <si>
    <t>ACC#1016 |WF-000943</t>
  </si>
  <si>
    <t>Rejected due to incorrect drawing revision- DRAFT-015578</t>
  </si>
  <si>
    <t>KPTG-TRANSMIT-002111</t>
  </si>
  <si>
    <t>B Smart-TRANSMIT-000128 GA - graphic update</t>
  </si>
  <si>
    <t>Rejected due to incorrect drawing titile - DRAFT-015585</t>
  </si>
  <si>
    <t>B Smart-TRANSMIT-000129: Re: GA - graphic update</t>
  </si>
  <si>
    <t>RDSBIM-TRANSMIT-000148 671 CHP  GROUND FLOOR BLOCKWORK ELEVATIONS #1009</t>
  </si>
  <si>
    <t>Aloha P-TRANSMIT-000010: Re: Pool IFA Rev B Drawings</t>
  </si>
  <si>
    <t>Rejected by Kapitol PM George  - KPTG-IntCorr-001716</t>
  </si>
  <si>
    <t>crossfir-TRANSMIT-000045 Wet Fire - Pumproom &amp; Tank</t>
  </si>
  <si>
    <t>ACC#1019 | WF-000946</t>
  </si>
  <si>
    <t>Rejected due to incorrect drawings attached, - DRAFT-015616</t>
  </si>
  <si>
    <t>KPTG-TRANSMIT-002114</t>
  </si>
  <si>
    <t>KPTG-TRANSMIT-002115</t>
  </si>
  <si>
    <t>ccair-TRANSMIT-000085: Mechanical Services Level 12 IFA [A]</t>
  </si>
  <si>
    <t>ACC#1021 |WF-000947</t>
  </si>
  <si>
    <t>ccair-TRANSMIT-000086 Mechanical Services L04-10 Duct &amp; Pipe IFA</t>
  </si>
  <si>
    <t>Rejected due to incomplete resubmision.</t>
  </si>
  <si>
    <t>LGCE-TRANSMIT-000105 reed switch</t>
  </si>
  <si>
    <t>Rejected due to incomplete resubmision. DRAFT-015634</t>
  </si>
  <si>
    <t>Rejected due to incomplete resubmision. DRAFT-015631</t>
  </si>
  <si>
    <t>B Smart-TRANSMIT-000129 GA - graphic update</t>
  </si>
  <si>
    <t>LGCE-TRANSMIT-000106: reed switch</t>
  </si>
  <si>
    <t>RDSBIM-TRANSMIT-000147 RDS 671 CHP B1 BW IFC - ACC#1001</t>
  </si>
  <si>
    <t>Review terminated as requsted by RDS to issue updated drawing.</t>
  </si>
  <si>
    <t>B Smart-TRANSMIT-000122 Purchaser Variations -#965</t>
  </si>
  <si>
    <t>IFC - ACC#1023 | WF-000951</t>
  </si>
  <si>
    <t>IFI - ACC#1024 | WF-000952</t>
  </si>
  <si>
    <t>KPTG-TRANSMIT-002119</t>
  </si>
  <si>
    <t>WF-000950</t>
  </si>
  <si>
    <t>Aloha P-TRANSMIT-000011 Pool IFA Rev B Shop Drawings</t>
  </si>
  <si>
    <t>WF-000953</t>
  </si>
  <si>
    <t>ccair-TRANSMIT-000087 Mechanical Services L4-10 Duct &amp; Pipe IFA</t>
  </si>
  <si>
    <t>ACC#1027 |WF-000954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</si>
</sst>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rgb="FF333333"/>
      <name val="Helvetica"/>
      <charset val="1"/>
    </font>
    <font>
      <sz val="12"/>
      <color theme="1"/>
      <name val="Aptos Display"/>
      <family val="2"/>
    </font>
    <font>
      <sz val="11"/>
      <name val="Aptos Display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14" fontId="1" fillId="3" borderId="3" xfId="0" applyNumberFormat="1" applyFont="1" applyFill="1" applyBorder="1" applyAlignment="1">
      <alignment horizontal="left" vertical="center"/>
    </xf>
    <xf numFmtId="14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0" fillId="0" borderId="8" xfId="0" applyFont="1" applyBorder="1"/>
    <xf numFmtId="0" fontId="9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45E5-CE21-430C-8DFB-7D96C442925D}">
  <dimension ref="A1:J32"/>
  <sheetViews>
    <sheetView zoomScale="85" zoomScaleNormal="85" workbookViewId="0">
      <selection activeCell="E29" sqref="E29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46296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/>
      <c r="B6" s="16">
        <v>0</v>
      </c>
      <c r="C6" s="16">
        <v>0</v>
      </c>
      <c r="D6" s="29">
        <v>0</v>
      </c>
      <c r="E6" s="25"/>
      <c r="F6" s="15" t="s">
        <v>22</v>
      </c>
      <c r="G6" s="16">
        <v>1</v>
      </c>
      <c r="H6" s="16">
        <v>0</v>
      </c>
      <c r="I6" s="25" t="s">
        <v>24</v>
      </c>
      <c r="J6" s="2"/>
    </row>
    <row r="7" spans="1:10" ht="65.25" customHeight="1" x14ac:dyDescent="0.15">
      <c r="A7" s="15"/>
      <c r="B7" s="16"/>
      <c r="C7" s="16"/>
      <c r="D7" s="28"/>
      <c r="E7" s="25"/>
      <c r="F7" s="15" t="s">
        <v>23</v>
      </c>
      <c r="G7" s="16">
        <v>1</v>
      </c>
      <c r="H7" s="16">
        <v>0</v>
      </c>
      <c r="I7" s="25" t="s">
        <v>25</v>
      </c>
      <c r="J7" s="2"/>
    </row>
    <row r="8" spans="1:10" ht="65.25" customHeight="1" x14ac:dyDescent="0.15">
      <c r="A8" s="15"/>
      <c r="B8" s="16"/>
      <c r="C8" s="16"/>
      <c r="D8" s="29"/>
      <c r="E8" s="25"/>
      <c r="F8" s="15" t="s">
        <v>27</v>
      </c>
      <c r="G8" s="16">
        <v>6</v>
      </c>
      <c r="H8" s="16">
        <v>0</v>
      </c>
      <c r="I8" s="25" t="s">
        <v>29</v>
      </c>
      <c r="J8" s="2"/>
    </row>
    <row r="9" spans="1:10" ht="65.25" customHeight="1" x14ac:dyDescent="0.15">
      <c r="A9" s="15"/>
      <c r="B9" s="16"/>
      <c r="C9" s="16"/>
      <c r="D9" s="29"/>
      <c r="E9" s="25"/>
      <c r="F9" s="15" t="s">
        <v>26</v>
      </c>
      <c r="G9" s="16">
        <v>3</v>
      </c>
      <c r="H9" s="16">
        <v>0</v>
      </c>
      <c r="I9" s="25" t="s">
        <v>31</v>
      </c>
      <c r="J9" s="2"/>
    </row>
    <row r="10" spans="1:10" ht="65.25" customHeight="1" x14ac:dyDescent="0.15">
      <c r="A10" s="15"/>
      <c r="B10" s="16"/>
      <c r="C10" s="16"/>
      <c r="D10" s="29"/>
      <c r="E10" s="25"/>
      <c r="F10" s="15" t="s">
        <v>28</v>
      </c>
      <c r="G10" s="16">
        <v>1</v>
      </c>
      <c r="H10" s="16">
        <v>0</v>
      </c>
      <c r="I10" s="25" t="s">
        <v>39</v>
      </c>
      <c r="J10" s="2"/>
    </row>
    <row r="11" spans="1:10" ht="65.25" customHeight="1" x14ac:dyDescent="0.15">
      <c r="A11" s="15"/>
      <c r="B11" s="16"/>
      <c r="C11" s="16"/>
      <c r="D11" s="29"/>
      <c r="E11" s="25"/>
      <c r="F11" s="15" t="s">
        <v>30</v>
      </c>
      <c r="G11" s="16">
        <v>35</v>
      </c>
      <c r="H11" s="16">
        <v>0</v>
      </c>
      <c r="I11" s="25" t="s">
        <v>32</v>
      </c>
      <c r="J11" s="2"/>
    </row>
    <row r="12" spans="1:10" ht="65.25" customHeight="1" x14ac:dyDescent="0.15">
      <c r="A12" s="15"/>
      <c r="B12" s="16"/>
      <c r="C12" s="16"/>
      <c r="D12" s="29"/>
      <c r="E12" s="25"/>
      <c r="F12" s="15" t="s">
        <v>33</v>
      </c>
      <c r="G12" s="16">
        <v>9</v>
      </c>
      <c r="H12" s="16">
        <v>0</v>
      </c>
      <c r="I12" s="25" t="s">
        <v>34</v>
      </c>
      <c r="J12" s="2"/>
    </row>
    <row r="13" spans="1:10" ht="65.25" customHeight="1" x14ac:dyDescent="0.15">
      <c r="A13" s="16"/>
      <c r="B13" s="16"/>
      <c r="C13" s="16"/>
      <c r="D13" s="29"/>
      <c r="E13" s="25"/>
      <c r="F13" s="15" t="s">
        <v>35</v>
      </c>
      <c r="G13" s="16">
        <v>3</v>
      </c>
      <c r="H13" s="16">
        <v>0</v>
      </c>
      <c r="I13" s="25" t="s">
        <v>36</v>
      </c>
      <c r="J13" s="2"/>
    </row>
    <row r="14" spans="1:10" ht="65.25" customHeight="1" x14ac:dyDescent="0.15">
      <c r="A14" s="16"/>
      <c r="B14" s="16"/>
      <c r="C14" s="16"/>
      <c r="D14" s="29"/>
      <c r="E14" s="25"/>
      <c r="F14" s="15" t="s">
        <v>37</v>
      </c>
      <c r="G14" s="16">
        <v>4</v>
      </c>
      <c r="H14" s="16">
        <v>0</v>
      </c>
      <c r="I14" s="25" t="s">
        <v>38</v>
      </c>
      <c r="J14" s="2"/>
    </row>
    <row r="15" spans="1:10" ht="65.25" customHeight="1" x14ac:dyDescent="0.15">
      <c r="A15" s="16"/>
      <c r="B15" s="16"/>
      <c r="C15" s="16"/>
      <c r="D15" s="29"/>
      <c r="E15" s="25"/>
      <c r="F15" s="15"/>
      <c r="G15" s="16"/>
      <c r="H15" s="16"/>
      <c r="I15" s="25"/>
      <c r="J15" s="2"/>
    </row>
    <row r="16" spans="1:10" ht="65.25" customHeight="1" x14ac:dyDescent="0.15">
      <c r="A16" s="16"/>
      <c r="B16" s="16"/>
      <c r="C16" s="16"/>
      <c r="D16" s="29"/>
      <c r="E16" s="25"/>
      <c r="F16" s="15"/>
      <c r="G16" s="16"/>
      <c r="H16" s="16"/>
      <c r="I16" s="25"/>
      <c r="J16" s="2"/>
    </row>
    <row r="17" spans="1:10" ht="65.25" customHeight="1" x14ac:dyDescent="0.15">
      <c r="A17" s="15"/>
      <c r="B17" s="16"/>
      <c r="C17" s="16"/>
      <c r="D17" s="29"/>
      <c r="E17" s="25"/>
      <c r="F17" s="25"/>
      <c r="G17" s="16"/>
      <c r="H17" s="16"/>
      <c r="I17" s="15"/>
      <c r="J17" s="2"/>
    </row>
    <row r="18" spans="1:10" ht="18.75" customHeight="1" x14ac:dyDescent="0.15">
      <c r="A18" s="18" t="s">
        <v>12</v>
      </c>
      <c r="B18" s="16">
        <f>SUM(B6:B17)</f>
        <v>0</v>
      </c>
      <c r="C18" s="16">
        <f>SUM(C6:C17)</f>
        <v>0</v>
      </c>
      <c r="D18" s="16">
        <f>SUM(D6:D17)</f>
        <v>0</v>
      </c>
      <c r="E18" s="16"/>
      <c r="F18" s="17"/>
      <c r="G18" s="16">
        <f>SUM(G6:G17)</f>
        <v>63</v>
      </c>
      <c r="H18" s="16">
        <f>SUM(H6:H17)</f>
        <v>0</v>
      </c>
      <c r="I18" s="16"/>
      <c r="J18" s="3"/>
    </row>
    <row r="19" spans="1:10" ht="15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5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8" x14ac:dyDescent="0.15">
      <c r="A22" s="38" t="s">
        <v>13</v>
      </c>
      <c r="B22" s="38"/>
      <c r="C22" s="38"/>
      <c r="D22" s="38"/>
      <c r="E22" s="38"/>
      <c r="F22" s="38"/>
      <c r="G22" s="3"/>
      <c r="H22" s="3"/>
      <c r="I22" s="3"/>
      <c r="J22" s="3"/>
    </row>
    <row r="23" spans="1:10" ht="27" customHeight="1" x14ac:dyDescent="0.15">
      <c r="A23" s="21" t="s">
        <v>7</v>
      </c>
      <c r="B23" s="19" t="s">
        <v>1</v>
      </c>
      <c r="C23" s="19" t="s">
        <v>11</v>
      </c>
      <c r="D23" s="20" t="s">
        <v>10</v>
      </c>
      <c r="E23" s="39" t="s">
        <v>6</v>
      </c>
      <c r="F23" s="40"/>
      <c r="G23" s="3"/>
      <c r="H23" s="3"/>
      <c r="I23" s="3"/>
      <c r="J23" s="3"/>
    </row>
    <row r="24" spans="1:10" ht="57" customHeight="1" x14ac:dyDescent="0.15">
      <c r="A24" s="15" t="s">
        <v>14</v>
      </c>
      <c r="B24" s="31">
        <v>46281</v>
      </c>
      <c r="C24" s="16">
        <v>2</v>
      </c>
      <c r="D24" s="28">
        <v>2</v>
      </c>
      <c r="E24" s="25" t="s">
        <v>15</v>
      </c>
      <c r="F24" s="27"/>
      <c r="G24" s="24"/>
      <c r="H24" s="24"/>
      <c r="I24" s="24"/>
      <c r="J24" s="24"/>
    </row>
    <row r="25" spans="1:10" ht="57" customHeight="1" x14ac:dyDescent="0.15">
      <c r="A25" s="15" t="s">
        <v>16</v>
      </c>
      <c r="B25" s="31">
        <v>46282</v>
      </c>
      <c r="C25" s="16">
        <v>3</v>
      </c>
      <c r="D25" s="28">
        <v>3</v>
      </c>
      <c r="E25" s="25" t="s">
        <v>17</v>
      </c>
      <c r="F25" s="27"/>
      <c r="G25" s="24"/>
      <c r="H25" s="24"/>
      <c r="I25" s="24"/>
      <c r="J25" s="24"/>
    </row>
    <row r="26" spans="1:10" ht="57" customHeight="1" x14ac:dyDescent="0.15">
      <c r="A26" s="25" t="s">
        <v>18</v>
      </c>
      <c r="B26" s="31">
        <v>46283</v>
      </c>
      <c r="C26" s="16">
        <v>1</v>
      </c>
      <c r="D26" s="28">
        <v>1</v>
      </c>
      <c r="E26" s="25" t="s">
        <v>19</v>
      </c>
      <c r="F26" s="27"/>
      <c r="G26" s="24"/>
      <c r="H26" s="24"/>
      <c r="I26" s="24"/>
      <c r="J26" s="24"/>
    </row>
    <row r="27" spans="1:10" ht="57" customHeight="1" x14ac:dyDescent="0.15">
      <c r="A27" s="25" t="s">
        <v>20</v>
      </c>
      <c r="B27" s="31">
        <v>46295</v>
      </c>
      <c r="C27" s="16">
        <v>1</v>
      </c>
      <c r="D27" s="28">
        <v>2</v>
      </c>
      <c r="E27" s="25" t="s">
        <v>21</v>
      </c>
      <c r="F27" s="27"/>
      <c r="G27" s="24"/>
      <c r="H27" s="24"/>
      <c r="I27" s="24"/>
      <c r="J27" s="24"/>
    </row>
    <row r="28" spans="1:10" ht="57" customHeight="1" x14ac:dyDescent="0.15">
      <c r="A28" s="15"/>
      <c r="B28" s="31"/>
      <c r="C28" s="29"/>
      <c r="D28" s="29"/>
      <c r="E28" s="25"/>
      <c r="F28" s="27"/>
      <c r="G28" s="24"/>
      <c r="H28" s="24"/>
      <c r="I28" s="24"/>
      <c r="J28" s="24"/>
    </row>
    <row r="29" spans="1:10" ht="57" customHeight="1" x14ac:dyDescent="0.15">
      <c r="A29" s="15"/>
      <c r="B29" s="31"/>
      <c r="C29" s="29"/>
      <c r="D29" s="29"/>
      <c r="E29" s="25"/>
      <c r="F29" s="27"/>
      <c r="G29" s="24"/>
      <c r="H29" s="24"/>
      <c r="I29" s="24"/>
      <c r="J29" s="24"/>
    </row>
    <row r="30" spans="1:10" ht="57" customHeight="1" x14ac:dyDescent="0.15">
      <c r="A30" s="15"/>
      <c r="B30" s="31"/>
      <c r="C30" s="16"/>
      <c r="D30" s="29"/>
      <c r="E30" s="25"/>
      <c r="F30" s="27"/>
      <c r="G30" s="24"/>
      <c r="H30" s="24"/>
      <c r="I30" s="24"/>
      <c r="J30" s="24"/>
    </row>
    <row r="31" spans="1:10" ht="57" customHeight="1" x14ac:dyDescent="0.15">
      <c r="A31" s="25"/>
      <c r="B31" s="31"/>
      <c r="C31" s="26"/>
      <c r="D31" s="30"/>
      <c r="E31" s="25"/>
      <c r="F31" s="27"/>
      <c r="G31" s="24"/>
      <c r="H31" s="24"/>
      <c r="I31" s="24"/>
      <c r="J31" s="24"/>
    </row>
    <row r="32" spans="1:10" ht="15.75" x14ac:dyDescent="0.2">
      <c r="A32" s="22"/>
      <c r="B32" s="23"/>
      <c r="C32" s="23">
        <f>SUM(C24:C31)</f>
        <v>7</v>
      </c>
      <c r="D32" s="23">
        <f>SUM(D24:D31)</f>
        <v>8</v>
      </c>
      <c r="E32" s="32"/>
      <c r="F32" s="33"/>
      <c r="G32" s="24"/>
      <c r="H32" s="3"/>
      <c r="I32" s="3"/>
      <c r="J32" s="3"/>
    </row>
  </sheetData>
  <mergeCells count="7">
    <mergeCell ref="E32:F32"/>
    <mergeCell ref="A1:I1"/>
    <mergeCell ref="A4:D4"/>
    <mergeCell ref="F4:H4"/>
    <mergeCell ref="I4:I5"/>
    <mergeCell ref="A22:F22"/>
    <mergeCell ref="E23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3F24-A84A-4F72-8E94-9AA6FCB1A1BF}">
  <dimension ref="A1:J31"/>
  <sheetViews>
    <sheetView topLeftCell="A11" zoomScale="85" zoomScaleNormal="85" workbookViewId="0">
      <selection activeCell="H16" sqref="H16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46297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 t="s">
        <v>42</v>
      </c>
      <c r="B6" s="16">
        <v>3</v>
      </c>
      <c r="C6" s="16">
        <v>0</v>
      </c>
      <c r="D6" s="29">
        <v>0</v>
      </c>
      <c r="E6" s="25" t="s">
        <v>44</v>
      </c>
      <c r="F6" s="15" t="s">
        <v>16</v>
      </c>
      <c r="G6" s="16">
        <v>2</v>
      </c>
      <c r="H6" s="16">
        <v>0</v>
      </c>
      <c r="I6" s="25" t="s">
        <v>57</v>
      </c>
      <c r="J6" s="2"/>
    </row>
    <row r="7" spans="1:10" ht="65.25" customHeight="1" x14ac:dyDescent="0.15">
      <c r="A7" s="15" t="s">
        <v>40</v>
      </c>
      <c r="B7" s="16">
        <v>9</v>
      </c>
      <c r="C7" s="16">
        <v>0</v>
      </c>
      <c r="D7" s="29">
        <v>0</v>
      </c>
      <c r="E7" s="25" t="s">
        <v>41</v>
      </c>
      <c r="F7" s="15"/>
      <c r="G7" s="16"/>
      <c r="H7" s="16"/>
      <c r="I7" s="25"/>
      <c r="J7" s="2"/>
    </row>
    <row r="8" spans="1:10" ht="65.25" customHeight="1" x14ac:dyDescent="0.15">
      <c r="A8" s="15" t="s">
        <v>43</v>
      </c>
      <c r="B8" s="16">
        <v>11</v>
      </c>
      <c r="C8" s="16">
        <v>0</v>
      </c>
      <c r="D8" s="29">
        <v>0</v>
      </c>
      <c r="E8" s="25" t="s">
        <v>45</v>
      </c>
      <c r="F8" s="15"/>
      <c r="G8" s="16"/>
      <c r="H8" s="16"/>
      <c r="I8" s="25"/>
      <c r="J8" s="2"/>
    </row>
    <row r="9" spans="1:10" ht="65.25" customHeight="1" x14ac:dyDescent="0.15">
      <c r="A9" s="15" t="s">
        <v>46</v>
      </c>
      <c r="B9" s="16">
        <v>7</v>
      </c>
      <c r="C9" s="16">
        <v>0</v>
      </c>
      <c r="D9" s="29">
        <v>0</v>
      </c>
      <c r="E9" s="25" t="s">
        <v>47</v>
      </c>
      <c r="F9" s="15"/>
      <c r="G9" s="16"/>
      <c r="H9" s="16"/>
      <c r="I9" s="25"/>
      <c r="J9" s="2"/>
    </row>
    <row r="10" spans="1:10" ht="65.25" customHeight="1" x14ac:dyDescent="0.15">
      <c r="A10" s="15" t="s">
        <v>48</v>
      </c>
      <c r="B10" s="16">
        <v>1</v>
      </c>
      <c r="C10" s="16">
        <v>0</v>
      </c>
      <c r="D10" s="28">
        <v>1</v>
      </c>
      <c r="E10" s="25" t="s">
        <v>53</v>
      </c>
      <c r="F10" s="15"/>
      <c r="G10" s="16"/>
      <c r="H10" s="16"/>
      <c r="I10" s="25"/>
      <c r="J10" s="2"/>
    </row>
    <row r="11" spans="1:10" ht="65.25" customHeight="1" x14ac:dyDescent="0.15">
      <c r="A11" s="15" t="s">
        <v>50</v>
      </c>
      <c r="B11" s="16">
        <v>7</v>
      </c>
      <c r="C11" s="16">
        <v>0</v>
      </c>
      <c r="D11" s="29">
        <v>0</v>
      </c>
      <c r="E11" s="25" t="s">
        <v>52</v>
      </c>
      <c r="F11" s="15"/>
      <c r="G11" s="16"/>
      <c r="H11" s="16"/>
      <c r="I11" s="25"/>
      <c r="J11" s="2"/>
    </row>
    <row r="12" spans="1:10" ht="65.25" customHeight="1" x14ac:dyDescent="0.15">
      <c r="A12" s="15" t="s">
        <v>49</v>
      </c>
      <c r="B12" s="16">
        <v>1</v>
      </c>
      <c r="C12" s="16">
        <v>0</v>
      </c>
      <c r="D12" s="28">
        <v>1</v>
      </c>
      <c r="E12" s="25" t="s">
        <v>61</v>
      </c>
      <c r="F12" s="15"/>
      <c r="G12" s="16"/>
      <c r="H12" s="16"/>
      <c r="I12" s="25"/>
      <c r="J12" s="2"/>
    </row>
    <row r="13" spans="1:10" ht="65.25" customHeight="1" x14ac:dyDescent="0.15">
      <c r="A13" s="15" t="s">
        <v>51</v>
      </c>
      <c r="B13" s="16">
        <v>1</v>
      </c>
      <c r="C13" s="16">
        <v>0</v>
      </c>
      <c r="D13" s="29">
        <v>0</v>
      </c>
      <c r="E13" s="25" t="s">
        <v>55</v>
      </c>
      <c r="F13" s="15"/>
      <c r="G13" s="16"/>
      <c r="H13" s="16"/>
      <c r="I13" s="25"/>
      <c r="J13" s="2"/>
    </row>
    <row r="14" spans="1:10" ht="65.25" customHeight="1" x14ac:dyDescent="0.15">
      <c r="A14" s="15" t="s">
        <v>60</v>
      </c>
      <c r="B14" s="16">
        <v>2</v>
      </c>
      <c r="C14" s="16">
        <v>0</v>
      </c>
      <c r="D14" s="29">
        <v>0</v>
      </c>
      <c r="E14" s="25" t="s">
        <v>62</v>
      </c>
      <c r="F14" s="15"/>
      <c r="G14" s="16"/>
      <c r="H14" s="16"/>
      <c r="I14" s="25"/>
      <c r="J14" s="2"/>
    </row>
    <row r="15" spans="1:10" ht="65.25" customHeight="1" x14ac:dyDescent="0.15">
      <c r="A15" s="15" t="s">
        <v>63</v>
      </c>
      <c r="B15" s="16">
        <v>9</v>
      </c>
      <c r="C15" s="16">
        <v>0</v>
      </c>
      <c r="D15" s="28">
        <v>9</v>
      </c>
      <c r="E15" s="25" t="s">
        <v>64</v>
      </c>
      <c r="F15" s="15"/>
      <c r="G15" s="16"/>
      <c r="H15" s="16"/>
      <c r="I15" s="25"/>
      <c r="J15" s="2"/>
    </row>
    <row r="16" spans="1:10" ht="65.25" customHeight="1" x14ac:dyDescent="0.15">
      <c r="A16" s="15"/>
      <c r="B16" s="16"/>
      <c r="C16" s="16"/>
      <c r="D16" s="28"/>
      <c r="E16" s="25"/>
      <c r="F16" s="15"/>
      <c r="G16" s="16"/>
      <c r="H16" s="16"/>
      <c r="I16" s="25"/>
      <c r="J16" s="2"/>
    </row>
    <row r="17" spans="1:10" ht="65.25" customHeight="1" x14ac:dyDescent="0.15">
      <c r="A17" s="16"/>
      <c r="B17" s="16"/>
      <c r="C17" s="16"/>
      <c r="D17" s="29"/>
      <c r="E17" s="25"/>
      <c r="F17" s="15"/>
      <c r="G17" s="16"/>
      <c r="H17" s="16"/>
      <c r="I17" s="25"/>
      <c r="J17" s="2"/>
    </row>
    <row r="18" spans="1:10" ht="65.25" customHeight="1" x14ac:dyDescent="0.15">
      <c r="A18" s="15"/>
      <c r="B18" s="16"/>
      <c r="C18" s="16"/>
      <c r="D18" s="29"/>
      <c r="E18" s="25"/>
      <c r="F18" s="25"/>
      <c r="G18" s="16"/>
      <c r="H18" s="16"/>
      <c r="I18" s="15"/>
      <c r="J18" s="2"/>
    </row>
    <row r="19" spans="1:10" ht="18.75" customHeight="1" x14ac:dyDescent="0.15">
      <c r="A19" s="18" t="s">
        <v>12</v>
      </c>
      <c r="B19" s="16">
        <f>SUM(B6:B18)</f>
        <v>51</v>
      </c>
      <c r="C19" s="16">
        <f>SUM(C6:C18)</f>
        <v>0</v>
      </c>
      <c r="D19" s="16">
        <f>SUM(D6:D18)</f>
        <v>11</v>
      </c>
      <c r="E19" s="16"/>
      <c r="F19" s="17"/>
      <c r="G19" s="16">
        <f>SUM(G6:G18)</f>
        <v>2</v>
      </c>
      <c r="H19" s="16">
        <f>SUM(H6:H18)</f>
        <v>0</v>
      </c>
      <c r="I19" s="16"/>
      <c r="J19" s="3"/>
    </row>
    <row r="20" spans="1:10" ht="15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5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5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8" x14ac:dyDescent="0.15">
      <c r="A23" s="38" t="s">
        <v>13</v>
      </c>
      <c r="B23" s="38"/>
      <c r="C23" s="38"/>
      <c r="D23" s="38"/>
      <c r="E23" s="38"/>
      <c r="F23" s="38"/>
      <c r="G23" s="3"/>
      <c r="H23" s="3"/>
      <c r="I23" s="3"/>
      <c r="J23" s="3"/>
    </row>
    <row r="24" spans="1:10" ht="27" customHeight="1" x14ac:dyDescent="0.15">
      <c r="A24" s="21" t="s">
        <v>7</v>
      </c>
      <c r="B24" s="19" t="s">
        <v>1</v>
      </c>
      <c r="C24" s="19" t="s">
        <v>11</v>
      </c>
      <c r="D24" s="20" t="s">
        <v>10</v>
      </c>
      <c r="E24" s="39" t="s">
        <v>6</v>
      </c>
      <c r="F24" s="40"/>
      <c r="G24" s="3"/>
      <c r="H24" s="3"/>
      <c r="I24" s="3"/>
      <c r="J24" s="3"/>
    </row>
    <row r="25" spans="1:10" ht="57" customHeight="1" x14ac:dyDescent="0.15">
      <c r="A25" s="15" t="s">
        <v>14</v>
      </c>
      <c r="B25" s="31">
        <v>46281</v>
      </c>
      <c r="C25" s="16">
        <v>2</v>
      </c>
      <c r="D25" s="28">
        <v>2</v>
      </c>
      <c r="E25" s="25" t="s">
        <v>15</v>
      </c>
      <c r="F25" s="27"/>
      <c r="G25" s="24"/>
      <c r="H25" s="3"/>
      <c r="I25" s="3"/>
      <c r="J25" s="24"/>
    </row>
    <row r="26" spans="1:10" ht="57" customHeight="1" x14ac:dyDescent="0.15">
      <c r="A26" s="25" t="s">
        <v>20</v>
      </c>
      <c r="B26" s="31">
        <v>46295</v>
      </c>
      <c r="C26" s="16">
        <v>2</v>
      </c>
      <c r="D26" s="28">
        <v>2</v>
      </c>
      <c r="E26" s="25" t="s">
        <v>21</v>
      </c>
      <c r="F26" s="27"/>
      <c r="G26" s="24"/>
      <c r="H26" s="3"/>
      <c r="I26" s="3"/>
      <c r="J26" s="24"/>
    </row>
    <row r="27" spans="1:10" ht="84.75" customHeight="1" x14ac:dyDescent="0.15">
      <c r="A27" s="15" t="s">
        <v>16</v>
      </c>
      <c r="B27" s="31">
        <v>46282</v>
      </c>
      <c r="C27" s="16">
        <v>3</v>
      </c>
      <c r="D27" s="29">
        <v>0</v>
      </c>
      <c r="E27" s="25" t="s">
        <v>56</v>
      </c>
      <c r="F27" s="27" t="s">
        <v>59</v>
      </c>
      <c r="G27" s="24"/>
      <c r="H27" s="3"/>
      <c r="I27" s="3"/>
      <c r="J27" s="24"/>
    </row>
    <row r="28" spans="1:10" ht="57" customHeight="1" x14ac:dyDescent="0.15">
      <c r="A28" s="25" t="s">
        <v>18</v>
      </c>
      <c r="B28" s="31">
        <v>46283</v>
      </c>
      <c r="C28" s="16">
        <v>1</v>
      </c>
      <c r="D28" s="29">
        <v>0</v>
      </c>
      <c r="E28" s="25" t="s">
        <v>58</v>
      </c>
      <c r="F28" s="27" t="s">
        <v>54</v>
      </c>
      <c r="G28" s="24"/>
      <c r="H28" s="3"/>
      <c r="I28" s="3"/>
      <c r="J28" s="24"/>
    </row>
    <row r="29" spans="1:10" ht="57" customHeight="1" x14ac:dyDescent="0.15">
      <c r="A29" s="15"/>
      <c r="B29" s="31"/>
      <c r="C29" s="16"/>
      <c r="D29" s="29"/>
      <c r="E29" s="25"/>
      <c r="F29" s="27"/>
      <c r="G29" s="24"/>
      <c r="H29" s="24"/>
      <c r="I29" s="24"/>
      <c r="J29" s="24"/>
    </row>
    <row r="30" spans="1:10" ht="57" customHeight="1" x14ac:dyDescent="0.15">
      <c r="A30" s="25"/>
      <c r="B30" s="31"/>
      <c r="C30" s="26"/>
      <c r="D30" s="30"/>
      <c r="E30" s="25"/>
      <c r="F30" s="27"/>
      <c r="G30" s="24"/>
      <c r="H30" s="24"/>
      <c r="I30" s="24"/>
      <c r="J30" s="24"/>
    </row>
    <row r="31" spans="1:10" ht="15.75" x14ac:dyDescent="0.2">
      <c r="A31" s="22"/>
      <c r="B31" s="23"/>
      <c r="C31" s="23">
        <f>SUM(C25:C30)</f>
        <v>8</v>
      </c>
      <c r="D31" s="23">
        <f>SUM(D25:D30)</f>
        <v>4</v>
      </c>
      <c r="E31" s="32"/>
      <c r="F31" s="33"/>
      <c r="G31" s="24"/>
      <c r="H31" s="3"/>
      <c r="I31" s="3"/>
      <c r="J31" s="3"/>
    </row>
  </sheetData>
  <mergeCells count="7">
    <mergeCell ref="E31:F31"/>
    <mergeCell ref="A1:I1"/>
    <mergeCell ref="A4:D4"/>
    <mergeCell ref="F4:H4"/>
    <mergeCell ref="I4:I5"/>
    <mergeCell ref="A23:F23"/>
    <mergeCell ref="E24:F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6E3E-434A-4431-BD91-8B50419C4A17}">
  <dimension ref="A1:J28"/>
  <sheetViews>
    <sheetView topLeftCell="A15" zoomScale="85" zoomScaleNormal="85" workbookViewId="0">
      <selection activeCell="I25" sqref="I25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46300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/>
      <c r="B6" s="16">
        <v>0</v>
      </c>
      <c r="C6" s="16">
        <v>0</v>
      </c>
      <c r="D6" s="29">
        <v>0</v>
      </c>
      <c r="E6" s="25"/>
      <c r="F6" s="15"/>
      <c r="G6" s="16">
        <v>0</v>
      </c>
      <c r="H6" s="16">
        <v>0</v>
      </c>
      <c r="I6" s="25"/>
      <c r="J6" s="2"/>
    </row>
    <row r="7" spans="1:10" ht="65.25" customHeight="1" x14ac:dyDescent="0.15">
      <c r="A7" s="15"/>
      <c r="B7" s="16"/>
      <c r="C7" s="16"/>
      <c r="D7" s="29"/>
      <c r="E7" s="25"/>
      <c r="F7" s="15"/>
      <c r="G7" s="16"/>
      <c r="H7" s="16"/>
      <c r="I7" s="25"/>
      <c r="J7" s="2"/>
    </row>
    <row r="8" spans="1:10" ht="65.25" customHeight="1" x14ac:dyDescent="0.15">
      <c r="A8" s="15"/>
      <c r="B8" s="16"/>
      <c r="C8" s="16"/>
      <c r="D8" s="29"/>
      <c r="E8" s="25"/>
      <c r="F8" s="15"/>
      <c r="G8" s="16"/>
      <c r="H8" s="16"/>
      <c r="I8" s="25"/>
      <c r="J8" s="2"/>
    </row>
    <row r="9" spans="1:10" ht="65.25" customHeight="1" x14ac:dyDescent="0.15">
      <c r="A9" s="15"/>
      <c r="B9" s="16"/>
      <c r="C9" s="16"/>
      <c r="D9" s="29"/>
      <c r="E9" s="25"/>
      <c r="F9" s="15"/>
      <c r="G9" s="16"/>
      <c r="H9" s="16"/>
      <c r="I9" s="25"/>
      <c r="J9" s="2"/>
    </row>
    <row r="10" spans="1:10" ht="65.25" customHeight="1" x14ac:dyDescent="0.15">
      <c r="A10" s="15"/>
      <c r="B10" s="16"/>
      <c r="C10" s="16"/>
      <c r="D10" s="28"/>
      <c r="E10" s="25"/>
      <c r="F10" s="15"/>
      <c r="G10" s="16"/>
      <c r="H10" s="16"/>
      <c r="I10" s="25"/>
      <c r="J10" s="2"/>
    </row>
    <row r="11" spans="1:10" ht="65.25" customHeight="1" x14ac:dyDescent="0.15">
      <c r="A11" s="15"/>
      <c r="B11" s="16"/>
      <c r="C11" s="16"/>
      <c r="D11" s="28"/>
      <c r="E11" s="25"/>
      <c r="F11" s="15"/>
      <c r="G11" s="16"/>
      <c r="H11" s="16"/>
      <c r="I11" s="25"/>
      <c r="J11" s="2"/>
    </row>
    <row r="12" spans="1:10" ht="65.25" customHeight="1" x14ac:dyDescent="0.15">
      <c r="A12" s="15"/>
      <c r="B12" s="16"/>
      <c r="C12" s="16"/>
      <c r="D12" s="28"/>
      <c r="E12" s="25"/>
      <c r="F12" s="15"/>
      <c r="G12" s="16"/>
      <c r="H12" s="16"/>
      <c r="I12" s="25"/>
      <c r="J12" s="2"/>
    </row>
    <row r="13" spans="1:10" ht="65.25" customHeight="1" x14ac:dyDescent="0.15">
      <c r="A13" s="15"/>
      <c r="B13" s="16"/>
      <c r="C13" s="16"/>
      <c r="D13" s="28"/>
      <c r="E13" s="25"/>
      <c r="F13" s="15"/>
      <c r="G13" s="16"/>
      <c r="H13" s="16"/>
      <c r="I13" s="25"/>
      <c r="J13" s="2"/>
    </row>
    <row r="14" spans="1:10" ht="65.25" customHeight="1" x14ac:dyDescent="0.15">
      <c r="A14" s="16"/>
      <c r="B14" s="16"/>
      <c r="C14" s="16"/>
      <c r="D14" s="29"/>
      <c r="E14" s="25"/>
      <c r="F14" s="15"/>
      <c r="G14" s="16"/>
      <c r="H14" s="16"/>
      <c r="I14" s="25"/>
      <c r="J14" s="2"/>
    </row>
    <row r="15" spans="1:10" ht="65.25" customHeight="1" x14ac:dyDescent="0.15">
      <c r="A15" s="15"/>
      <c r="B15" s="16"/>
      <c r="C15" s="16"/>
      <c r="D15" s="29"/>
      <c r="E15" s="25"/>
      <c r="F15" s="25"/>
      <c r="G15" s="16"/>
      <c r="H15" s="16"/>
      <c r="I15" s="15"/>
      <c r="J15" s="2"/>
    </row>
    <row r="16" spans="1:10" ht="18.75" customHeight="1" x14ac:dyDescent="0.15">
      <c r="A16" s="18" t="s">
        <v>12</v>
      </c>
      <c r="B16" s="16">
        <f>SUM(B6:B15)</f>
        <v>0</v>
      </c>
      <c r="C16" s="16">
        <f>SUM(C6:C15)</f>
        <v>0</v>
      </c>
      <c r="D16" s="16">
        <f>SUM(D6:D15)</f>
        <v>0</v>
      </c>
      <c r="E16" s="16"/>
      <c r="F16" s="17"/>
      <c r="G16" s="16">
        <f>SUM(G6:G15)</f>
        <v>0</v>
      </c>
      <c r="H16" s="16">
        <f>SUM(H6:H15)</f>
        <v>0</v>
      </c>
      <c r="I16" s="16"/>
      <c r="J16" s="3"/>
    </row>
    <row r="17" spans="1:10" ht="15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5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8" x14ac:dyDescent="0.15">
      <c r="A20" s="38" t="s">
        <v>13</v>
      </c>
      <c r="B20" s="38"/>
      <c r="C20" s="38"/>
      <c r="D20" s="38"/>
      <c r="E20" s="38"/>
      <c r="F20" s="38"/>
      <c r="G20" s="3"/>
      <c r="H20" s="3"/>
      <c r="I20" s="3"/>
      <c r="J20" s="3"/>
    </row>
    <row r="21" spans="1:10" ht="27" customHeight="1" x14ac:dyDescent="0.15">
      <c r="A21" s="21" t="s">
        <v>7</v>
      </c>
      <c r="B21" s="19" t="s">
        <v>1</v>
      </c>
      <c r="C21" s="19" t="s">
        <v>11</v>
      </c>
      <c r="D21" s="20" t="s">
        <v>10</v>
      </c>
      <c r="E21" s="39" t="s">
        <v>6</v>
      </c>
      <c r="F21" s="40"/>
      <c r="G21" s="3"/>
      <c r="H21" s="3"/>
      <c r="I21" s="3"/>
      <c r="J21" s="3"/>
    </row>
    <row r="22" spans="1:10" ht="57" customHeight="1" x14ac:dyDescent="0.15">
      <c r="A22" s="15" t="s">
        <v>14</v>
      </c>
      <c r="B22" s="31">
        <v>46281</v>
      </c>
      <c r="C22" s="16">
        <v>2</v>
      </c>
      <c r="D22" s="28">
        <v>2</v>
      </c>
      <c r="E22" s="25" t="s">
        <v>15</v>
      </c>
      <c r="F22" s="27"/>
      <c r="G22" s="24"/>
      <c r="H22" s="3"/>
      <c r="I22" s="3"/>
      <c r="J22" s="24"/>
    </row>
    <row r="23" spans="1:10" ht="57" customHeight="1" x14ac:dyDescent="0.15">
      <c r="A23" s="25" t="s">
        <v>20</v>
      </c>
      <c r="B23" s="31">
        <v>46295</v>
      </c>
      <c r="C23" s="16">
        <v>2</v>
      </c>
      <c r="D23" s="28">
        <v>2</v>
      </c>
      <c r="E23" s="25" t="s">
        <v>21</v>
      </c>
      <c r="F23" s="27"/>
      <c r="G23" s="24"/>
      <c r="H23" s="3"/>
      <c r="I23" s="3"/>
      <c r="J23" s="24"/>
    </row>
    <row r="24" spans="1:10" ht="57" customHeight="1" x14ac:dyDescent="0.15">
      <c r="A24" s="15" t="s">
        <v>48</v>
      </c>
      <c r="B24" s="31">
        <v>46297</v>
      </c>
      <c r="C24" s="29">
        <v>1</v>
      </c>
      <c r="D24" s="28">
        <v>1</v>
      </c>
      <c r="E24" s="25" t="s">
        <v>53</v>
      </c>
      <c r="F24" s="27"/>
      <c r="G24" s="24"/>
      <c r="H24" s="3"/>
      <c r="I24" s="3"/>
      <c r="J24" s="24"/>
    </row>
    <row r="25" spans="1:10" ht="57" customHeight="1" x14ac:dyDescent="0.15">
      <c r="A25" s="15" t="s">
        <v>49</v>
      </c>
      <c r="B25" s="31">
        <v>46297</v>
      </c>
      <c r="C25" s="29">
        <v>1</v>
      </c>
      <c r="D25" s="28">
        <v>1</v>
      </c>
      <c r="E25" s="25" t="s">
        <v>61</v>
      </c>
      <c r="F25" s="27"/>
      <c r="G25" s="24"/>
      <c r="H25" s="3"/>
      <c r="I25" s="3"/>
      <c r="J25" s="24"/>
    </row>
    <row r="26" spans="1:10" ht="57" customHeight="1" x14ac:dyDescent="0.15">
      <c r="A26" s="15" t="s">
        <v>63</v>
      </c>
      <c r="B26" s="31">
        <v>46297</v>
      </c>
      <c r="C26" s="29">
        <v>9</v>
      </c>
      <c r="D26" s="29">
        <v>0</v>
      </c>
      <c r="E26" s="25" t="s">
        <v>65</v>
      </c>
      <c r="F26" s="27"/>
      <c r="G26" s="24"/>
      <c r="H26" s="24"/>
      <c r="I26" s="24"/>
      <c r="J26" s="24"/>
    </row>
    <row r="27" spans="1:10" ht="57" customHeight="1" x14ac:dyDescent="0.15">
      <c r="A27" s="25"/>
      <c r="B27" s="31"/>
      <c r="C27" s="26"/>
      <c r="D27" s="30"/>
      <c r="E27" s="25"/>
      <c r="F27" s="27"/>
      <c r="G27" s="24"/>
      <c r="H27" s="24"/>
      <c r="I27" s="24"/>
      <c r="J27" s="24"/>
    </row>
    <row r="28" spans="1:10" ht="15.75" x14ac:dyDescent="0.2">
      <c r="A28" s="22"/>
      <c r="B28" s="23"/>
      <c r="C28" s="23">
        <f>SUM(C22:C27)</f>
        <v>15</v>
      </c>
      <c r="D28" s="23">
        <f>SUM(D22:D27)</f>
        <v>6</v>
      </c>
      <c r="E28" s="32"/>
      <c r="F28" s="33"/>
      <c r="G28" s="24"/>
      <c r="H28" s="3"/>
      <c r="I28" s="3"/>
      <c r="J28" s="3"/>
    </row>
  </sheetData>
  <mergeCells count="7">
    <mergeCell ref="E28:F28"/>
    <mergeCell ref="A1:I1"/>
    <mergeCell ref="A4:D4"/>
    <mergeCell ref="F4:H4"/>
    <mergeCell ref="I4:I5"/>
    <mergeCell ref="A20:F20"/>
    <mergeCell ref="E21:F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9596-BCB9-43A1-AA20-0B00C570D7BD}">
  <dimension ref="A1:J25"/>
  <sheetViews>
    <sheetView zoomScale="85" zoomScaleNormal="85" workbookViewId="0">
      <selection activeCell="G10" sqref="G10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46301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 t="s">
        <v>66</v>
      </c>
      <c r="B6" s="16">
        <v>28</v>
      </c>
      <c r="C6" s="16">
        <v>0</v>
      </c>
      <c r="D6" s="29">
        <v>0</v>
      </c>
      <c r="E6" s="25" t="s">
        <v>72</v>
      </c>
      <c r="F6" s="15" t="s">
        <v>71</v>
      </c>
      <c r="G6" s="16">
        <v>35</v>
      </c>
      <c r="H6" s="16">
        <v>0</v>
      </c>
      <c r="I6" s="25" t="s">
        <v>69</v>
      </c>
      <c r="J6" s="2"/>
    </row>
    <row r="7" spans="1:10" ht="65.25" customHeight="1" x14ac:dyDescent="0.15">
      <c r="A7" s="15" t="s">
        <v>67</v>
      </c>
      <c r="B7" s="16">
        <v>1</v>
      </c>
      <c r="C7" s="16">
        <v>0</v>
      </c>
      <c r="D7" s="29">
        <v>0</v>
      </c>
      <c r="E7" s="25" t="s">
        <v>73</v>
      </c>
      <c r="F7" s="15"/>
      <c r="G7" s="16"/>
      <c r="H7" s="16"/>
      <c r="I7" s="25"/>
      <c r="J7" s="2"/>
    </row>
    <row r="8" spans="1:10" ht="65.25" customHeight="1" x14ac:dyDescent="0.15">
      <c r="A8" s="15" t="s">
        <v>68</v>
      </c>
      <c r="B8" s="16">
        <v>30</v>
      </c>
      <c r="C8" s="16">
        <v>0</v>
      </c>
      <c r="D8" s="29">
        <v>0</v>
      </c>
      <c r="E8" s="25" t="s">
        <v>70</v>
      </c>
      <c r="F8" s="15"/>
      <c r="G8" s="16"/>
      <c r="H8" s="16"/>
      <c r="I8" s="25"/>
      <c r="J8" s="2"/>
    </row>
    <row r="9" spans="1:10" ht="65.25" customHeight="1" x14ac:dyDescent="0.15">
      <c r="A9" s="15"/>
      <c r="B9" s="16"/>
      <c r="C9" s="16"/>
      <c r="D9" s="29"/>
      <c r="E9" s="25"/>
      <c r="F9" s="15"/>
      <c r="G9" s="16"/>
      <c r="H9" s="16"/>
      <c r="I9" s="25"/>
      <c r="J9" s="2"/>
    </row>
    <row r="10" spans="1:10" ht="65.25" customHeight="1" x14ac:dyDescent="0.15">
      <c r="A10" s="15"/>
      <c r="B10" s="16"/>
      <c r="C10" s="16"/>
      <c r="D10" s="28"/>
      <c r="E10" s="25"/>
      <c r="F10" s="15"/>
      <c r="G10" s="16"/>
      <c r="H10" s="16"/>
      <c r="I10" s="25"/>
      <c r="J10" s="2"/>
    </row>
    <row r="11" spans="1:10" ht="65.25" customHeight="1" x14ac:dyDescent="0.15">
      <c r="A11" s="16"/>
      <c r="B11" s="16"/>
      <c r="C11" s="16"/>
      <c r="D11" s="29"/>
      <c r="E11" s="25"/>
      <c r="F11" s="15"/>
      <c r="G11" s="16"/>
      <c r="H11" s="16"/>
      <c r="I11" s="25"/>
      <c r="J11" s="2"/>
    </row>
    <row r="12" spans="1:10" ht="65.25" customHeight="1" x14ac:dyDescent="0.15">
      <c r="A12" s="15"/>
      <c r="B12" s="16"/>
      <c r="C12" s="16"/>
      <c r="D12" s="29"/>
      <c r="E12" s="25"/>
      <c r="F12" s="25"/>
      <c r="G12" s="16"/>
      <c r="H12" s="16"/>
      <c r="I12" s="15"/>
      <c r="J12" s="2"/>
    </row>
    <row r="13" spans="1:10" ht="18.75" customHeight="1" x14ac:dyDescent="0.15">
      <c r="A13" s="18" t="s">
        <v>12</v>
      </c>
      <c r="B13" s="16">
        <f>SUM(B6:B12)</f>
        <v>59</v>
      </c>
      <c r="C13" s="16">
        <f>SUM(C6:C12)</f>
        <v>0</v>
      </c>
      <c r="D13" s="16">
        <f>SUM(D6:D12)</f>
        <v>0</v>
      </c>
      <c r="E13" s="16"/>
      <c r="F13" s="17"/>
      <c r="G13" s="16">
        <f>SUM(G6:G12)</f>
        <v>35</v>
      </c>
      <c r="H13" s="16">
        <f>SUM(H6:H12)</f>
        <v>0</v>
      </c>
      <c r="I13" s="16"/>
      <c r="J13" s="3"/>
    </row>
    <row r="14" spans="1:10" ht="15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5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x14ac:dyDescent="0.15">
      <c r="A17" s="38" t="s">
        <v>13</v>
      </c>
      <c r="B17" s="38"/>
      <c r="C17" s="38"/>
      <c r="D17" s="38"/>
      <c r="E17" s="38"/>
      <c r="F17" s="38"/>
      <c r="G17" s="3"/>
      <c r="H17" s="3"/>
      <c r="I17" s="3"/>
      <c r="J17" s="3"/>
    </row>
    <row r="18" spans="1:10" ht="27" customHeight="1" x14ac:dyDescent="0.15">
      <c r="A18" s="21" t="s">
        <v>7</v>
      </c>
      <c r="B18" s="19" t="s">
        <v>1</v>
      </c>
      <c r="C18" s="19" t="s">
        <v>11</v>
      </c>
      <c r="D18" s="20" t="s">
        <v>10</v>
      </c>
      <c r="E18" s="39" t="s">
        <v>6</v>
      </c>
      <c r="F18" s="40"/>
      <c r="G18" s="3"/>
      <c r="H18" s="3"/>
      <c r="I18" s="3"/>
      <c r="J18" s="3"/>
    </row>
    <row r="19" spans="1:10" ht="57" customHeight="1" x14ac:dyDescent="0.15">
      <c r="A19" s="15" t="s">
        <v>14</v>
      </c>
      <c r="B19" s="31">
        <v>46281</v>
      </c>
      <c r="C19" s="16">
        <v>2</v>
      </c>
      <c r="D19" s="28">
        <v>2</v>
      </c>
      <c r="E19" s="25" t="s">
        <v>15</v>
      </c>
      <c r="F19" s="27"/>
      <c r="G19" s="24"/>
      <c r="H19" s="3"/>
      <c r="I19" s="3"/>
      <c r="J19" s="24"/>
    </row>
    <row r="20" spans="1:10" ht="57" customHeight="1" x14ac:dyDescent="0.15">
      <c r="A20" s="25" t="s">
        <v>20</v>
      </c>
      <c r="B20" s="31">
        <v>46295</v>
      </c>
      <c r="C20" s="16">
        <v>2</v>
      </c>
      <c r="D20" s="28">
        <v>2</v>
      </c>
      <c r="E20" s="25" t="s">
        <v>21</v>
      </c>
      <c r="F20" s="27"/>
      <c r="G20" s="24"/>
      <c r="H20" s="3"/>
      <c r="I20" s="3"/>
      <c r="J20" s="24"/>
    </row>
    <row r="21" spans="1:10" ht="57" customHeight="1" x14ac:dyDescent="0.15">
      <c r="A21" s="15" t="s">
        <v>48</v>
      </c>
      <c r="B21" s="31">
        <v>46297</v>
      </c>
      <c r="C21" s="29">
        <v>1</v>
      </c>
      <c r="D21" s="28">
        <v>1</v>
      </c>
      <c r="E21" s="25" t="s">
        <v>53</v>
      </c>
      <c r="F21" s="27"/>
      <c r="G21" s="24"/>
      <c r="H21" s="3"/>
      <c r="I21" s="3"/>
      <c r="J21" s="24"/>
    </row>
    <row r="22" spans="1:10" ht="57" customHeight="1" x14ac:dyDescent="0.15">
      <c r="A22" s="15" t="s">
        <v>49</v>
      </c>
      <c r="B22" s="31">
        <v>46297</v>
      </c>
      <c r="C22" s="29">
        <v>1</v>
      </c>
      <c r="D22" s="28">
        <v>1</v>
      </c>
      <c r="E22" s="25" t="s">
        <v>61</v>
      </c>
      <c r="F22" s="27"/>
      <c r="G22" s="24"/>
      <c r="H22" s="3"/>
      <c r="I22" s="3"/>
      <c r="J22" s="24"/>
    </row>
    <row r="23" spans="1:10" ht="57" customHeight="1" x14ac:dyDescent="0.15">
      <c r="A23" s="15"/>
      <c r="B23" s="31"/>
      <c r="C23" s="29"/>
      <c r="D23" s="29"/>
      <c r="E23" s="25"/>
      <c r="F23" s="27"/>
      <c r="G23" s="24"/>
      <c r="H23" s="24"/>
      <c r="I23" s="24"/>
      <c r="J23" s="24"/>
    </row>
    <row r="24" spans="1:10" ht="57" customHeight="1" x14ac:dyDescent="0.15">
      <c r="A24" s="25"/>
      <c r="B24" s="31"/>
      <c r="C24" s="26"/>
      <c r="D24" s="30"/>
      <c r="E24" s="25"/>
      <c r="F24" s="27"/>
      <c r="G24" s="24"/>
      <c r="H24" s="24"/>
      <c r="I24" s="24"/>
      <c r="J24" s="24"/>
    </row>
    <row r="25" spans="1:10" ht="15.75" x14ac:dyDescent="0.2">
      <c r="A25" s="22"/>
      <c r="B25" s="23"/>
      <c r="C25" s="23">
        <f>SUM(C19:C24)</f>
        <v>6</v>
      </c>
      <c r="D25" s="23">
        <f>SUM(D19:D24)</f>
        <v>6</v>
      </c>
      <c r="E25" s="32"/>
      <c r="F25" s="33"/>
      <c r="G25" s="24"/>
      <c r="H25" s="3"/>
      <c r="I25" s="3"/>
      <c r="J25" s="3"/>
    </row>
  </sheetData>
  <mergeCells count="7">
    <mergeCell ref="E25:F25"/>
    <mergeCell ref="A1:I1"/>
    <mergeCell ref="A4:D4"/>
    <mergeCell ref="F4:H4"/>
    <mergeCell ref="I4:I5"/>
    <mergeCell ref="A17:F17"/>
    <mergeCell ref="E18:F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B2CF-4C4E-4634-90BD-2CEA7307E6E3}">
  <dimension ref="A1:J25"/>
  <sheetViews>
    <sheetView topLeftCell="A10" zoomScale="85" zoomScaleNormal="85" workbookViewId="0">
      <selection activeCell="E10" sqref="E10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46302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 t="s">
        <v>68</v>
      </c>
      <c r="B6" s="16">
        <v>5</v>
      </c>
      <c r="C6" s="16">
        <v>0</v>
      </c>
      <c r="D6" s="29">
        <v>0</v>
      </c>
      <c r="E6" s="25" t="s">
        <v>74</v>
      </c>
      <c r="F6" s="15"/>
      <c r="G6" s="16"/>
      <c r="H6" s="16"/>
      <c r="I6" s="25"/>
      <c r="J6" s="2"/>
    </row>
    <row r="7" spans="1:10" ht="65.25" customHeight="1" x14ac:dyDescent="0.15">
      <c r="A7" s="15"/>
      <c r="B7" s="16"/>
      <c r="C7" s="16"/>
      <c r="D7" s="28"/>
      <c r="E7" s="25"/>
      <c r="F7" s="15"/>
      <c r="G7" s="16"/>
      <c r="H7" s="16"/>
      <c r="I7" s="25"/>
      <c r="J7" s="2"/>
    </row>
    <row r="8" spans="1:10" ht="65.25" customHeight="1" x14ac:dyDescent="0.15">
      <c r="A8" s="15"/>
      <c r="B8" s="16"/>
      <c r="C8" s="16"/>
      <c r="D8" s="28"/>
      <c r="E8" s="25"/>
      <c r="F8" s="15"/>
      <c r="G8" s="16"/>
      <c r="H8" s="16"/>
      <c r="I8" s="25"/>
      <c r="J8" s="2"/>
    </row>
    <row r="9" spans="1:10" ht="65.25" customHeight="1" x14ac:dyDescent="0.15">
      <c r="A9" s="15"/>
      <c r="B9" s="16"/>
      <c r="C9" s="16"/>
      <c r="D9" s="29"/>
      <c r="E9" s="25"/>
      <c r="F9" s="15"/>
      <c r="G9" s="16"/>
      <c r="H9" s="16"/>
      <c r="I9" s="25"/>
      <c r="J9" s="2"/>
    </row>
    <row r="10" spans="1:10" ht="65.25" customHeight="1" x14ac:dyDescent="0.15">
      <c r="A10" s="15"/>
      <c r="B10" s="16"/>
      <c r="C10" s="16"/>
      <c r="D10" s="28"/>
      <c r="E10" s="25"/>
      <c r="F10" s="15"/>
      <c r="G10" s="16"/>
      <c r="H10" s="16"/>
      <c r="I10" s="25"/>
      <c r="J10" s="2"/>
    </row>
    <row r="11" spans="1:10" ht="65.25" customHeight="1" x14ac:dyDescent="0.15">
      <c r="A11" s="16"/>
      <c r="B11" s="16"/>
      <c r="C11" s="16"/>
      <c r="D11" s="29"/>
      <c r="E11" s="25"/>
      <c r="F11" s="15"/>
      <c r="G11" s="16"/>
      <c r="H11" s="16"/>
      <c r="I11" s="25"/>
      <c r="J11" s="2"/>
    </row>
    <row r="12" spans="1:10" ht="65.25" customHeight="1" x14ac:dyDescent="0.15">
      <c r="A12" s="15"/>
      <c r="B12" s="16"/>
      <c r="C12" s="16"/>
      <c r="D12" s="29"/>
      <c r="E12" s="25"/>
      <c r="F12" s="25"/>
      <c r="G12" s="16"/>
      <c r="H12" s="16"/>
      <c r="I12" s="15"/>
      <c r="J12" s="2"/>
    </row>
    <row r="13" spans="1:10" ht="18.75" customHeight="1" x14ac:dyDescent="0.15">
      <c r="A13" s="18" t="s">
        <v>12</v>
      </c>
      <c r="B13" s="16">
        <f>SUM(B6:B12)</f>
        <v>5</v>
      </c>
      <c r="C13" s="16">
        <f>SUM(C6:C12)</f>
        <v>0</v>
      </c>
      <c r="D13" s="16">
        <f>SUM(D6:D12)</f>
        <v>0</v>
      </c>
      <c r="E13" s="16"/>
      <c r="F13" s="17"/>
      <c r="G13" s="16">
        <f>SUM(G6:G12)</f>
        <v>0</v>
      </c>
      <c r="H13" s="16">
        <f>SUM(H6:H12)</f>
        <v>0</v>
      </c>
      <c r="I13" s="16"/>
      <c r="J13" s="3"/>
    </row>
    <row r="14" spans="1:10" ht="15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5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x14ac:dyDescent="0.15">
      <c r="A17" s="38" t="s">
        <v>13</v>
      </c>
      <c r="B17" s="38"/>
      <c r="C17" s="38"/>
      <c r="D17" s="38"/>
      <c r="E17" s="38"/>
      <c r="F17" s="38"/>
      <c r="G17" s="3"/>
      <c r="H17" s="3"/>
      <c r="I17" s="3"/>
      <c r="J17" s="3"/>
    </row>
    <row r="18" spans="1:10" ht="27" customHeight="1" x14ac:dyDescent="0.15">
      <c r="A18" s="21" t="s">
        <v>7</v>
      </c>
      <c r="B18" s="19" t="s">
        <v>1</v>
      </c>
      <c r="C18" s="19" t="s">
        <v>11</v>
      </c>
      <c r="D18" s="20" t="s">
        <v>10</v>
      </c>
      <c r="E18" s="39" t="s">
        <v>6</v>
      </c>
      <c r="F18" s="40"/>
      <c r="G18" s="3"/>
      <c r="H18" s="3"/>
      <c r="I18" s="3"/>
      <c r="J18" s="3"/>
    </row>
    <row r="19" spans="1:10" ht="57" customHeight="1" x14ac:dyDescent="0.15">
      <c r="A19" s="15" t="s">
        <v>14</v>
      </c>
      <c r="B19" s="31">
        <v>46281</v>
      </c>
      <c r="C19" s="16">
        <v>2</v>
      </c>
      <c r="D19" s="28">
        <v>2</v>
      </c>
      <c r="E19" s="25" t="s">
        <v>15</v>
      </c>
      <c r="F19" s="27"/>
      <c r="G19" s="24"/>
      <c r="H19" s="3"/>
      <c r="I19" s="3"/>
      <c r="J19" s="24"/>
    </row>
    <row r="20" spans="1:10" ht="57" customHeight="1" x14ac:dyDescent="0.15">
      <c r="A20" s="25" t="s">
        <v>20</v>
      </c>
      <c r="B20" s="31">
        <v>46295</v>
      </c>
      <c r="C20" s="16">
        <v>2</v>
      </c>
      <c r="D20" s="28">
        <v>2</v>
      </c>
      <c r="E20" s="25" t="s">
        <v>21</v>
      </c>
      <c r="F20" s="27"/>
      <c r="G20" s="24"/>
      <c r="H20" s="3"/>
      <c r="I20" s="3"/>
      <c r="J20" s="24"/>
    </row>
    <row r="21" spans="1:10" ht="57" customHeight="1" x14ac:dyDescent="0.15">
      <c r="A21" s="15" t="s">
        <v>48</v>
      </c>
      <c r="B21" s="31">
        <v>46297</v>
      </c>
      <c r="C21" s="29">
        <v>1</v>
      </c>
      <c r="D21" s="28">
        <v>1</v>
      </c>
      <c r="E21" s="25" t="s">
        <v>53</v>
      </c>
      <c r="F21" s="27"/>
      <c r="G21" s="24"/>
      <c r="H21" s="3"/>
      <c r="I21" s="3"/>
      <c r="J21" s="24"/>
    </row>
    <row r="22" spans="1:10" ht="57" customHeight="1" x14ac:dyDescent="0.15">
      <c r="A22" s="15" t="s">
        <v>75</v>
      </c>
      <c r="B22" s="31">
        <v>46297</v>
      </c>
      <c r="C22" s="29">
        <v>1</v>
      </c>
      <c r="D22" s="28">
        <v>1</v>
      </c>
      <c r="E22" s="25" t="s">
        <v>61</v>
      </c>
      <c r="F22" s="27"/>
      <c r="G22" s="24"/>
      <c r="H22" s="3"/>
      <c r="I22" s="3"/>
      <c r="J22" s="24"/>
    </row>
    <row r="23" spans="1:10" ht="57" customHeight="1" x14ac:dyDescent="0.15">
      <c r="A23" s="15"/>
      <c r="B23" s="31"/>
      <c r="C23" s="29"/>
      <c r="D23" s="29"/>
      <c r="E23" s="25"/>
      <c r="F23" s="27"/>
      <c r="G23" s="24"/>
      <c r="H23" s="24"/>
      <c r="I23" s="24"/>
      <c r="J23" s="24"/>
    </row>
    <row r="24" spans="1:10" ht="57" customHeight="1" x14ac:dyDescent="0.15">
      <c r="A24" s="25"/>
      <c r="B24" s="31"/>
      <c r="C24" s="26"/>
      <c r="D24" s="30"/>
      <c r="E24" s="25"/>
      <c r="F24" s="27"/>
      <c r="G24" s="24"/>
      <c r="H24" s="24"/>
      <c r="I24" s="24"/>
      <c r="J24" s="24"/>
    </row>
    <row r="25" spans="1:10" ht="15.75" x14ac:dyDescent="0.2">
      <c r="A25" s="22"/>
      <c r="B25" s="23"/>
      <c r="C25" s="23">
        <f>SUM(C19:C24)</f>
        <v>6</v>
      </c>
      <c r="D25" s="23">
        <f>SUM(D19:D24)</f>
        <v>6</v>
      </c>
      <c r="E25" s="32"/>
      <c r="F25" s="33"/>
      <c r="G25" s="24"/>
      <c r="H25" s="3"/>
      <c r="I25" s="3"/>
      <c r="J25" s="3"/>
    </row>
  </sheetData>
  <mergeCells count="7">
    <mergeCell ref="E25:F25"/>
    <mergeCell ref="A1:I1"/>
    <mergeCell ref="A4:D4"/>
    <mergeCell ref="F4:H4"/>
    <mergeCell ref="I4:I5"/>
    <mergeCell ref="A17:F17"/>
    <mergeCell ref="E18:F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8F58-A158-4343-9830-32B1B8323942}">
  <dimension ref="A1:J25"/>
  <sheetViews>
    <sheetView topLeftCell="A5" zoomScale="85" zoomScaleNormal="85" workbookViewId="0">
      <selection activeCell="I22" sqref="I22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46303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 t="s">
        <v>77</v>
      </c>
      <c r="B6" s="16">
        <v>0</v>
      </c>
      <c r="C6" s="16">
        <v>4</v>
      </c>
      <c r="D6" s="29">
        <v>0</v>
      </c>
      <c r="E6" s="25" t="s">
        <v>83</v>
      </c>
      <c r="F6" s="15" t="s">
        <v>75</v>
      </c>
      <c r="G6" s="16">
        <v>1</v>
      </c>
      <c r="H6" s="16">
        <v>0</v>
      </c>
      <c r="I6" s="25" t="s">
        <v>76</v>
      </c>
      <c r="J6" s="2"/>
    </row>
    <row r="7" spans="1:10" ht="65.25" customHeight="1" x14ac:dyDescent="0.15">
      <c r="A7" s="15" t="s">
        <v>81</v>
      </c>
      <c r="B7" s="16">
        <v>2</v>
      </c>
      <c r="C7" s="16">
        <v>0</v>
      </c>
      <c r="D7" s="29">
        <v>0</v>
      </c>
      <c r="E7" s="25" t="s">
        <v>82</v>
      </c>
      <c r="F7" s="15" t="s">
        <v>14</v>
      </c>
      <c r="G7" s="16">
        <v>2</v>
      </c>
      <c r="H7" s="16">
        <v>0</v>
      </c>
      <c r="I7" s="25" t="s">
        <v>79</v>
      </c>
      <c r="J7" s="2"/>
    </row>
    <row r="8" spans="1:10" ht="65.25" customHeight="1" x14ac:dyDescent="0.15">
      <c r="A8" s="15"/>
      <c r="B8" s="16"/>
      <c r="C8" s="16"/>
      <c r="D8" s="28"/>
      <c r="E8" s="25"/>
      <c r="F8" s="15"/>
      <c r="G8" s="16"/>
      <c r="H8" s="16"/>
      <c r="I8" s="25"/>
      <c r="J8" s="2"/>
    </row>
    <row r="9" spans="1:10" ht="65.25" customHeight="1" x14ac:dyDescent="0.15">
      <c r="A9" s="15"/>
      <c r="B9" s="16"/>
      <c r="C9" s="16"/>
      <c r="D9" s="29"/>
      <c r="E9" s="25"/>
      <c r="F9" s="15"/>
      <c r="G9" s="16"/>
      <c r="H9" s="16"/>
      <c r="I9" s="25"/>
      <c r="J9" s="2"/>
    </row>
    <row r="10" spans="1:10" ht="65.25" customHeight="1" x14ac:dyDescent="0.15">
      <c r="A10" s="15"/>
      <c r="B10" s="16"/>
      <c r="C10" s="16"/>
      <c r="D10" s="28"/>
      <c r="E10" s="25"/>
      <c r="F10" s="15"/>
      <c r="G10" s="16"/>
      <c r="H10" s="16"/>
      <c r="I10" s="25"/>
      <c r="J10" s="2"/>
    </row>
    <row r="11" spans="1:10" ht="65.25" customHeight="1" x14ac:dyDescent="0.15">
      <c r="A11" s="16"/>
      <c r="B11" s="16"/>
      <c r="C11" s="16"/>
      <c r="D11" s="29"/>
      <c r="E11" s="25"/>
      <c r="F11" s="15"/>
      <c r="G11" s="16"/>
      <c r="H11" s="16"/>
      <c r="I11" s="25"/>
      <c r="J11" s="2"/>
    </row>
    <row r="12" spans="1:10" ht="65.25" customHeight="1" x14ac:dyDescent="0.15">
      <c r="A12" s="15"/>
      <c r="B12" s="16"/>
      <c r="C12" s="16"/>
      <c r="D12" s="29"/>
      <c r="E12" s="25"/>
      <c r="F12" s="25"/>
      <c r="G12" s="16"/>
      <c r="H12" s="16"/>
      <c r="I12" s="15"/>
      <c r="J12" s="2"/>
    </row>
    <row r="13" spans="1:10" ht="18.75" customHeight="1" x14ac:dyDescent="0.15">
      <c r="A13" s="18" t="s">
        <v>12</v>
      </c>
      <c r="B13" s="16">
        <f>SUM(B6:B12)</f>
        <v>2</v>
      </c>
      <c r="C13" s="16">
        <f>SUM(C6:C12)</f>
        <v>4</v>
      </c>
      <c r="D13" s="16">
        <f>SUM(D6:D12)</f>
        <v>0</v>
      </c>
      <c r="E13" s="16"/>
      <c r="F13" s="17"/>
      <c r="G13" s="16">
        <f>SUM(G6:G12)</f>
        <v>3</v>
      </c>
      <c r="H13" s="16">
        <f>SUM(H6:H12)</f>
        <v>0</v>
      </c>
      <c r="I13" s="16"/>
      <c r="J13" s="3"/>
    </row>
    <row r="14" spans="1:10" ht="15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5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x14ac:dyDescent="0.15">
      <c r="A17" s="38" t="s">
        <v>13</v>
      </c>
      <c r="B17" s="38"/>
      <c r="C17" s="38"/>
      <c r="D17" s="38"/>
      <c r="E17" s="38"/>
      <c r="F17" s="38"/>
      <c r="G17" s="3"/>
      <c r="H17" s="3"/>
      <c r="I17" s="3"/>
      <c r="J17" s="3"/>
    </row>
    <row r="18" spans="1:10" ht="27" customHeight="1" x14ac:dyDescent="0.15">
      <c r="A18" s="21" t="s">
        <v>7</v>
      </c>
      <c r="B18" s="19" t="s">
        <v>1</v>
      </c>
      <c r="C18" s="19" t="s">
        <v>11</v>
      </c>
      <c r="D18" s="20" t="s">
        <v>10</v>
      </c>
      <c r="E18" s="39" t="s">
        <v>6</v>
      </c>
      <c r="F18" s="40"/>
      <c r="G18" s="3"/>
      <c r="H18" s="3"/>
      <c r="I18" s="3"/>
      <c r="J18" s="3"/>
    </row>
    <row r="19" spans="1:10" ht="57" customHeight="1" x14ac:dyDescent="0.15">
      <c r="A19" s="15" t="s">
        <v>48</v>
      </c>
      <c r="B19" s="31">
        <v>46297</v>
      </c>
      <c r="C19" s="29">
        <v>1</v>
      </c>
      <c r="D19" s="28">
        <v>1</v>
      </c>
      <c r="E19" s="25" t="s">
        <v>53</v>
      </c>
      <c r="F19" s="27"/>
      <c r="G19" s="24"/>
      <c r="H19" s="3"/>
      <c r="I19" s="3"/>
      <c r="J19" s="24"/>
    </row>
    <row r="20" spans="1:10" ht="57" customHeight="1" x14ac:dyDescent="0.15">
      <c r="A20" s="15" t="s">
        <v>75</v>
      </c>
      <c r="B20" s="31">
        <v>46297</v>
      </c>
      <c r="C20" s="29">
        <v>1</v>
      </c>
      <c r="D20" s="29">
        <v>0</v>
      </c>
      <c r="E20" s="25" t="s">
        <v>61</v>
      </c>
      <c r="F20" s="27" t="s">
        <v>76</v>
      </c>
      <c r="G20" s="24"/>
      <c r="H20" s="3"/>
      <c r="I20" s="3"/>
      <c r="J20" s="24"/>
    </row>
    <row r="21" spans="1:10" ht="57" customHeight="1" x14ac:dyDescent="0.15">
      <c r="A21" s="25" t="s">
        <v>20</v>
      </c>
      <c r="B21" s="31">
        <v>46295</v>
      </c>
      <c r="C21" s="16">
        <v>2</v>
      </c>
      <c r="D21" s="29">
        <v>0</v>
      </c>
      <c r="E21" s="25" t="s">
        <v>78</v>
      </c>
      <c r="F21" s="27" t="s">
        <v>80</v>
      </c>
      <c r="G21" s="24"/>
      <c r="H21" s="3"/>
      <c r="I21" s="3"/>
      <c r="J21" s="24"/>
    </row>
    <row r="22" spans="1:10" ht="57" customHeight="1" x14ac:dyDescent="0.15">
      <c r="A22" s="15" t="s">
        <v>14</v>
      </c>
      <c r="B22" s="31">
        <v>46281</v>
      </c>
      <c r="C22" s="16">
        <v>2</v>
      </c>
      <c r="D22" s="29">
        <v>0</v>
      </c>
      <c r="E22" s="25" t="s">
        <v>15</v>
      </c>
      <c r="F22" s="27" t="s">
        <v>79</v>
      </c>
      <c r="G22" s="24"/>
      <c r="H22" s="3"/>
      <c r="I22" s="3"/>
      <c r="J22" s="24"/>
    </row>
    <row r="23" spans="1:10" ht="57" customHeight="1" x14ac:dyDescent="0.15">
      <c r="A23" s="15"/>
      <c r="B23" s="31"/>
      <c r="C23" s="29"/>
      <c r="D23" s="29"/>
      <c r="E23" s="25"/>
      <c r="F23" s="27"/>
      <c r="G23" s="24"/>
      <c r="H23" s="24"/>
      <c r="I23" s="24"/>
      <c r="J23" s="24"/>
    </row>
    <row r="24" spans="1:10" ht="57" customHeight="1" x14ac:dyDescent="0.15">
      <c r="A24" s="25"/>
      <c r="B24" s="31"/>
      <c r="C24" s="26"/>
      <c r="D24" s="30"/>
      <c r="E24" s="25"/>
      <c r="F24" s="27"/>
      <c r="G24" s="24"/>
      <c r="H24" s="24"/>
      <c r="I24" s="24"/>
      <c r="J24" s="24"/>
    </row>
    <row r="25" spans="1:10" ht="15.75" x14ac:dyDescent="0.2">
      <c r="A25" s="22"/>
      <c r="B25" s="23"/>
      <c r="C25" s="23">
        <f>SUM(C19:C24)</f>
        <v>6</v>
      </c>
      <c r="D25" s="23">
        <f>SUM(D19:D24)</f>
        <v>1</v>
      </c>
      <c r="E25" s="32"/>
      <c r="F25" s="33"/>
      <c r="G25" s="24"/>
      <c r="H25" s="3"/>
      <c r="I25" s="3"/>
      <c r="J25" s="3"/>
    </row>
  </sheetData>
  <mergeCells count="7">
    <mergeCell ref="E25:F25"/>
    <mergeCell ref="A1:I1"/>
    <mergeCell ref="A4:D4"/>
    <mergeCell ref="F4:H4"/>
    <mergeCell ref="I4:I5"/>
    <mergeCell ref="A17:F17"/>
    <mergeCell ref="E18:F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B8E5-B037-4015-A39C-B9462A3B548D}">
  <dimension ref="A1:J29"/>
  <sheetViews>
    <sheetView zoomScale="85" zoomScaleNormal="85" workbookViewId="0">
      <selection activeCell="D15" sqref="D15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46304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 t="s">
        <v>86</v>
      </c>
      <c r="B6" s="16">
        <v>3</v>
      </c>
      <c r="C6" s="16">
        <v>0</v>
      </c>
      <c r="D6" s="29">
        <v>0</v>
      </c>
      <c r="E6" s="25" t="s">
        <v>89</v>
      </c>
      <c r="F6" s="15" t="s">
        <v>84</v>
      </c>
      <c r="G6" s="16">
        <v>3</v>
      </c>
      <c r="H6" s="16">
        <v>0</v>
      </c>
      <c r="I6" s="25" t="s">
        <v>85</v>
      </c>
      <c r="J6" s="2"/>
    </row>
    <row r="7" spans="1:10" ht="65.25" customHeight="1" x14ac:dyDescent="0.15">
      <c r="A7" s="15" t="s">
        <v>87</v>
      </c>
      <c r="B7" s="16">
        <v>1</v>
      </c>
      <c r="C7" s="16">
        <v>0</v>
      </c>
      <c r="D7" s="29">
        <v>0</v>
      </c>
      <c r="E7" s="25" t="s">
        <v>88</v>
      </c>
      <c r="F7" s="15"/>
      <c r="G7" s="16"/>
      <c r="H7" s="16"/>
      <c r="I7" s="25"/>
      <c r="J7" s="2"/>
    </row>
    <row r="8" spans="1:10" ht="65.25" customHeight="1" x14ac:dyDescent="0.15">
      <c r="A8" s="15" t="s">
        <v>92</v>
      </c>
      <c r="B8" s="16">
        <v>1</v>
      </c>
      <c r="C8" s="16">
        <v>0</v>
      </c>
      <c r="D8" s="29">
        <v>0</v>
      </c>
      <c r="E8" s="25" t="s">
        <v>93</v>
      </c>
      <c r="F8" s="15"/>
      <c r="G8" s="16"/>
      <c r="H8" s="16"/>
      <c r="I8" s="25"/>
      <c r="J8" s="2"/>
    </row>
    <row r="9" spans="1:10" ht="65.25" customHeight="1" x14ac:dyDescent="0.15">
      <c r="A9" s="15" t="s">
        <v>94</v>
      </c>
      <c r="B9" s="16">
        <v>1</v>
      </c>
      <c r="C9" s="16">
        <v>0</v>
      </c>
      <c r="D9" s="29">
        <v>0</v>
      </c>
      <c r="E9" s="25" t="s">
        <v>95</v>
      </c>
      <c r="F9" s="15"/>
      <c r="G9" s="16"/>
      <c r="H9" s="16"/>
      <c r="I9" s="25"/>
      <c r="J9" s="2"/>
    </row>
    <row r="10" spans="1:10" ht="65.25" customHeight="1" x14ac:dyDescent="0.15">
      <c r="A10" s="15" t="s">
        <v>96</v>
      </c>
      <c r="B10" s="16">
        <v>1</v>
      </c>
      <c r="C10" s="16">
        <v>0</v>
      </c>
      <c r="D10" s="29">
        <v>0</v>
      </c>
      <c r="E10" s="25" t="s">
        <v>97</v>
      </c>
      <c r="F10" s="15"/>
      <c r="G10" s="16"/>
      <c r="H10" s="16"/>
      <c r="I10" s="25"/>
      <c r="J10" s="2"/>
    </row>
    <row r="11" spans="1:10" ht="65.25" customHeight="1" x14ac:dyDescent="0.15">
      <c r="A11" s="15" t="s">
        <v>90</v>
      </c>
      <c r="B11" s="16">
        <v>2</v>
      </c>
      <c r="C11" s="16">
        <v>0</v>
      </c>
      <c r="D11" s="28">
        <v>2</v>
      </c>
      <c r="E11" s="25" t="s">
        <v>99</v>
      </c>
      <c r="F11" s="15"/>
      <c r="G11" s="16"/>
      <c r="H11" s="16"/>
      <c r="I11" s="25"/>
      <c r="J11" s="2"/>
    </row>
    <row r="12" spans="1:10" ht="65.25" customHeight="1" x14ac:dyDescent="0.15">
      <c r="A12" s="15" t="s">
        <v>91</v>
      </c>
      <c r="B12" s="16">
        <v>1</v>
      </c>
      <c r="C12" s="16">
        <v>0</v>
      </c>
      <c r="D12" s="29">
        <v>0</v>
      </c>
      <c r="E12" s="25" t="s">
        <v>100</v>
      </c>
      <c r="F12" s="15"/>
      <c r="G12" s="16"/>
      <c r="H12" s="16"/>
      <c r="I12" s="25"/>
      <c r="J12" s="2"/>
    </row>
    <row r="13" spans="1:10" ht="65.25" customHeight="1" x14ac:dyDescent="0.15">
      <c r="A13" s="15" t="s">
        <v>98</v>
      </c>
      <c r="B13" s="16">
        <v>4</v>
      </c>
      <c r="C13" s="16">
        <v>0</v>
      </c>
      <c r="D13" s="29">
        <v>0</v>
      </c>
      <c r="E13" s="25" t="s">
        <v>101</v>
      </c>
      <c r="F13" s="15"/>
      <c r="G13" s="16"/>
      <c r="H13" s="16"/>
      <c r="I13" s="25"/>
      <c r="J13" s="2"/>
    </row>
    <row r="14" spans="1:10" ht="65.25" customHeight="1" x14ac:dyDescent="0.15">
      <c r="A14" s="15"/>
      <c r="B14" s="16"/>
      <c r="C14" s="16"/>
      <c r="D14" s="28"/>
      <c r="E14" s="25"/>
      <c r="F14" s="15"/>
      <c r="G14" s="16"/>
      <c r="H14" s="16"/>
      <c r="I14" s="25"/>
      <c r="J14" s="2"/>
    </row>
    <row r="15" spans="1:10" ht="65.25" customHeight="1" x14ac:dyDescent="0.15">
      <c r="A15" s="16"/>
      <c r="B15" s="16"/>
      <c r="C15" s="16"/>
      <c r="D15" s="29"/>
      <c r="E15" s="25"/>
      <c r="F15" s="15"/>
      <c r="G15" s="16"/>
      <c r="H15" s="16"/>
      <c r="I15" s="25"/>
      <c r="J15" s="2"/>
    </row>
    <row r="16" spans="1:10" ht="65.25" customHeight="1" x14ac:dyDescent="0.15">
      <c r="A16" s="15"/>
      <c r="B16" s="16"/>
      <c r="C16" s="16"/>
      <c r="D16" s="29"/>
      <c r="E16" s="25"/>
      <c r="F16" s="25"/>
      <c r="G16" s="16"/>
      <c r="H16" s="16"/>
      <c r="I16" s="15"/>
      <c r="J16" s="2"/>
    </row>
    <row r="17" spans="1:10" ht="18.75" customHeight="1" x14ac:dyDescent="0.15">
      <c r="A17" s="18" t="s">
        <v>12</v>
      </c>
      <c r="B17" s="16">
        <f>SUM(B6:B16)</f>
        <v>14</v>
      </c>
      <c r="C17" s="16">
        <f>SUM(C6:C16)</f>
        <v>0</v>
      </c>
      <c r="D17" s="16">
        <f>SUM(D6:D16)</f>
        <v>2</v>
      </c>
      <c r="E17" s="16"/>
      <c r="F17" s="17"/>
      <c r="G17" s="16">
        <f>SUM(G6:G16)</f>
        <v>3</v>
      </c>
      <c r="H17" s="16">
        <f>SUM(H6:H16)</f>
        <v>0</v>
      </c>
      <c r="I17" s="16"/>
      <c r="J17" s="3"/>
    </row>
    <row r="18" spans="1:10" ht="15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8" x14ac:dyDescent="0.15">
      <c r="A21" s="38" t="s">
        <v>13</v>
      </c>
      <c r="B21" s="38"/>
      <c r="C21" s="38"/>
      <c r="D21" s="38"/>
      <c r="E21" s="38"/>
      <c r="F21" s="38"/>
      <c r="G21" s="3"/>
      <c r="H21" s="3"/>
      <c r="I21" s="3"/>
      <c r="J21" s="3"/>
    </row>
    <row r="22" spans="1:10" ht="27" customHeight="1" x14ac:dyDescent="0.15">
      <c r="A22" s="21" t="s">
        <v>7</v>
      </c>
      <c r="B22" s="19" t="s">
        <v>1</v>
      </c>
      <c r="C22" s="19" t="s">
        <v>11</v>
      </c>
      <c r="D22" s="20" t="s">
        <v>10</v>
      </c>
      <c r="E22" s="39" t="s">
        <v>6</v>
      </c>
      <c r="F22" s="40"/>
      <c r="G22" s="3"/>
      <c r="H22" s="3"/>
      <c r="I22" s="3"/>
      <c r="J22" s="3"/>
    </row>
    <row r="23" spans="1:10" ht="57" customHeight="1" x14ac:dyDescent="0.15">
      <c r="A23" s="15" t="s">
        <v>48</v>
      </c>
      <c r="B23" s="31">
        <v>46297</v>
      </c>
      <c r="C23" s="29">
        <v>1</v>
      </c>
      <c r="D23" s="28">
        <v>1</v>
      </c>
      <c r="E23" s="25" t="s">
        <v>53</v>
      </c>
      <c r="F23" s="27"/>
      <c r="G23" s="24"/>
      <c r="H23" s="3"/>
      <c r="I23" s="3"/>
      <c r="J23" s="24"/>
    </row>
    <row r="24" spans="1:10" ht="57" customHeight="1" x14ac:dyDescent="0.15">
      <c r="A24" s="15"/>
      <c r="B24" s="31"/>
      <c r="C24" s="29"/>
      <c r="D24" s="29"/>
      <c r="E24" s="25"/>
      <c r="F24" s="27"/>
      <c r="G24" s="24"/>
      <c r="H24" s="3"/>
      <c r="I24" s="3"/>
      <c r="J24" s="24"/>
    </row>
    <row r="25" spans="1:10" ht="57" customHeight="1" x14ac:dyDescent="0.15">
      <c r="A25" s="25"/>
      <c r="B25" s="31"/>
      <c r="C25" s="16"/>
      <c r="D25" s="29"/>
      <c r="E25" s="25"/>
      <c r="F25" s="27"/>
      <c r="G25" s="24"/>
      <c r="H25" s="3"/>
      <c r="I25" s="3"/>
      <c r="J25" s="24"/>
    </row>
    <row r="26" spans="1:10" ht="57" customHeight="1" x14ac:dyDescent="0.15">
      <c r="A26" s="15"/>
      <c r="B26" s="31"/>
      <c r="C26" s="16"/>
      <c r="D26" s="29"/>
      <c r="E26" s="25"/>
      <c r="F26" s="27"/>
      <c r="G26" s="24"/>
      <c r="H26" s="3"/>
      <c r="I26" s="3"/>
      <c r="J26" s="24"/>
    </row>
    <row r="27" spans="1:10" ht="57" customHeight="1" x14ac:dyDescent="0.15">
      <c r="A27" s="15"/>
      <c r="B27" s="31"/>
      <c r="C27" s="29"/>
      <c r="D27" s="29"/>
      <c r="E27" s="25"/>
      <c r="F27" s="27"/>
      <c r="G27" s="24"/>
      <c r="H27" s="24"/>
      <c r="I27" s="24"/>
      <c r="J27" s="24"/>
    </row>
    <row r="28" spans="1:10" ht="57" customHeight="1" x14ac:dyDescent="0.15">
      <c r="A28" s="25"/>
      <c r="B28" s="31"/>
      <c r="C28" s="26"/>
      <c r="D28" s="30"/>
      <c r="E28" s="25"/>
      <c r="F28" s="27"/>
      <c r="G28" s="24"/>
      <c r="H28" s="24"/>
      <c r="I28" s="24"/>
      <c r="J28" s="24"/>
    </row>
    <row r="29" spans="1:10" ht="15.75" x14ac:dyDescent="0.2">
      <c r="A29" s="22"/>
      <c r="B29" s="23"/>
      <c r="C29" s="23">
        <f>SUM(C23:C28)</f>
        <v>1</v>
      </c>
      <c r="D29" s="23">
        <f>SUM(D23:D28)</f>
        <v>1</v>
      </c>
      <c r="E29" s="32"/>
      <c r="F29" s="33"/>
      <c r="G29" s="24"/>
      <c r="H29" s="3"/>
      <c r="I29" s="3"/>
      <c r="J29" s="3"/>
    </row>
  </sheetData>
  <mergeCells count="7">
    <mergeCell ref="E29:F29"/>
    <mergeCell ref="A1:I1"/>
    <mergeCell ref="A4:D4"/>
    <mergeCell ref="F4:H4"/>
    <mergeCell ref="I4:I5"/>
    <mergeCell ref="A21:F21"/>
    <mergeCell ref="E22:F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0307-9739-44CE-B051-07B8052929BB}">
  <dimension ref="A1:J25"/>
  <sheetViews>
    <sheetView zoomScale="85" zoomScaleNormal="85" workbookViewId="0">
      <selection activeCell="C8" sqref="C8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46307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65.25" customHeight="1" x14ac:dyDescent="0.15">
      <c r="A6" s="15" t="s">
        <v>102</v>
      </c>
      <c r="B6" s="16">
        <v>13</v>
      </c>
      <c r="C6" s="16">
        <v>0</v>
      </c>
      <c r="D6" s="29">
        <v>0</v>
      </c>
      <c r="E6" s="25" t="s">
        <v>109</v>
      </c>
      <c r="F6" s="15" t="s">
        <v>102</v>
      </c>
      <c r="G6" s="16">
        <v>13</v>
      </c>
      <c r="H6" s="16">
        <v>0</v>
      </c>
      <c r="I6" s="25" t="s">
        <v>110</v>
      </c>
      <c r="J6" s="2"/>
    </row>
    <row r="7" spans="1:10" ht="65.25" customHeight="1" x14ac:dyDescent="0.15">
      <c r="A7" s="15" t="s">
        <v>103</v>
      </c>
      <c r="B7" s="16">
        <v>0</v>
      </c>
      <c r="C7" s="16">
        <v>3</v>
      </c>
      <c r="D7" s="29">
        <v>0</v>
      </c>
      <c r="E7" s="25" t="s">
        <v>104</v>
      </c>
      <c r="F7" s="15" t="s">
        <v>103</v>
      </c>
      <c r="G7" s="16">
        <v>3</v>
      </c>
      <c r="H7" s="16">
        <v>0</v>
      </c>
      <c r="I7" s="25" t="s">
        <v>104</v>
      </c>
      <c r="J7" s="2"/>
    </row>
    <row r="8" spans="1:10" ht="65.25" customHeight="1" x14ac:dyDescent="0.15">
      <c r="A8" s="15" t="s">
        <v>108</v>
      </c>
      <c r="B8" s="16">
        <v>30</v>
      </c>
      <c r="C8" s="16">
        <v>0</v>
      </c>
      <c r="D8" s="29">
        <v>0</v>
      </c>
      <c r="E8" s="25" t="s">
        <v>107</v>
      </c>
      <c r="F8" s="15" t="s">
        <v>105</v>
      </c>
      <c r="G8" s="16">
        <v>30</v>
      </c>
      <c r="H8" s="16">
        <v>0</v>
      </c>
      <c r="I8" s="25" t="s">
        <v>106</v>
      </c>
      <c r="J8" s="2"/>
    </row>
    <row r="9" spans="1:10" ht="65.25" customHeight="1" x14ac:dyDescent="0.15">
      <c r="A9" s="15"/>
      <c r="B9" s="16"/>
      <c r="C9" s="16"/>
      <c r="D9" s="29"/>
      <c r="E9" s="25"/>
      <c r="F9" s="15"/>
      <c r="G9" s="16"/>
      <c r="H9" s="16"/>
      <c r="I9" s="25"/>
      <c r="J9" s="2"/>
    </row>
    <row r="10" spans="1:10" ht="65.25" customHeight="1" x14ac:dyDescent="0.15">
      <c r="A10" s="15"/>
      <c r="B10" s="16"/>
      <c r="C10" s="16"/>
      <c r="D10" s="29"/>
      <c r="E10" s="25"/>
      <c r="F10" s="15"/>
      <c r="G10" s="16"/>
      <c r="H10" s="16"/>
      <c r="I10" s="25"/>
      <c r="J10" s="2"/>
    </row>
    <row r="11" spans="1:10" ht="65.25" customHeight="1" x14ac:dyDescent="0.15">
      <c r="A11" s="16"/>
      <c r="B11" s="16"/>
      <c r="C11" s="16"/>
      <c r="D11" s="29"/>
      <c r="E11" s="25"/>
      <c r="F11" s="15"/>
      <c r="G11" s="16"/>
      <c r="H11" s="16"/>
      <c r="I11" s="25"/>
      <c r="J11" s="2"/>
    </row>
    <row r="12" spans="1:10" ht="65.25" customHeight="1" x14ac:dyDescent="0.15">
      <c r="A12" s="15"/>
      <c r="B12" s="16"/>
      <c r="C12" s="16"/>
      <c r="D12" s="29"/>
      <c r="E12" s="25"/>
      <c r="F12" s="25"/>
      <c r="G12" s="16"/>
      <c r="H12" s="16"/>
      <c r="I12" s="15"/>
      <c r="J12" s="2"/>
    </row>
    <row r="13" spans="1:10" ht="18.75" customHeight="1" x14ac:dyDescent="0.15">
      <c r="A13" s="18" t="s">
        <v>12</v>
      </c>
      <c r="B13" s="16">
        <f>SUM(B6:B12)</f>
        <v>43</v>
      </c>
      <c r="C13" s="16">
        <f>SUM(C6:C12)</f>
        <v>3</v>
      </c>
      <c r="D13" s="16">
        <f>SUM(D6:D12)</f>
        <v>0</v>
      </c>
      <c r="E13" s="16"/>
      <c r="F13" s="17"/>
      <c r="G13" s="16">
        <f>SUM(G6:G12)</f>
        <v>46</v>
      </c>
      <c r="H13" s="16">
        <f>SUM(H6:H12)</f>
        <v>0</v>
      </c>
      <c r="I13" s="16"/>
      <c r="J13" s="3"/>
    </row>
    <row r="14" spans="1:10" ht="15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5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x14ac:dyDescent="0.15">
      <c r="A17" s="38" t="s">
        <v>13</v>
      </c>
      <c r="B17" s="38"/>
      <c r="C17" s="38"/>
      <c r="D17" s="38"/>
      <c r="E17" s="38"/>
      <c r="F17" s="38"/>
      <c r="G17" s="3"/>
      <c r="H17" s="3"/>
      <c r="I17" s="3"/>
      <c r="J17" s="3"/>
    </row>
    <row r="18" spans="1:10" ht="27" customHeight="1" x14ac:dyDescent="0.15">
      <c r="A18" s="21" t="s">
        <v>7</v>
      </c>
      <c r="B18" s="19" t="s">
        <v>1</v>
      </c>
      <c r="C18" s="19" t="s">
        <v>11</v>
      </c>
      <c r="D18" s="20" t="s">
        <v>10</v>
      </c>
      <c r="E18" s="39" t="s">
        <v>6</v>
      </c>
      <c r="F18" s="40"/>
      <c r="G18" s="3"/>
      <c r="H18" s="3"/>
      <c r="I18" s="3"/>
      <c r="J18" s="3"/>
    </row>
    <row r="19" spans="1:10" ht="57" customHeight="1" x14ac:dyDescent="0.15">
      <c r="A19" s="15" t="s">
        <v>48</v>
      </c>
      <c r="B19" s="31">
        <v>46297</v>
      </c>
      <c r="C19" s="29">
        <v>1</v>
      </c>
      <c r="D19" s="28">
        <v>1</v>
      </c>
      <c r="E19" s="25" t="s">
        <v>53</v>
      </c>
      <c r="F19" s="27"/>
      <c r="G19" s="24"/>
      <c r="H19" s="3"/>
      <c r="I19" s="3"/>
      <c r="J19" s="24"/>
    </row>
    <row r="20" spans="1:10" ht="57" customHeight="1" x14ac:dyDescent="0.15">
      <c r="A20" s="15" t="s">
        <v>90</v>
      </c>
      <c r="B20" s="31">
        <v>46304</v>
      </c>
      <c r="C20" s="29">
        <v>2</v>
      </c>
      <c r="D20" s="28">
        <v>2</v>
      </c>
      <c r="E20" s="25" t="s">
        <v>99</v>
      </c>
      <c r="F20" s="27"/>
      <c r="G20" s="24"/>
      <c r="H20" s="3"/>
      <c r="I20" s="3"/>
      <c r="J20" s="24"/>
    </row>
    <row r="21" spans="1:10" ht="57" customHeight="1" x14ac:dyDescent="0.15">
      <c r="A21" s="25"/>
      <c r="B21" s="31"/>
      <c r="C21" s="16"/>
      <c r="D21" s="29"/>
      <c r="E21" s="25"/>
      <c r="F21" s="27"/>
      <c r="G21" s="24"/>
      <c r="H21" s="3"/>
      <c r="I21" s="3"/>
      <c r="J21" s="24"/>
    </row>
    <row r="22" spans="1:10" ht="57" customHeight="1" x14ac:dyDescent="0.15">
      <c r="A22" s="15"/>
      <c r="B22" s="31"/>
      <c r="C22" s="16"/>
      <c r="D22" s="29"/>
      <c r="E22" s="25"/>
      <c r="F22" s="27"/>
      <c r="G22" s="24"/>
      <c r="H22" s="3"/>
      <c r="I22" s="3"/>
      <c r="J22" s="24"/>
    </row>
    <row r="23" spans="1:10" ht="57" customHeight="1" x14ac:dyDescent="0.15">
      <c r="A23" s="15"/>
      <c r="B23" s="31"/>
      <c r="C23" s="29"/>
      <c r="D23" s="29"/>
      <c r="E23" s="25"/>
      <c r="F23" s="27"/>
      <c r="G23" s="24"/>
      <c r="H23" s="24"/>
      <c r="I23" s="24"/>
      <c r="J23" s="24"/>
    </row>
    <row r="24" spans="1:10" ht="57" customHeight="1" x14ac:dyDescent="0.15">
      <c r="A24" s="25"/>
      <c r="B24" s="31"/>
      <c r="C24" s="26"/>
      <c r="D24" s="30"/>
      <c r="E24" s="25"/>
      <c r="F24" s="27"/>
      <c r="G24" s="24"/>
      <c r="H24" s="24"/>
      <c r="I24" s="24"/>
      <c r="J24" s="24"/>
    </row>
    <row r="25" spans="1:10" ht="15.75" x14ac:dyDescent="0.2">
      <c r="A25" s="22"/>
      <c r="B25" s="23"/>
      <c r="C25" s="23">
        <f>SUM(C19:C24)</f>
        <v>3</v>
      </c>
      <c r="D25" s="23">
        <f>SUM(D19:D24)</f>
        <v>3</v>
      </c>
      <c r="E25" s="32"/>
      <c r="F25" s="33"/>
      <c r="G25" s="24"/>
      <c r="H25" s="3"/>
      <c r="I25" s="3"/>
      <c r="J25" s="3"/>
    </row>
  </sheetData>
  <mergeCells count="7">
    <mergeCell ref="E25:F25"/>
    <mergeCell ref="A1:I1"/>
    <mergeCell ref="A4:D4"/>
    <mergeCell ref="F4:H4"/>
    <mergeCell ref="I4:I5"/>
    <mergeCell ref="A17:F17"/>
    <mergeCell ref="E18:F1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1681-C6B4-4273-AE89-541BC4BB4B71}">
  <dimension ref="A1:J33"/>
  <sheetViews>
    <sheetView topLeftCell="A9" zoomScale="85" zoomScaleNormal="85" workbookViewId="0">
      <selection activeCell="D19" sqref="D19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46308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79.5" customHeight="1" x14ac:dyDescent="0.15">
      <c r="A6" s="15" t="s">
        <v>112</v>
      </c>
      <c r="B6" s="16">
        <v>19</v>
      </c>
      <c r="C6" s="16">
        <v>0</v>
      </c>
      <c r="D6" s="29">
        <v>0</v>
      </c>
      <c r="E6" s="25" t="s">
        <v>114</v>
      </c>
      <c r="F6" s="15" t="s">
        <v>111</v>
      </c>
      <c r="G6" s="16">
        <v>5</v>
      </c>
      <c r="H6" s="16">
        <v>0</v>
      </c>
      <c r="I6" s="25" t="s">
        <v>135</v>
      </c>
      <c r="J6" s="2"/>
    </row>
    <row r="7" spans="1:10" ht="87.75" customHeight="1" x14ac:dyDescent="0.15">
      <c r="A7" s="15" t="s">
        <v>113</v>
      </c>
      <c r="B7" s="16">
        <v>19</v>
      </c>
      <c r="C7" s="16">
        <v>0</v>
      </c>
      <c r="D7" s="29">
        <v>0</v>
      </c>
      <c r="E7" s="25" t="s">
        <v>115</v>
      </c>
      <c r="F7" s="15" t="s">
        <v>112</v>
      </c>
      <c r="G7" s="16">
        <v>19</v>
      </c>
      <c r="H7" s="16">
        <v>0</v>
      </c>
      <c r="I7" s="25" t="s">
        <v>114</v>
      </c>
      <c r="J7" s="2"/>
    </row>
    <row r="8" spans="1:10" ht="65.25" customHeight="1" x14ac:dyDescent="0.15">
      <c r="A8" s="15" t="s">
        <v>120</v>
      </c>
      <c r="B8" s="16">
        <v>1</v>
      </c>
      <c r="C8" s="16">
        <v>0</v>
      </c>
      <c r="D8" s="29">
        <v>0</v>
      </c>
      <c r="E8" s="25" t="s">
        <v>121</v>
      </c>
      <c r="F8" s="15" t="s">
        <v>113</v>
      </c>
      <c r="G8" s="16">
        <v>19</v>
      </c>
      <c r="H8" s="16">
        <v>0</v>
      </c>
      <c r="I8" s="25" t="s">
        <v>115</v>
      </c>
      <c r="J8" s="2"/>
    </row>
    <row r="9" spans="1:10" ht="65.25" customHeight="1" x14ac:dyDescent="0.15">
      <c r="A9" s="15" t="s">
        <v>116</v>
      </c>
      <c r="B9" s="16">
        <v>1</v>
      </c>
      <c r="C9" s="16">
        <v>0</v>
      </c>
      <c r="D9" s="29">
        <v>0</v>
      </c>
      <c r="E9" s="25" t="s">
        <v>122</v>
      </c>
      <c r="F9" s="15" t="s">
        <v>126</v>
      </c>
      <c r="G9" s="16">
        <v>31</v>
      </c>
      <c r="H9" s="16">
        <v>0</v>
      </c>
      <c r="I9" s="25" t="s">
        <v>137</v>
      </c>
      <c r="J9" s="2"/>
    </row>
    <row r="10" spans="1:10" ht="65.25" customHeight="1" x14ac:dyDescent="0.15">
      <c r="A10" s="15" t="s">
        <v>117</v>
      </c>
      <c r="B10" s="16">
        <v>2</v>
      </c>
      <c r="C10" s="16">
        <v>0</v>
      </c>
      <c r="D10" s="29">
        <v>0</v>
      </c>
      <c r="E10" s="25" t="s">
        <v>123</v>
      </c>
      <c r="F10" s="15" t="s">
        <v>129</v>
      </c>
      <c r="G10" s="16">
        <v>26</v>
      </c>
      <c r="H10" s="16">
        <v>0</v>
      </c>
      <c r="I10" s="25" t="s">
        <v>130</v>
      </c>
      <c r="J10" s="2"/>
    </row>
    <row r="11" spans="1:10" ht="65.25" customHeight="1" x14ac:dyDescent="0.15">
      <c r="A11" s="15" t="s">
        <v>119</v>
      </c>
      <c r="B11" s="16">
        <v>1</v>
      </c>
      <c r="C11" s="16">
        <v>0</v>
      </c>
      <c r="D11" s="29">
        <v>0</v>
      </c>
      <c r="E11" s="25" t="s">
        <v>124</v>
      </c>
      <c r="F11" s="15" t="s">
        <v>138</v>
      </c>
      <c r="G11" s="16">
        <v>124</v>
      </c>
      <c r="H11" s="16">
        <v>0</v>
      </c>
      <c r="I11" s="25" t="s">
        <v>139</v>
      </c>
      <c r="J11" s="2"/>
    </row>
    <row r="12" spans="1:10" ht="65.25" customHeight="1" x14ac:dyDescent="0.15">
      <c r="A12" s="15" t="s">
        <v>118</v>
      </c>
      <c r="B12" s="16">
        <v>1</v>
      </c>
      <c r="C12" s="16">
        <v>0</v>
      </c>
      <c r="D12" s="29">
        <v>0</v>
      </c>
      <c r="E12" s="25" t="s">
        <v>125</v>
      </c>
      <c r="F12" s="15" t="s">
        <v>140</v>
      </c>
      <c r="G12" s="16">
        <v>2</v>
      </c>
      <c r="H12" s="16">
        <v>0</v>
      </c>
      <c r="I12" s="25" t="s">
        <v>142</v>
      </c>
      <c r="J12" s="2"/>
    </row>
    <row r="13" spans="1:10" ht="65.25" customHeight="1" x14ac:dyDescent="0.15">
      <c r="A13" s="15" t="s">
        <v>129</v>
      </c>
      <c r="B13" s="16">
        <v>26</v>
      </c>
      <c r="C13" s="16">
        <v>0</v>
      </c>
      <c r="D13" s="29">
        <v>0</v>
      </c>
      <c r="E13" s="25" t="s">
        <v>130</v>
      </c>
      <c r="F13" s="15" t="s">
        <v>131</v>
      </c>
      <c r="G13" s="16">
        <v>61</v>
      </c>
      <c r="H13" s="16">
        <v>0</v>
      </c>
      <c r="I13" s="25" t="s">
        <v>141</v>
      </c>
      <c r="J13" s="2"/>
    </row>
    <row r="14" spans="1:10" ht="65.25" customHeight="1" x14ac:dyDescent="0.15">
      <c r="A14" s="15" t="s">
        <v>127</v>
      </c>
      <c r="B14" s="16">
        <v>0</v>
      </c>
      <c r="C14" s="16">
        <v>3</v>
      </c>
      <c r="D14" s="29">
        <v>0</v>
      </c>
      <c r="E14" s="25" t="s">
        <v>128</v>
      </c>
      <c r="F14" s="15"/>
      <c r="G14" s="16"/>
      <c r="H14" s="16"/>
      <c r="I14" s="25"/>
      <c r="J14" s="2"/>
    </row>
    <row r="15" spans="1:10" ht="65.25" customHeight="1" x14ac:dyDescent="0.15">
      <c r="A15" s="15" t="s">
        <v>131</v>
      </c>
      <c r="B15" s="16">
        <v>61</v>
      </c>
      <c r="C15" s="16">
        <v>0</v>
      </c>
      <c r="D15" s="29">
        <v>0</v>
      </c>
      <c r="E15" s="25" t="s">
        <v>141</v>
      </c>
      <c r="F15" s="15"/>
      <c r="G15" s="16"/>
      <c r="H15" s="16"/>
      <c r="I15" s="25"/>
      <c r="J15" s="2"/>
    </row>
    <row r="16" spans="1:10" ht="65.25" customHeight="1" x14ac:dyDescent="0.15">
      <c r="A16" s="15" t="s">
        <v>132</v>
      </c>
      <c r="B16" s="16">
        <v>1</v>
      </c>
      <c r="C16" s="16">
        <v>0</v>
      </c>
      <c r="D16" s="29">
        <v>0</v>
      </c>
      <c r="E16" s="25" t="s">
        <v>133</v>
      </c>
      <c r="F16" s="15"/>
      <c r="G16" s="16"/>
      <c r="H16" s="16"/>
      <c r="I16" s="25"/>
      <c r="J16" s="2"/>
    </row>
    <row r="17" spans="1:10" ht="65.25" customHeight="1" x14ac:dyDescent="0.15">
      <c r="A17" s="15" t="s">
        <v>134</v>
      </c>
      <c r="B17" s="16">
        <v>2</v>
      </c>
      <c r="C17" s="16">
        <v>0</v>
      </c>
      <c r="D17" s="29">
        <v>0</v>
      </c>
      <c r="E17" s="25" t="s">
        <v>136</v>
      </c>
      <c r="F17" s="15"/>
      <c r="G17" s="16"/>
      <c r="H17" s="16"/>
      <c r="I17" s="25"/>
      <c r="J17" s="2"/>
    </row>
    <row r="18" spans="1:10" ht="65.25" customHeight="1" x14ac:dyDescent="0.15">
      <c r="A18" s="15"/>
      <c r="B18" s="16"/>
      <c r="C18" s="16"/>
      <c r="D18" s="29"/>
      <c r="E18" s="25"/>
      <c r="F18" s="15"/>
      <c r="G18" s="16"/>
      <c r="H18" s="16"/>
      <c r="I18" s="25"/>
      <c r="J18" s="2"/>
    </row>
    <row r="19" spans="1:10" ht="65.25" customHeight="1" x14ac:dyDescent="0.15">
      <c r="A19" s="15"/>
      <c r="B19" s="16"/>
      <c r="C19" s="16"/>
      <c r="D19" s="29"/>
      <c r="E19" s="25"/>
      <c r="F19" s="15"/>
      <c r="G19" s="16"/>
      <c r="H19" s="16"/>
      <c r="I19" s="25"/>
      <c r="J19" s="2"/>
    </row>
    <row r="20" spans="1:10" ht="65.25" customHeight="1" x14ac:dyDescent="0.15">
      <c r="A20" s="15"/>
      <c r="B20" s="16"/>
      <c r="C20" s="16"/>
      <c r="D20" s="29"/>
      <c r="E20" s="25"/>
      <c r="F20" s="25"/>
      <c r="G20" s="16"/>
      <c r="H20" s="16"/>
      <c r="I20" s="15"/>
      <c r="J20" s="2"/>
    </row>
    <row r="21" spans="1:10" ht="18.75" customHeight="1" x14ac:dyDescent="0.15">
      <c r="A21" s="18" t="s">
        <v>12</v>
      </c>
      <c r="B21" s="16">
        <f>SUM(B6:B20)</f>
        <v>134</v>
      </c>
      <c r="C21" s="16">
        <f>SUM(C6:C20)</f>
        <v>3</v>
      </c>
      <c r="D21" s="16">
        <f>SUM(D6:D20)</f>
        <v>0</v>
      </c>
      <c r="E21" s="16"/>
      <c r="F21" s="17"/>
      <c r="G21" s="16">
        <f>SUM(G6:G20)</f>
        <v>287</v>
      </c>
      <c r="H21" s="16">
        <f>SUM(H6:H20)</f>
        <v>0</v>
      </c>
      <c r="I21" s="16"/>
      <c r="J21" s="3"/>
    </row>
    <row r="22" spans="1:10" ht="15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5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8" x14ac:dyDescent="0.15">
      <c r="A25" s="38" t="s">
        <v>13</v>
      </c>
      <c r="B25" s="38"/>
      <c r="C25" s="38"/>
      <c r="D25" s="38"/>
      <c r="E25" s="38"/>
      <c r="F25" s="38"/>
      <c r="G25" s="3"/>
      <c r="H25" s="3"/>
      <c r="I25" s="3"/>
      <c r="J25" s="3"/>
    </row>
    <row r="26" spans="1:10" ht="27" customHeight="1" x14ac:dyDescent="0.15">
      <c r="A26" s="21" t="s">
        <v>7</v>
      </c>
      <c r="B26" s="19" t="s">
        <v>1</v>
      </c>
      <c r="C26" s="19" t="s">
        <v>11</v>
      </c>
      <c r="D26" s="20" t="s">
        <v>10</v>
      </c>
      <c r="E26" s="39" t="s">
        <v>6</v>
      </c>
      <c r="F26" s="40"/>
      <c r="G26" s="3"/>
      <c r="H26" s="3"/>
      <c r="I26" s="3"/>
      <c r="J26" s="3"/>
    </row>
    <row r="27" spans="1:10" ht="57" customHeight="1" x14ac:dyDescent="0.15">
      <c r="A27" s="15" t="s">
        <v>48</v>
      </c>
      <c r="B27" s="31">
        <v>46297</v>
      </c>
      <c r="C27" s="29">
        <v>1</v>
      </c>
      <c r="D27" s="28">
        <v>1</v>
      </c>
      <c r="E27" s="25" t="s">
        <v>53</v>
      </c>
      <c r="F27" s="27"/>
      <c r="G27" s="24"/>
      <c r="H27" s="3"/>
      <c r="I27" s="3"/>
      <c r="J27" s="24"/>
    </row>
    <row r="28" spans="1:10" ht="57" customHeight="1" x14ac:dyDescent="0.15">
      <c r="A28" s="15" t="s">
        <v>90</v>
      </c>
      <c r="B28" s="31">
        <v>46304</v>
      </c>
      <c r="C28" s="29">
        <v>2</v>
      </c>
      <c r="D28" s="28">
        <v>2</v>
      </c>
      <c r="E28" s="25" t="s">
        <v>99</v>
      </c>
      <c r="F28" s="27"/>
      <c r="G28" s="24"/>
      <c r="H28" s="3"/>
      <c r="I28" s="3"/>
      <c r="J28" s="24"/>
    </row>
    <row r="29" spans="1:10" ht="57" customHeight="1" x14ac:dyDescent="0.15">
      <c r="A29" s="25"/>
      <c r="B29" s="31"/>
      <c r="C29" s="16"/>
      <c r="D29" s="29"/>
      <c r="E29" s="25"/>
      <c r="F29" s="27"/>
      <c r="G29" s="24"/>
      <c r="H29" s="3"/>
      <c r="I29" s="3"/>
      <c r="J29" s="24"/>
    </row>
    <row r="30" spans="1:10" ht="57" customHeight="1" x14ac:dyDescent="0.15">
      <c r="A30" s="15"/>
      <c r="B30" s="31"/>
      <c r="C30" s="16"/>
      <c r="D30" s="29"/>
      <c r="E30" s="25"/>
      <c r="F30" s="27"/>
      <c r="G30" s="24"/>
      <c r="H30" s="3"/>
      <c r="I30" s="3"/>
      <c r="J30" s="24"/>
    </row>
    <row r="31" spans="1:10" ht="57" customHeight="1" x14ac:dyDescent="0.15">
      <c r="A31" s="15"/>
      <c r="B31" s="31"/>
      <c r="C31" s="29"/>
      <c r="D31" s="29"/>
      <c r="E31" s="25"/>
      <c r="F31" s="27"/>
      <c r="G31" s="24"/>
      <c r="H31" s="24"/>
      <c r="I31" s="24"/>
      <c r="J31" s="24"/>
    </row>
    <row r="32" spans="1:10" ht="57" customHeight="1" x14ac:dyDescent="0.15">
      <c r="A32" s="25"/>
      <c r="B32" s="31"/>
      <c r="C32" s="26"/>
      <c r="D32" s="30"/>
      <c r="E32" s="25"/>
      <c r="F32" s="27"/>
      <c r="G32" s="24"/>
      <c r="H32" s="24"/>
      <c r="I32" s="24"/>
      <c r="J32" s="24"/>
    </row>
    <row r="33" spans="1:10" ht="15.75" x14ac:dyDescent="0.2">
      <c r="A33" s="22"/>
      <c r="B33" s="23"/>
      <c r="C33" s="23">
        <f>SUM(C27:C32)</f>
        <v>3</v>
      </c>
      <c r="D33" s="23">
        <f>SUM(D27:D32)</f>
        <v>3</v>
      </c>
      <c r="E33" s="32"/>
      <c r="F33" s="33"/>
      <c r="G33" s="24"/>
      <c r="H33" s="3"/>
      <c r="I33" s="3"/>
      <c r="J33" s="3"/>
    </row>
  </sheetData>
  <mergeCells count="7">
    <mergeCell ref="E33:F33"/>
    <mergeCell ref="A1:I1"/>
    <mergeCell ref="A4:D4"/>
    <mergeCell ref="F4:H4"/>
    <mergeCell ref="I4:I5"/>
    <mergeCell ref="A25:F25"/>
    <mergeCell ref="E26:F2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0A57-CB1E-4F90-AEDF-786488E14498}">
  <dimension ref="A1:J26"/>
  <sheetViews>
    <sheetView zoomScale="85" zoomScaleNormal="85" workbookViewId="0">
      <selection activeCell="G8" sqref="G8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46309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79.5" customHeight="1" x14ac:dyDescent="0.15">
      <c r="A6" s="15" t="s">
        <v>143</v>
      </c>
      <c r="B6" s="16">
        <v>2</v>
      </c>
      <c r="C6" s="16">
        <v>0</v>
      </c>
      <c r="D6" s="29">
        <v>0</v>
      </c>
      <c r="E6" s="25" t="s">
        <v>144</v>
      </c>
      <c r="F6" s="15" t="s">
        <v>147</v>
      </c>
      <c r="G6" s="16">
        <v>2</v>
      </c>
      <c r="H6" s="16">
        <v>0</v>
      </c>
      <c r="I6" s="25" t="s">
        <v>149</v>
      </c>
      <c r="J6" s="2"/>
    </row>
    <row r="7" spans="1:10" ht="87.75" customHeight="1" x14ac:dyDescent="0.15">
      <c r="A7" s="15" t="s">
        <v>145</v>
      </c>
      <c r="B7" s="16">
        <v>3</v>
      </c>
      <c r="C7" s="16">
        <v>0</v>
      </c>
      <c r="D7" s="29">
        <v>0</v>
      </c>
      <c r="E7" s="25" t="s">
        <v>146</v>
      </c>
      <c r="F7" s="15" t="s">
        <v>151</v>
      </c>
      <c r="G7" s="16">
        <v>50</v>
      </c>
      <c r="H7" s="16">
        <v>0</v>
      </c>
      <c r="I7" s="25" t="s">
        <v>153</v>
      </c>
      <c r="J7" s="2"/>
    </row>
    <row r="8" spans="1:10" ht="65.25" customHeight="1" x14ac:dyDescent="0.15">
      <c r="A8" s="15" t="s">
        <v>147</v>
      </c>
      <c r="B8" s="16">
        <v>2</v>
      </c>
      <c r="C8" s="16">
        <v>0</v>
      </c>
      <c r="D8" s="29">
        <v>0</v>
      </c>
      <c r="E8" s="25" t="s">
        <v>149</v>
      </c>
      <c r="F8" s="15"/>
      <c r="G8" s="16"/>
      <c r="H8" s="16"/>
      <c r="I8" s="25"/>
      <c r="J8" s="2"/>
    </row>
    <row r="9" spans="1:10" ht="65.25" customHeight="1" x14ac:dyDescent="0.15">
      <c r="A9" s="15" t="s">
        <v>148</v>
      </c>
      <c r="B9" s="16">
        <v>10</v>
      </c>
      <c r="C9" s="16">
        <v>0</v>
      </c>
      <c r="D9" s="28">
        <v>10</v>
      </c>
      <c r="E9" s="25" t="s">
        <v>150</v>
      </c>
      <c r="F9" s="15"/>
      <c r="G9" s="16"/>
      <c r="H9" s="16"/>
      <c r="I9" s="25"/>
      <c r="J9" s="2"/>
    </row>
    <row r="10" spans="1:10" ht="77.25" customHeight="1" x14ac:dyDescent="0.15">
      <c r="A10" s="15" t="s">
        <v>154</v>
      </c>
      <c r="B10" s="16">
        <v>50</v>
      </c>
      <c r="C10" s="16">
        <v>0</v>
      </c>
      <c r="D10" s="29">
        <v>0</v>
      </c>
      <c r="E10" s="25" t="s">
        <v>152</v>
      </c>
      <c r="F10" s="15"/>
      <c r="G10" s="16"/>
      <c r="H10" s="16"/>
      <c r="I10" s="25"/>
      <c r="J10" s="2"/>
    </row>
    <row r="11" spans="1:10" ht="65.25" customHeight="1" x14ac:dyDescent="0.15">
      <c r="A11" s="15"/>
      <c r="B11" s="16"/>
      <c r="C11" s="16"/>
      <c r="D11" s="29"/>
      <c r="E11" s="25"/>
      <c r="F11" s="15"/>
      <c r="G11" s="16"/>
      <c r="H11" s="16"/>
      <c r="I11" s="25"/>
      <c r="J11" s="2"/>
    </row>
    <row r="12" spans="1:10" ht="65.25" customHeight="1" x14ac:dyDescent="0.15">
      <c r="A12" s="15"/>
      <c r="B12" s="16"/>
      <c r="C12" s="16"/>
      <c r="D12" s="29"/>
      <c r="E12" s="25"/>
      <c r="F12" s="15"/>
      <c r="G12" s="16"/>
      <c r="H12" s="16"/>
      <c r="I12" s="25"/>
      <c r="J12" s="2"/>
    </row>
    <row r="13" spans="1:10" ht="65.25" customHeight="1" x14ac:dyDescent="0.15">
      <c r="A13" s="15"/>
      <c r="B13" s="16"/>
      <c r="C13" s="16"/>
      <c r="D13" s="29"/>
      <c r="E13" s="25"/>
      <c r="F13" s="25"/>
      <c r="G13" s="16"/>
      <c r="H13" s="16"/>
      <c r="I13" s="15"/>
      <c r="J13" s="2"/>
    </row>
    <row r="14" spans="1:10" ht="18.75" customHeight="1" x14ac:dyDescent="0.15">
      <c r="A14" s="18" t="s">
        <v>12</v>
      </c>
      <c r="B14" s="16">
        <f>SUM(B6:B13)</f>
        <v>67</v>
      </c>
      <c r="C14" s="16">
        <f>SUM(C6:C13)</f>
        <v>0</v>
      </c>
      <c r="D14" s="16">
        <f>SUM(D6:D13)</f>
        <v>10</v>
      </c>
      <c r="E14" s="16"/>
      <c r="F14" s="17"/>
      <c r="G14" s="16">
        <f>SUM(G6:G13)</f>
        <v>52</v>
      </c>
      <c r="H14" s="16">
        <f>SUM(H6:H13)</f>
        <v>0</v>
      </c>
      <c r="I14" s="16"/>
      <c r="J14" s="3"/>
    </row>
    <row r="15" spans="1:10" ht="15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5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8" x14ac:dyDescent="0.15">
      <c r="A18" s="38" t="s">
        <v>13</v>
      </c>
      <c r="B18" s="38"/>
      <c r="C18" s="38"/>
      <c r="D18" s="38"/>
      <c r="E18" s="38"/>
      <c r="F18" s="38"/>
      <c r="G18" s="3"/>
      <c r="H18" s="3"/>
      <c r="I18" s="3"/>
      <c r="J18" s="3"/>
    </row>
    <row r="19" spans="1:10" ht="27" customHeight="1" x14ac:dyDescent="0.15">
      <c r="A19" s="21" t="s">
        <v>7</v>
      </c>
      <c r="B19" s="19" t="s">
        <v>1</v>
      </c>
      <c r="C19" s="19" t="s">
        <v>11</v>
      </c>
      <c r="D19" s="20" t="s">
        <v>10</v>
      </c>
      <c r="E19" s="39" t="s">
        <v>6</v>
      </c>
      <c r="F19" s="40"/>
      <c r="G19" s="3"/>
      <c r="H19" s="3"/>
      <c r="I19" s="3"/>
      <c r="J19" s="3"/>
    </row>
    <row r="20" spans="1:10" ht="57" customHeight="1" x14ac:dyDescent="0.15">
      <c r="A20" s="15" t="s">
        <v>48</v>
      </c>
      <c r="B20" s="31">
        <v>46297</v>
      </c>
      <c r="C20" s="29">
        <v>1</v>
      </c>
      <c r="D20" s="28">
        <v>1</v>
      </c>
      <c r="E20" s="25" t="s">
        <v>53</v>
      </c>
      <c r="F20" s="27"/>
      <c r="G20" s="24"/>
      <c r="H20" s="3"/>
      <c r="I20" s="3"/>
      <c r="J20" s="24"/>
    </row>
    <row r="21" spans="1:10" ht="57" customHeight="1" x14ac:dyDescent="0.15">
      <c r="A21" s="15" t="s">
        <v>90</v>
      </c>
      <c r="B21" s="31">
        <v>46304</v>
      </c>
      <c r="C21" s="29">
        <v>2</v>
      </c>
      <c r="D21" s="28">
        <v>2</v>
      </c>
      <c r="E21" s="25" t="s">
        <v>99</v>
      </c>
      <c r="F21" s="27"/>
      <c r="G21" s="24"/>
      <c r="H21" s="3"/>
      <c r="I21" s="3"/>
      <c r="J21" s="24"/>
    </row>
    <row r="22" spans="1:10" ht="57" customHeight="1" x14ac:dyDescent="0.15">
      <c r="A22" s="25"/>
      <c r="B22" s="31"/>
      <c r="C22" s="16"/>
      <c r="D22" s="29"/>
      <c r="E22" s="25"/>
      <c r="F22" s="27"/>
      <c r="G22" s="24"/>
      <c r="H22" s="3"/>
      <c r="I22" s="3"/>
      <c r="J22" s="24"/>
    </row>
    <row r="23" spans="1:10" ht="57" customHeight="1" x14ac:dyDescent="0.15">
      <c r="A23" s="15"/>
      <c r="B23" s="31"/>
      <c r="C23" s="16"/>
      <c r="D23" s="29"/>
      <c r="E23" s="25"/>
      <c r="F23" s="27"/>
      <c r="G23" s="24"/>
      <c r="H23" s="3"/>
      <c r="I23" s="3"/>
      <c r="J23" s="24"/>
    </row>
    <row r="24" spans="1:10" ht="57" customHeight="1" x14ac:dyDescent="0.15">
      <c r="A24" s="15"/>
      <c r="B24" s="31"/>
      <c r="C24" s="29"/>
      <c r="D24" s="29"/>
      <c r="E24" s="25"/>
      <c r="F24" s="27"/>
      <c r="G24" s="24"/>
      <c r="H24" s="24"/>
      <c r="I24" s="24"/>
      <c r="J24" s="24"/>
    </row>
    <row r="25" spans="1:10" ht="57" customHeight="1" x14ac:dyDescent="0.15">
      <c r="A25" s="25"/>
      <c r="B25" s="31"/>
      <c r="C25" s="26"/>
      <c r="D25" s="30"/>
      <c r="E25" s="25"/>
      <c r="F25" s="27"/>
      <c r="G25" s="24"/>
      <c r="H25" s="24"/>
      <c r="I25" s="24"/>
      <c r="J25" s="24"/>
    </row>
    <row r="26" spans="1:10" ht="15.75" x14ac:dyDescent="0.2">
      <c r="A26" s="22"/>
      <c r="B26" s="23"/>
      <c r="C26" s="23">
        <f>SUM(C20:C25)</f>
        <v>3</v>
      </c>
      <c r="D26" s="23">
        <f>SUM(D20:D25)</f>
        <v>3</v>
      </c>
      <c r="E26" s="32"/>
      <c r="F26" s="33"/>
      <c r="G26" s="24"/>
      <c r="H26" s="3"/>
      <c r="I26" s="3"/>
      <c r="J26" s="3"/>
    </row>
  </sheetData>
  <mergeCells count="7">
    <mergeCell ref="E26:F26"/>
    <mergeCell ref="A1:I1"/>
    <mergeCell ref="A4:D4"/>
    <mergeCell ref="F4:H4"/>
    <mergeCell ref="I4:I5"/>
    <mergeCell ref="A18:F18"/>
    <mergeCell ref="E19:F1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EC18-6138-473B-925A-6C1EDE5CBF58}">
  <dimension ref="A1:J28"/>
  <sheetViews>
    <sheetView topLeftCell="A5" zoomScale="85" zoomScaleNormal="85" workbookViewId="0">
      <selection activeCell="D11" sqref="D11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46310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79.5" customHeight="1" x14ac:dyDescent="0.15">
      <c r="A6" s="15" t="s">
        <v>163</v>
      </c>
      <c r="B6" s="16">
        <v>3</v>
      </c>
      <c r="C6" s="16">
        <v>0</v>
      </c>
      <c r="D6" s="29">
        <v>0</v>
      </c>
      <c r="E6" s="25" t="s">
        <v>164</v>
      </c>
      <c r="F6" s="15" t="s">
        <v>156</v>
      </c>
      <c r="G6" s="16">
        <v>1</v>
      </c>
      <c r="H6" s="16">
        <v>0</v>
      </c>
      <c r="I6" s="25" t="s">
        <v>177</v>
      </c>
      <c r="J6" s="2"/>
    </row>
    <row r="7" spans="1:10" ht="87.75" customHeight="1" x14ac:dyDescent="0.15">
      <c r="A7" s="15" t="s">
        <v>158</v>
      </c>
      <c r="B7" s="16">
        <v>2</v>
      </c>
      <c r="C7" s="16">
        <v>0</v>
      </c>
      <c r="D7" s="29">
        <v>0</v>
      </c>
      <c r="E7" s="25" t="s">
        <v>165</v>
      </c>
      <c r="F7" s="15" t="s">
        <v>157</v>
      </c>
      <c r="G7" s="16">
        <v>51</v>
      </c>
      <c r="H7" s="16">
        <v>0</v>
      </c>
      <c r="I7" s="25" t="s">
        <v>166</v>
      </c>
      <c r="J7" s="2"/>
    </row>
    <row r="8" spans="1:10" ht="65.25" customHeight="1" x14ac:dyDescent="0.15">
      <c r="A8" s="15" t="s">
        <v>159</v>
      </c>
      <c r="B8" s="16">
        <v>52</v>
      </c>
      <c r="C8" s="16">
        <v>0</v>
      </c>
      <c r="D8" s="29">
        <v>0</v>
      </c>
      <c r="E8" s="25" t="s">
        <v>160</v>
      </c>
      <c r="F8" s="15" t="s">
        <v>158</v>
      </c>
      <c r="G8" s="16">
        <v>2</v>
      </c>
      <c r="H8" s="16">
        <v>0</v>
      </c>
      <c r="I8" s="25" t="s">
        <v>165</v>
      </c>
      <c r="J8" s="2"/>
    </row>
    <row r="9" spans="1:10" ht="65.25" customHeight="1" x14ac:dyDescent="0.15">
      <c r="A9" s="15" t="s">
        <v>162</v>
      </c>
      <c r="B9" s="16">
        <v>9</v>
      </c>
      <c r="C9" s="16">
        <v>0</v>
      </c>
      <c r="D9" s="29">
        <v>0</v>
      </c>
      <c r="E9" s="25" t="s">
        <v>161</v>
      </c>
      <c r="F9" s="15" t="s">
        <v>167</v>
      </c>
      <c r="G9" s="16">
        <v>11</v>
      </c>
      <c r="H9" s="16">
        <v>0</v>
      </c>
      <c r="I9" s="25" t="s">
        <v>168</v>
      </c>
      <c r="J9" s="2"/>
    </row>
    <row r="10" spans="1:10" ht="77.25" customHeight="1" x14ac:dyDescent="0.15">
      <c r="A10" s="15" t="s">
        <v>167</v>
      </c>
      <c r="B10" s="16">
        <v>11</v>
      </c>
      <c r="C10" s="16">
        <v>0</v>
      </c>
      <c r="D10" s="29">
        <v>0</v>
      </c>
      <c r="E10" s="25" t="s">
        <v>168</v>
      </c>
      <c r="F10" s="15" t="s">
        <v>170</v>
      </c>
      <c r="G10" s="16">
        <v>2</v>
      </c>
      <c r="H10" s="16">
        <v>0</v>
      </c>
      <c r="I10" s="25" t="s">
        <v>176</v>
      </c>
      <c r="J10" s="2"/>
    </row>
    <row r="11" spans="1:10" ht="65.25" customHeight="1" x14ac:dyDescent="0.15">
      <c r="A11" s="15" t="s">
        <v>169</v>
      </c>
      <c r="B11" s="16">
        <v>11</v>
      </c>
      <c r="C11" s="16">
        <v>0</v>
      </c>
      <c r="D11" s="29">
        <v>0</v>
      </c>
      <c r="E11" s="25" t="s">
        <v>172</v>
      </c>
      <c r="F11" s="15" t="s">
        <v>169</v>
      </c>
      <c r="G11" s="16">
        <v>11</v>
      </c>
      <c r="H11" s="16">
        <v>0</v>
      </c>
      <c r="I11" s="25" t="s">
        <v>172</v>
      </c>
      <c r="J11" s="2"/>
    </row>
    <row r="12" spans="1:10" ht="65.25" customHeight="1" x14ac:dyDescent="0.15">
      <c r="A12" s="15" t="s">
        <v>173</v>
      </c>
      <c r="B12" s="16">
        <v>2</v>
      </c>
      <c r="C12" s="16">
        <v>0</v>
      </c>
      <c r="D12" s="29">
        <v>0</v>
      </c>
      <c r="E12" s="25" t="s">
        <v>174</v>
      </c>
      <c r="F12" s="15" t="s">
        <v>171</v>
      </c>
      <c r="G12" s="16">
        <v>3</v>
      </c>
      <c r="H12" s="16">
        <v>0</v>
      </c>
      <c r="I12" s="25" t="s">
        <v>175</v>
      </c>
      <c r="J12" s="2"/>
    </row>
    <row r="13" spans="1:10" ht="65.25" customHeight="1" x14ac:dyDescent="0.15">
      <c r="A13" s="15" t="s">
        <v>171</v>
      </c>
      <c r="B13" s="16">
        <v>3</v>
      </c>
      <c r="C13" s="16">
        <v>0</v>
      </c>
      <c r="D13" s="29">
        <v>0</v>
      </c>
      <c r="E13" s="25" t="s">
        <v>175</v>
      </c>
      <c r="F13" s="15"/>
      <c r="G13" s="16"/>
      <c r="H13" s="16"/>
      <c r="I13" s="25"/>
      <c r="J13" s="2"/>
    </row>
    <row r="14" spans="1:10" ht="65.25" customHeight="1" x14ac:dyDescent="0.15">
      <c r="A14" s="15"/>
      <c r="B14" s="16"/>
      <c r="C14" s="16"/>
      <c r="D14" s="29"/>
      <c r="E14" s="25"/>
      <c r="F14" s="15"/>
      <c r="G14" s="16"/>
      <c r="H14" s="16"/>
      <c r="I14" s="25"/>
      <c r="J14" s="2"/>
    </row>
    <row r="15" spans="1:10" ht="65.25" customHeight="1" x14ac:dyDescent="0.15">
      <c r="A15" s="15"/>
      <c r="B15" s="16"/>
      <c r="C15" s="16"/>
      <c r="D15" s="29"/>
      <c r="E15" s="25"/>
      <c r="F15" s="25"/>
      <c r="G15" s="16"/>
      <c r="H15" s="16"/>
      <c r="I15" s="15"/>
      <c r="J15" s="2"/>
    </row>
    <row r="16" spans="1:10" ht="18.75" customHeight="1" x14ac:dyDescent="0.15">
      <c r="A16" s="18" t="s">
        <v>12</v>
      </c>
      <c r="B16" s="16">
        <f>SUM(B6:B15)</f>
        <v>93</v>
      </c>
      <c r="C16" s="16">
        <f>SUM(C6:C15)</f>
        <v>0</v>
      </c>
      <c r="D16" s="16">
        <f>SUM(D6:D15)</f>
        <v>0</v>
      </c>
      <c r="E16" s="16"/>
      <c r="F16" s="17"/>
      <c r="G16" s="16">
        <f>SUM(G6:G15)</f>
        <v>81</v>
      </c>
      <c r="H16" s="16">
        <f>SUM(H6:H15)</f>
        <v>0</v>
      </c>
      <c r="I16" s="16"/>
      <c r="J16" s="3"/>
    </row>
    <row r="17" spans="1:10" ht="15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5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8" x14ac:dyDescent="0.15">
      <c r="A20" s="38" t="s">
        <v>13</v>
      </c>
      <c r="B20" s="38"/>
      <c r="C20" s="38"/>
      <c r="D20" s="38"/>
      <c r="E20" s="38"/>
      <c r="F20" s="38"/>
      <c r="G20" s="3"/>
      <c r="H20" s="3"/>
      <c r="I20" s="3"/>
      <c r="J20" s="3"/>
    </row>
    <row r="21" spans="1:10" ht="27" customHeight="1" x14ac:dyDescent="0.15">
      <c r="A21" s="21" t="s">
        <v>7</v>
      </c>
      <c r="B21" s="19" t="s">
        <v>1</v>
      </c>
      <c r="C21" s="19" t="s">
        <v>11</v>
      </c>
      <c r="D21" s="20" t="s">
        <v>10</v>
      </c>
      <c r="E21" s="39" t="s">
        <v>6</v>
      </c>
      <c r="F21" s="40"/>
      <c r="G21" s="3"/>
      <c r="H21" s="3"/>
      <c r="I21" s="3"/>
      <c r="J21" s="3"/>
    </row>
    <row r="22" spans="1:10" ht="57" customHeight="1" x14ac:dyDescent="0.15">
      <c r="A22" s="15" t="s">
        <v>48</v>
      </c>
      <c r="B22" s="31">
        <v>46297</v>
      </c>
      <c r="C22" s="29">
        <v>1</v>
      </c>
      <c r="D22" s="28">
        <v>1</v>
      </c>
      <c r="E22" s="25" t="s">
        <v>53</v>
      </c>
      <c r="F22" s="27"/>
      <c r="G22" s="24"/>
      <c r="H22" s="3"/>
      <c r="I22" s="3"/>
      <c r="J22" s="24"/>
    </row>
    <row r="23" spans="1:10" ht="57" customHeight="1" x14ac:dyDescent="0.15">
      <c r="A23" s="15" t="s">
        <v>90</v>
      </c>
      <c r="B23" s="31">
        <v>46304</v>
      </c>
      <c r="C23" s="29">
        <v>2</v>
      </c>
      <c r="D23" s="28">
        <v>2</v>
      </c>
      <c r="E23" s="25" t="s">
        <v>99</v>
      </c>
      <c r="F23" s="27"/>
      <c r="G23" s="24"/>
      <c r="H23" s="3"/>
      <c r="I23" s="3"/>
      <c r="J23" s="24"/>
    </row>
    <row r="24" spans="1:10" ht="57" customHeight="1" x14ac:dyDescent="0.15">
      <c r="A24" s="25" t="s">
        <v>148</v>
      </c>
      <c r="B24" s="31">
        <v>46309</v>
      </c>
      <c r="C24" s="16">
        <v>10</v>
      </c>
      <c r="D24" s="28">
        <v>10</v>
      </c>
      <c r="E24" s="25" t="s">
        <v>155</v>
      </c>
      <c r="F24" s="27"/>
      <c r="G24" s="24"/>
      <c r="H24" s="3"/>
      <c r="I24" s="3"/>
      <c r="J24" s="24"/>
    </row>
    <row r="25" spans="1:10" ht="57" customHeight="1" x14ac:dyDescent="0.15">
      <c r="A25" s="15"/>
      <c r="B25" s="31"/>
      <c r="C25" s="16"/>
      <c r="D25" s="29"/>
      <c r="E25" s="25"/>
      <c r="F25" s="27"/>
      <c r="G25" s="24"/>
      <c r="H25" s="3"/>
      <c r="I25" s="3"/>
      <c r="J25" s="24"/>
    </row>
    <row r="26" spans="1:10" ht="57" customHeight="1" x14ac:dyDescent="0.15">
      <c r="A26" s="15"/>
      <c r="B26" s="31"/>
      <c r="C26" s="29"/>
      <c r="D26" s="29"/>
      <c r="E26" s="25"/>
      <c r="F26" s="27"/>
      <c r="G26" s="24"/>
      <c r="H26" s="24"/>
      <c r="I26" s="24"/>
      <c r="J26" s="24"/>
    </row>
    <row r="27" spans="1:10" ht="57" customHeight="1" x14ac:dyDescent="0.15">
      <c r="A27" s="25"/>
      <c r="B27" s="31"/>
      <c r="C27" s="26"/>
      <c r="D27" s="30"/>
      <c r="E27" s="25"/>
      <c r="F27" s="27"/>
      <c r="G27" s="24"/>
      <c r="H27" s="24"/>
      <c r="I27" s="24"/>
      <c r="J27" s="24"/>
    </row>
    <row r="28" spans="1:10" ht="15.75" x14ac:dyDescent="0.2">
      <c r="A28" s="22"/>
      <c r="B28" s="23"/>
      <c r="C28" s="23">
        <f>SUM(C22:C27)</f>
        <v>13</v>
      </c>
      <c r="D28" s="23">
        <f>SUM(D22:D27)</f>
        <v>13</v>
      </c>
      <c r="E28" s="32"/>
      <c r="F28" s="33"/>
      <c r="G28" s="24"/>
      <c r="H28" s="3"/>
      <c r="I28" s="3"/>
      <c r="J28" s="3"/>
    </row>
  </sheetData>
  <mergeCells count="7">
    <mergeCell ref="E28:F28"/>
    <mergeCell ref="A1:I1"/>
    <mergeCell ref="A4:D4"/>
    <mergeCell ref="F4:H4"/>
    <mergeCell ref="I4:I5"/>
    <mergeCell ref="A20:F20"/>
    <mergeCell ref="E21:F2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E40E-FEA5-43CF-A628-F94B0C7603B9}">
  <dimension ref="A1:J29"/>
  <sheetViews>
    <sheetView tabSelected="1" topLeftCell="A10" zoomScale="85" zoomScaleNormal="85" workbookViewId="0">
      <selection activeCell="F11" sqref="F11"/>
    </sheetView>
  </sheetViews>
  <sheetFormatPr defaultColWidth="27.5" defaultRowHeight="13.5" x14ac:dyDescent="0.15"/>
  <cols>
    <col min="2" max="2" width="18.625" customWidth="1"/>
    <col min="3" max="3" width="19.375" customWidth="1"/>
    <col min="4" max="4" width="18.875" customWidth="1"/>
    <col min="5" max="5" width="36.875" customWidth="1"/>
    <col min="7" max="7" width="18.875" customWidth="1"/>
    <col min="8" max="8" width="20.625" customWidth="1"/>
    <col min="9" max="9" width="35.625" customWidth="1"/>
  </cols>
  <sheetData>
    <row r="1" spans="1:10" ht="18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"/>
    </row>
    <row r="2" spans="1:10" ht="18" x14ac:dyDescent="0.15">
      <c r="A2" s="4" t="s">
        <v>1</v>
      </c>
      <c r="B2" s="5">
        <v>46311</v>
      </c>
      <c r="C2" s="5"/>
      <c r="D2" s="6"/>
      <c r="E2" s="6"/>
      <c r="F2" s="7"/>
      <c r="G2" s="7"/>
      <c r="H2" s="7" t="s">
        <v>2</v>
      </c>
      <c r="I2" s="8" t="s">
        <v>3</v>
      </c>
      <c r="J2" s="1"/>
    </row>
    <row r="3" spans="1:10" ht="18" x14ac:dyDescent="0.15">
      <c r="A3" s="9"/>
      <c r="B3" s="10"/>
      <c r="C3" s="10"/>
      <c r="D3" s="10"/>
      <c r="E3" s="10"/>
      <c r="F3" s="10"/>
      <c r="G3" s="10"/>
      <c r="H3" s="10"/>
      <c r="I3" s="11"/>
      <c r="J3" s="1"/>
    </row>
    <row r="4" spans="1:10" ht="18" x14ac:dyDescent="0.15">
      <c r="A4" s="35" t="s">
        <v>4</v>
      </c>
      <c r="B4" s="35"/>
      <c r="C4" s="35"/>
      <c r="D4" s="35"/>
      <c r="E4" s="12"/>
      <c r="F4" s="36" t="s">
        <v>5</v>
      </c>
      <c r="G4" s="36"/>
      <c r="H4" s="36"/>
      <c r="I4" s="37" t="s">
        <v>6</v>
      </c>
      <c r="J4" s="1"/>
    </row>
    <row r="5" spans="1:10" ht="37.5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37"/>
      <c r="J5" s="2"/>
    </row>
    <row r="6" spans="1:10" ht="79.5" customHeight="1" x14ac:dyDescent="0.15">
      <c r="A6" s="15" t="s">
        <v>178</v>
      </c>
      <c r="B6" s="16">
        <v>2</v>
      </c>
      <c r="C6" s="16">
        <v>0</v>
      </c>
      <c r="D6" s="29">
        <v>0</v>
      </c>
      <c r="E6" s="25" t="s">
        <v>179</v>
      </c>
      <c r="F6" s="15" t="s">
        <v>180</v>
      </c>
      <c r="G6" s="16">
        <v>1</v>
      </c>
      <c r="H6" s="16">
        <v>0</v>
      </c>
      <c r="I6" s="25" t="s">
        <v>181</v>
      </c>
      <c r="J6" s="2"/>
    </row>
    <row r="7" spans="1:10" ht="87.75" customHeight="1" x14ac:dyDescent="0.15">
      <c r="A7" s="15" t="s">
        <v>180</v>
      </c>
      <c r="B7" s="16">
        <v>1</v>
      </c>
      <c r="C7" s="16">
        <v>0</v>
      </c>
      <c r="D7" s="29">
        <v>0</v>
      </c>
      <c r="E7" s="25" t="s">
        <v>184</v>
      </c>
      <c r="F7" s="15" t="s">
        <v>182</v>
      </c>
      <c r="G7" s="16">
        <v>1</v>
      </c>
      <c r="H7" s="16">
        <v>0</v>
      </c>
      <c r="I7" s="25" t="s">
        <v>183</v>
      </c>
      <c r="J7" s="2"/>
    </row>
    <row r="8" spans="1:10" ht="65.25" customHeight="1" x14ac:dyDescent="0.15">
      <c r="A8" s="15" t="s">
        <v>182</v>
      </c>
      <c r="B8" s="16">
        <v>0</v>
      </c>
      <c r="C8" s="16">
        <v>1</v>
      </c>
      <c r="D8" s="29">
        <v>0</v>
      </c>
      <c r="E8" s="25" t="s">
        <v>183</v>
      </c>
      <c r="F8" s="15" t="s">
        <v>189</v>
      </c>
      <c r="G8" s="16">
        <v>9</v>
      </c>
      <c r="H8" s="16">
        <v>0</v>
      </c>
      <c r="I8" s="25" t="s">
        <v>192</v>
      </c>
      <c r="J8" s="2"/>
    </row>
    <row r="9" spans="1:10" ht="65.25" customHeight="1" x14ac:dyDescent="0.15">
      <c r="A9" s="15" t="s">
        <v>185</v>
      </c>
      <c r="B9" s="16">
        <v>8</v>
      </c>
      <c r="C9" s="16">
        <v>0</v>
      </c>
      <c r="D9" s="29">
        <v>0</v>
      </c>
      <c r="E9" s="25" t="s">
        <v>190</v>
      </c>
      <c r="F9" s="15" t="s">
        <v>187</v>
      </c>
      <c r="G9" s="16">
        <v>1</v>
      </c>
      <c r="H9" s="16">
        <v>0</v>
      </c>
      <c r="I9" s="25" t="s">
        <v>188</v>
      </c>
      <c r="J9" s="2"/>
    </row>
    <row r="10" spans="1:10" ht="65.25" customHeight="1" x14ac:dyDescent="0.15">
      <c r="A10" s="15" t="s">
        <v>185</v>
      </c>
      <c r="B10" s="16">
        <v>3</v>
      </c>
      <c r="C10" s="16">
        <v>0</v>
      </c>
      <c r="D10" s="29">
        <v>0</v>
      </c>
      <c r="E10" s="25" t="s">
        <v>191</v>
      </c>
      <c r="F10" s="15"/>
      <c r="G10" s="16"/>
      <c r="H10" s="16"/>
      <c r="I10" s="25"/>
      <c r="J10" s="2"/>
    </row>
    <row r="11" spans="1:10" ht="77.25" customHeight="1" x14ac:dyDescent="0.15">
      <c r="A11" s="15" t="s">
        <v>194</v>
      </c>
      <c r="B11" s="16">
        <v>30</v>
      </c>
      <c r="C11" s="16">
        <v>0</v>
      </c>
      <c r="D11" s="29">
        <v>0</v>
      </c>
      <c r="E11" s="41" t="s">
        <v>193</v>
      </c>
      <c r="F11" s="15"/>
      <c r="G11" s="16"/>
      <c r="H11" s="16"/>
      <c r="I11" s="25"/>
      <c r="J11" s="2"/>
    </row>
    <row r="12" spans="1:10" ht="65.25" customHeight="1" x14ac:dyDescent="0.15">
      <c r="A12" s="15" t="s">
        <v>186</v>
      </c>
      <c r="B12" s="16">
        <v>0</v>
      </c>
      <c r="C12" s="16">
        <v>1</v>
      </c>
      <c r="D12" s="29">
        <v>0</v>
      </c>
      <c r="E12" s="25" t="s">
        <v>195</v>
      </c>
      <c r="F12" s="15"/>
      <c r="G12" s="16"/>
      <c r="H12" s="16"/>
      <c r="I12" s="25"/>
      <c r="J12" s="2"/>
    </row>
    <row r="13" spans="1:10" ht="65.25" customHeight="1" x14ac:dyDescent="0.15">
      <c r="A13" s="15" t="s">
        <v>196</v>
      </c>
      <c r="B13" s="16">
        <v>2</v>
      </c>
      <c r="C13" s="16">
        <v>0</v>
      </c>
      <c r="D13" s="29">
        <v>0</v>
      </c>
      <c r="E13" s="25" t="s">
        <v>197</v>
      </c>
      <c r="G13" s="16"/>
      <c r="H13" s="16"/>
      <c r="I13" s="25"/>
      <c r="J13" s="2"/>
    </row>
    <row r="14" spans="1:10" ht="65.25" customHeight="1" x14ac:dyDescent="0.15">
      <c r="A14" s="15"/>
      <c r="B14" s="16"/>
      <c r="C14" s="16"/>
      <c r="D14" s="29"/>
      <c r="E14" s="25"/>
      <c r="F14" s="15"/>
      <c r="G14" s="16"/>
      <c r="H14" s="16"/>
      <c r="I14" s="25"/>
      <c r="J14" s="2"/>
    </row>
    <row r="15" spans="1:10" ht="65.25" customHeight="1" x14ac:dyDescent="0.15">
      <c r="A15" s="15"/>
      <c r="B15" s="16"/>
      <c r="C15" s="16"/>
      <c r="D15" s="29"/>
      <c r="E15" s="25"/>
      <c r="F15" s="15"/>
      <c r="G15" s="16"/>
      <c r="H15" s="16"/>
      <c r="I15" s="25"/>
      <c r="J15" s="2"/>
    </row>
    <row r="16" spans="1:10" ht="65.25" customHeight="1" x14ac:dyDescent="0.15">
      <c r="A16" s="15"/>
      <c r="B16" s="16"/>
      <c r="C16" s="16"/>
      <c r="D16" s="29"/>
      <c r="E16" s="25"/>
      <c r="F16" s="25"/>
      <c r="G16" s="16"/>
      <c r="H16" s="16"/>
      <c r="I16" s="15"/>
      <c r="J16" s="2"/>
    </row>
    <row r="17" spans="1:10" ht="18.75" customHeight="1" x14ac:dyDescent="0.15">
      <c r="A17" s="18" t="s">
        <v>12</v>
      </c>
      <c r="B17" s="16">
        <f>SUM(B6:B16)</f>
        <v>46</v>
      </c>
      <c r="C17" s="16">
        <f>SUM(C6:C16)</f>
        <v>2</v>
      </c>
      <c r="D17" s="16">
        <f>SUM(D6:D16)</f>
        <v>0</v>
      </c>
      <c r="E17" s="16"/>
      <c r="F17" s="17"/>
      <c r="G17" s="16">
        <f>SUM(G6:G16)</f>
        <v>12</v>
      </c>
      <c r="H17" s="16">
        <f>SUM(H6:H16)</f>
        <v>0</v>
      </c>
      <c r="I17" s="16"/>
      <c r="J17" s="3"/>
    </row>
    <row r="18" spans="1:10" ht="15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8" x14ac:dyDescent="0.15">
      <c r="A21" s="38" t="s">
        <v>13</v>
      </c>
      <c r="B21" s="38"/>
      <c r="C21" s="38"/>
      <c r="D21" s="38"/>
      <c r="E21" s="38"/>
      <c r="F21" s="38"/>
      <c r="G21" s="3"/>
      <c r="H21" s="3"/>
      <c r="I21" s="3"/>
      <c r="J21" s="3"/>
    </row>
    <row r="22" spans="1:10" ht="27" customHeight="1" x14ac:dyDescent="0.15">
      <c r="A22" s="21" t="s">
        <v>7</v>
      </c>
      <c r="B22" s="19" t="s">
        <v>1</v>
      </c>
      <c r="C22" s="19" t="s">
        <v>11</v>
      </c>
      <c r="D22" s="20" t="s">
        <v>10</v>
      </c>
      <c r="E22" s="39" t="s">
        <v>6</v>
      </c>
      <c r="F22" s="40"/>
      <c r="G22" s="3"/>
      <c r="H22" s="3"/>
      <c r="I22" s="3"/>
      <c r="J22" s="3"/>
    </row>
    <row r="23" spans="1:10" ht="57" customHeight="1" x14ac:dyDescent="0.15">
      <c r="A23" s="15" t="s">
        <v>48</v>
      </c>
      <c r="B23" s="31">
        <v>46297</v>
      </c>
      <c r="C23" s="29">
        <v>1</v>
      </c>
      <c r="D23" s="28">
        <v>1</v>
      </c>
      <c r="E23" s="25" t="s">
        <v>53</v>
      </c>
      <c r="F23" s="27"/>
      <c r="G23" s="24"/>
      <c r="H23" s="3"/>
      <c r="I23" s="3"/>
      <c r="J23" s="24"/>
    </row>
    <row r="24" spans="1:10" ht="57" customHeight="1" x14ac:dyDescent="0.15">
      <c r="A24" s="15" t="s">
        <v>90</v>
      </c>
      <c r="B24" s="31">
        <v>46304</v>
      </c>
      <c r="C24" s="29">
        <v>2</v>
      </c>
      <c r="D24" s="28">
        <v>2</v>
      </c>
      <c r="E24" s="25" t="s">
        <v>99</v>
      </c>
      <c r="F24" s="27"/>
      <c r="G24" s="24"/>
      <c r="H24" s="3"/>
      <c r="I24" s="3"/>
      <c r="J24" s="24"/>
    </row>
    <row r="25" spans="1:10" ht="57" customHeight="1" x14ac:dyDescent="0.15">
      <c r="A25" s="25" t="s">
        <v>148</v>
      </c>
      <c r="B25" s="31">
        <v>46309</v>
      </c>
      <c r="C25" s="16">
        <v>10</v>
      </c>
      <c r="D25" s="28">
        <v>10</v>
      </c>
      <c r="E25" s="25" t="s">
        <v>155</v>
      </c>
      <c r="F25" s="27"/>
      <c r="G25" s="24"/>
      <c r="H25" s="3"/>
      <c r="I25" s="3"/>
      <c r="J25" s="24"/>
    </row>
    <row r="26" spans="1:10" ht="57" customHeight="1" x14ac:dyDescent="0.15">
      <c r="A26" s="15"/>
      <c r="B26" s="31"/>
      <c r="C26" s="16"/>
      <c r="D26" s="29"/>
      <c r="E26" s="25"/>
      <c r="F26" s="27"/>
      <c r="G26" s="24"/>
      <c r="H26" s="3"/>
      <c r="I26" s="3"/>
      <c r="J26" s="24"/>
    </row>
    <row r="27" spans="1:10" ht="57" customHeight="1" x14ac:dyDescent="0.15">
      <c r="A27" s="15"/>
      <c r="B27" s="31"/>
      <c r="C27" s="29"/>
      <c r="D27" s="29"/>
      <c r="E27" s="25"/>
      <c r="F27" s="27"/>
      <c r="G27" s="24"/>
      <c r="H27" s="24"/>
      <c r="I27" s="24"/>
      <c r="J27" s="24"/>
    </row>
    <row r="28" spans="1:10" ht="57" customHeight="1" x14ac:dyDescent="0.15">
      <c r="A28" s="25"/>
      <c r="B28" s="31"/>
      <c r="C28" s="26"/>
      <c r="D28" s="30"/>
      <c r="E28" s="25"/>
      <c r="F28" s="27"/>
      <c r="G28" s="24"/>
      <c r="H28" s="24"/>
      <c r="I28" s="24"/>
      <c r="J28" s="24"/>
    </row>
    <row r="29" spans="1:10" ht="15.75" x14ac:dyDescent="0.2">
      <c r="A29" s="22"/>
      <c r="B29" s="23"/>
      <c r="C29" s="23">
        <f>SUM(C23:C28)</f>
        <v>13</v>
      </c>
      <c r="D29" s="23">
        <f>SUM(D23:D28)</f>
        <v>13</v>
      </c>
      <c r="E29" s="32"/>
      <c r="F29" s="33"/>
      <c r="G29" s="24"/>
      <c r="H29" s="3"/>
      <c r="I29" s="3"/>
      <c r="J29" s="3"/>
    </row>
  </sheetData>
  <mergeCells count="7">
    <mergeCell ref="E29:F29"/>
    <mergeCell ref="A1:I1"/>
    <mergeCell ref="A4:D4"/>
    <mergeCell ref="F4:H4"/>
    <mergeCell ref="I4:I5"/>
    <mergeCell ref="A21:F21"/>
    <mergeCell ref="E22:F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DAB5CD05E434EA08191D1F1F581F5" ma:contentTypeVersion="12" ma:contentTypeDescription="Create a new document." ma:contentTypeScope="" ma:versionID="5475a6e6e5300e34ecf90042af537736">
  <xsd:schema xmlns:xsd="http://www.w3.org/2001/XMLSchema" xmlns:xs="http://www.w3.org/2001/XMLSchema" xmlns:p="http://schemas.microsoft.com/office/2006/metadata/properties" xmlns:ns3="76ddb25e-2ccb-44c1-b0c9-a88f32777a93" targetNamespace="http://schemas.microsoft.com/office/2006/metadata/properties" ma:root="true" ma:fieldsID="2e60182ae1b092daccdc8849a03e77fe" ns3:_="">
    <xsd:import namespace="76ddb25e-2ccb-44c1-b0c9-a88f32777a9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db25e-2ccb-44c1-b0c9-a88f32777a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db25e-2ccb-44c1-b0c9-a88f32777a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631A5B-3E8A-4EF0-B350-4046A6588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db25e-2ccb-44c1-b0c9-a88f32777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77F676-64FC-49B0-BA6F-0CFFFFAB86D6}">
  <ds:schemaRefs>
    <ds:schemaRef ds:uri="http://schemas.microsoft.com/office/2006/metadata/properties"/>
    <ds:schemaRef ds:uri="http://schemas.microsoft.com/office/infopath/2007/PartnerControls"/>
    <ds:schemaRef ds:uri="76ddb25e-2ccb-44c1-b0c9-a88f32777a93"/>
  </ds:schemaRefs>
</ds:datastoreItem>
</file>

<file path=customXml/itemProps3.xml><?xml version="1.0" encoding="utf-8"?>
<ds:datastoreItem xmlns:ds="http://schemas.openxmlformats.org/officeDocument/2006/customXml" ds:itemID="{E6A58500-7E95-40F3-991D-0A368385D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01-10</vt:lpstr>
      <vt:lpstr>02-10</vt:lpstr>
      <vt:lpstr>05-10</vt:lpstr>
      <vt:lpstr>06-10</vt:lpstr>
      <vt:lpstr>07-10</vt:lpstr>
      <vt:lpstr>08-10</vt:lpstr>
      <vt:lpstr>09-10</vt:lpstr>
      <vt:lpstr>12-10</vt:lpstr>
      <vt:lpstr>13-10</vt:lpstr>
      <vt:lpstr>14-10 </vt:lpstr>
      <vt:lpstr>15-10</vt:lpstr>
      <vt:lpstr>16-10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Mujeeb Rahman</dc:creator>
  <cp:keywords/>
  <dc:description/>
  <cp:lastModifiedBy>Suhas Parakkandy</cp:lastModifiedBy>
  <cp:revision/>
  <dcterms:created xsi:type="dcterms:W3CDTF">2025-05-13T05:09:00Z</dcterms:created>
  <dcterms:modified xsi:type="dcterms:W3CDTF">2026-10-16T18:28:38Z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1033-12.2.0.21931</vt:lpwstr>
  </property>
</Properties>
</file>