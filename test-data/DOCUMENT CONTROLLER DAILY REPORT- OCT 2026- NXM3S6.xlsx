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Users\RakeshSobhaRaghavan\Documents\002. DOCUMENT CONTROLLER DAILY RAPORT\10.Oct\16-10-2026\JAYESH P (511SRC-MEL05C4)\"/>
    </mc:Choice>
  </mc:AlternateContent>
  <xr:revisionPtr revIDLastSave="0" documentId="13_ncr:1_{942F5B88-755C-4FEF-8B19-31F01C01BB79}" xr6:coauthVersionLast="47" xr6:coauthVersionMax="47" xr10:uidLastSave="{00000000-0000-0000-0000-000000000000}"/>
  <bookViews>
    <workbookView xWindow="-108" yWindow="-108" windowWidth="23256" windowHeight="13896" firstSheet="11" activeTab="11" xr2:uid="{00000000-000D-0000-FFFF-FFFF00000000}"/>
  </bookViews>
  <sheets>
    <sheet name="01-10" sheetId="290" r:id="rId1"/>
    <sheet name="02-10" sheetId="291" r:id="rId2"/>
    <sheet name="05-10" sheetId="292" r:id="rId3"/>
    <sheet name="6-10" sheetId="293" r:id="rId4"/>
    <sheet name="07-10" sheetId="294" r:id="rId5"/>
    <sheet name="08-10" sheetId="295" r:id="rId6"/>
    <sheet name="09-10" sheetId="296" r:id="rId7"/>
    <sheet name="12-10" sheetId="297" r:id="rId8"/>
    <sheet name="13-10" sheetId="298" r:id="rId9"/>
    <sheet name="14-10" sheetId="299" r:id="rId10"/>
    <sheet name="15-10" sheetId="300" r:id="rId11"/>
    <sheet name="16-10" sheetId="30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01" l="1"/>
  <c r="I25" i="301"/>
  <c r="E25" i="301"/>
  <c r="D25" i="301"/>
  <c r="C25" i="301"/>
  <c r="J25" i="300"/>
  <c r="I25" i="300"/>
  <c r="E25" i="300"/>
  <c r="D25" i="300"/>
  <c r="C25" i="300"/>
  <c r="J25" i="299"/>
  <c r="I25" i="299"/>
  <c r="E25" i="299"/>
  <c r="D25" i="299"/>
  <c r="C25" i="299"/>
  <c r="C25" i="298"/>
  <c r="C21" i="297"/>
  <c r="J25" i="298"/>
  <c r="I25" i="298"/>
  <c r="E25" i="298"/>
  <c r="D25" i="298"/>
  <c r="J21" i="297"/>
  <c r="I21" i="297"/>
  <c r="E21" i="297"/>
  <c r="D21" i="297"/>
  <c r="C25" i="296"/>
  <c r="E25" i="296"/>
  <c r="D25" i="296"/>
  <c r="J25" i="296"/>
  <c r="I25" i="296"/>
  <c r="J19" i="295"/>
  <c r="I19" i="295"/>
  <c r="D19" i="295"/>
  <c r="C19" i="295"/>
  <c r="C26" i="294"/>
  <c r="J26" i="294"/>
  <c r="I26" i="294"/>
  <c r="E26" i="294"/>
  <c r="D26" i="294"/>
  <c r="J21" i="293"/>
  <c r="I21" i="293"/>
  <c r="E21" i="293"/>
  <c r="D21" i="293"/>
  <c r="C21" i="293"/>
  <c r="J21" i="292"/>
  <c r="I21" i="292"/>
  <c r="D21" i="292"/>
  <c r="C21" i="292"/>
  <c r="E21" i="292"/>
  <c r="J19" i="291"/>
  <c r="D19" i="291"/>
  <c r="C19" i="291"/>
  <c r="I19" i="291"/>
  <c r="E19" i="291"/>
  <c r="I17" i="290"/>
  <c r="E17" i="290"/>
  <c r="D17" i="290"/>
  <c r="C17" i="290"/>
</calcChain>
</file>

<file path=xl/sharedStrings.xml><?xml version="1.0" encoding="utf-8"?>
<sst xmlns="http://schemas.openxmlformats.org/spreadsheetml/2006/main" count="700" uniqueCount="311">
  <si>
    <t>KPG | RDS | DOCUMENT CONTROLLER DAILY REPORT</t>
  </si>
  <si>
    <t>Date:</t>
  </si>
  <si>
    <t>Project:</t>
  </si>
  <si>
    <t>M3S6</t>
  </si>
  <si>
    <t>Incoming  Transmittals</t>
  </si>
  <si>
    <t>Close out</t>
  </si>
  <si>
    <t>Transmittals</t>
  </si>
  <si>
    <t>No. of Drawings</t>
  </si>
  <si>
    <t>No. of Technical data</t>
  </si>
  <si>
    <t>Pending Number of Documents</t>
  </si>
  <si>
    <t>Remarks</t>
  </si>
  <si>
    <t>No. of 
Documents</t>
  </si>
  <si>
    <t>Pending Number 
of Documents</t>
  </si>
  <si>
    <t>SMEPS-TRANSMIT-000031</t>
  </si>
  <si>
    <t>#1129</t>
  </si>
  <si>
    <t>Civilex-TRANSMIT-000014</t>
  </si>
  <si>
    <t>KPTG-TRANSMIT-001729</t>
  </si>
  <si>
    <t>INGEN3D-TRANSMIT-000020</t>
  </si>
  <si>
    <t>Rejected</t>
  </si>
  <si>
    <t>Bianco-TRANSMIT-000001</t>
  </si>
  <si>
    <t>KPTG-TRANSMIT-001731</t>
  </si>
  <si>
    <t>RDSDG-TRANSMIT-000013</t>
  </si>
  <si>
    <t>KPTG-TRANSMIT-001733</t>
  </si>
  <si>
    <t>SMEPS-TRANSMIT-000029</t>
  </si>
  <si>
    <t>KPTG-TRANSMIT-001734</t>
  </si>
  <si>
    <t>KPTG-SADV-001023</t>
  </si>
  <si>
    <t>Aurecon-TRANSMIT-000161</t>
  </si>
  <si>
    <t>KPTG-TRANSMIT-001700</t>
  </si>
  <si>
    <t>SMEPS-TRANSMIT-000027</t>
  </si>
  <si>
    <t xml:space="preserve">	KPTG-TRANSMIT-001715</t>
  </si>
  <si>
    <t>SMEPS-TRANSMIT-000028</t>
  </si>
  <si>
    <t>KPTG-TRANSMIT-001717</t>
  </si>
  <si>
    <t>Total</t>
  </si>
  <si>
    <t>Pending  Transmittals</t>
  </si>
  <si>
    <t>Date</t>
  </si>
  <si>
    <t>Report - send again 01-10-2026</t>
  </si>
  <si>
    <t>NXT-TRANSMIT-000597</t>
  </si>
  <si>
    <t xml:space="preserve"> Distribution only.</t>
  </si>
  <si>
    <t>KPTG-TRANSMIT-000323</t>
  </si>
  <si>
    <t>KPTG-TRANSMIT-001738</t>
  </si>
  <si>
    <t>STRBCK-TRANSMIT-000012</t>
  </si>
  <si>
    <t>NXT-TRANSMIT-000563</t>
  </si>
  <si>
    <t>KPTG-TRANSMIT-001739</t>
  </si>
  <si>
    <t>STRBCK-TRANSMIT-000013</t>
  </si>
  <si>
    <t>NXT-TRANSMIT-000570</t>
  </si>
  <si>
    <t>KPTG-TRANSMIT-001740</t>
  </si>
  <si>
    <t>RDSBIM-TRANSMIT-000030</t>
  </si>
  <si>
    <t>#1136</t>
  </si>
  <si>
    <t>ACCCA-TRANSMIT-000030</t>
  </si>
  <si>
    <t>KPTG-TRANSMIT-001744</t>
  </si>
  <si>
    <t>INGEN3D-TRANSMIT-000021</t>
  </si>
  <si>
    <t xml:space="preserve">Rejcted </t>
  </si>
  <si>
    <t>KPTG-TRANSMIT-001726</t>
  </si>
  <si>
    <t>ACCCA-TRANSMIT-000031</t>
  </si>
  <si>
    <t>WF -000374</t>
  </si>
  <si>
    <t>KPTG-TRANSMIT-001737</t>
  </si>
  <si>
    <t>Baigents-TRANSMIT-000066</t>
  </si>
  <si>
    <t>#1137</t>
  </si>
  <si>
    <t>KPTG-TRANSMIT-001736</t>
  </si>
  <si>
    <t>KPTG-TRANSMIT-001728</t>
  </si>
  <si>
    <t>4DW-TRANSMIT-000114</t>
  </si>
  <si>
    <t>#1143</t>
  </si>
  <si>
    <t>ACCCA-TRANSMIT-000026</t>
  </si>
  <si>
    <t>KPTG-TRANSMIT-001753</t>
  </si>
  <si>
    <t>PTA-TRANSMIT-000054</t>
  </si>
  <si>
    <t>#1145</t>
  </si>
  <si>
    <t>NXT-TRANSMIT-000593</t>
  </si>
  <si>
    <t>KPTG-TRANSMIT-001723</t>
  </si>
  <si>
    <t>4DW-TRANSMIT-000115</t>
  </si>
  <si>
    <t>#1148</t>
  </si>
  <si>
    <t>TTW-TRANSMIT-000049</t>
  </si>
  <si>
    <t>KPTG-TRANSMIT-001767</t>
  </si>
  <si>
    <t>#1151</t>
  </si>
  <si>
    <t>TTW-TRANSMIT-000050</t>
  </si>
  <si>
    <t>KPTG-TRANSMIT-001719</t>
  </si>
  <si>
    <t>D&amp;E-TRANSMIT-000070</t>
  </si>
  <si>
    <t>#1158</t>
  </si>
  <si>
    <t>NXT-TRANSMIT-000586</t>
  </si>
  <si>
    <t>KPTG-TRANSMIT-001714</t>
  </si>
  <si>
    <t>SMEPS-TRANSMIT-000032</t>
  </si>
  <si>
    <t># 1131</t>
  </si>
  <si>
    <t>Aurecon-TRANSMIT-000159</t>
  </si>
  <si>
    <t>KPTG-TRANSMIT-001676</t>
  </si>
  <si>
    <t>TTW-TRANSMIT-000051</t>
  </si>
  <si>
    <t>#1133</t>
  </si>
  <si>
    <t>SMEPS-TRANSMIT-000026</t>
  </si>
  <si>
    <t>KPTG-TRANSMIT-001765</t>
  </si>
  <si>
    <t>RDSDG-TRANSMIT-000014</t>
  </si>
  <si>
    <t>KPTG-TRANSMIT-001759</t>
  </si>
  <si>
    <t>NXT-TRANSMIT-000594</t>
  </si>
  <si>
    <t>WF - 000367</t>
  </si>
  <si>
    <t>Baigents-TRANSMIT-000056</t>
  </si>
  <si>
    <t>KPTG-TRANSMIT-001761</t>
  </si>
  <si>
    <t>NXT-TRANSMIT-000596</t>
  </si>
  <si>
    <t>WF - 000368</t>
  </si>
  <si>
    <t>RDSDG-TRANSMIT-000012</t>
  </si>
  <si>
    <t>KPTG-TRANSMIT-001764</t>
  </si>
  <si>
    <t>KPTG-TRANSMIT-001462</t>
  </si>
  <si>
    <t>#1134</t>
  </si>
  <si>
    <t>KPTG-TRANSMIT-001443</t>
  </si>
  <si>
    <t>KPTG-TRANSMIT-001768</t>
  </si>
  <si>
    <t>Civilex-TRANSMIT-000015</t>
  </si>
  <si>
    <t>#1160</t>
  </si>
  <si>
    <t>WF Restarted.</t>
  </si>
  <si>
    <t>Civilex-TRANSMIT-000016</t>
  </si>
  <si>
    <t>#1162</t>
  </si>
  <si>
    <t>4DW-TRANSMIT-000116</t>
  </si>
  <si>
    <t>#1166</t>
  </si>
  <si>
    <t>KPTG-TRANSMIT-001776</t>
  </si>
  <si>
    <t>STRBCK-TRANSMIT-000014</t>
  </si>
  <si>
    <t>#1172</t>
  </si>
  <si>
    <t>RDSBIM-TRANSMIT-000031</t>
  </si>
  <si>
    <t>KPTG-TRANSMIT-001777</t>
  </si>
  <si>
    <t>STRBCK-TRANSMIT-000015</t>
  </si>
  <si>
    <t>#1170</t>
  </si>
  <si>
    <t>Bee Eng-TRANSMIT-000002</t>
  </si>
  <si>
    <t>KPTG-TRANSMIT-001778</t>
  </si>
  <si>
    <t>KBGA-TRANSMIT-000023</t>
  </si>
  <si>
    <t>Bee Eng-TRANSMIT-000003</t>
  </si>
  <si>
    <t>KPTG-TRANSMIT-001779</t>
  </si>
  <si>
    <t>KBGA-TRANSMIT-000022</t>
  </si>
  <si>
    <t>#1168</t>
  </si>
  <si>
    <t>Baigents-TRANSMIT-000057</t>
  </si>
  <si>
    <t>KPTG-TRANSMIT-001774</t>
  </si>
  <si>
    <t>NXT-TRANSMIT-000600</t>
  </si>
  <si>
    <t>WF - 000378</t>
  </si>
  <si>
    <t>#1176</t>
  </si>
  <si>
    <t>NXT-TRANSMIT-000603</t>
  </si>
  <si>
    <t>No longer in use.</t>
  </si>
  <si>
    <t>NXT-TRANSMIT-000606</t>
  </si>
  <si>
    <t>NXT-TRANSMIT-000618</t>
  </si>
  <si>
    <t>NXT-TRANSMIT-000616</t>
  </si>
  <si>
    <t>RDSBIM-TRANSMIT-000032</t>
  </si>
  <si>
    <t>KPTG-TRANSMIT-001780</t>
  </si>
  <si>
    <t>NXT-TRANSMIT-000621</t>
  </si>
  <si>
    <t xml:space="preserve">	KPTG-IntCorr-000685</t>
  </si>
  <si>
    <t>Aurecon-WTRAN-000038</t>
  </si>
  <si>
    <t>KPTG-TRANSMIT-001783</t>
  </si>
  <si>
    <t>NXT-TRANSMIT-000622</t>
  </si>
  <si>
    <t>WF - 000384</t>
  </si>
  <si>
    <t>ACCCA-TRANSMIT-000032</t>
  </si>
  <si>
    <t>KPTG-TRANSMIT-001782</t>
  </si>
  <si>
    <t>NXT-TRANSMIT-000624</t>
  </si>
  <si>
    <t>WF - 000385</t>
  </si>
  <si>
    <t>Lat-TRANSMIT-000031</t>
  </si>
  <si>
    <t>No Longer in Use</t>
  </si>
  <si>
    <t>NXT-TRANSMIT-000625</t>
  </si>
  <si>
    <t>WF - 000386</t>
  </si>
  <si>
    <t>Lat-TRANSMIT-000032</t>
  </si>
  <si>
    <t>STRBCK-TRANSMIT-000007</t>
  </si>
  <si>
    <t>KPTG-TRANSMIT-001788</t>
  </si>
  <si>
    <t>NXT-TRANSMIT-000601</t>
  </si>
  <si>
    <t xml:space="preserve">	KPTG-IntCorr-000684</t>
  </si>
  <si>
    <t>KPTG-TRANSMIT-001791</t>
  </si>
  <si>
    <t>Archacce-TRANSMIT-000004</t>
  </si>
  <si>
    <t>KPTG-IntCorr-000688</t>
  </si>
  <si>
    <t>NXT-TRANSMIT-000602</t>
  </si>
  <si>
    <t>KPTG-IntCorr-000686</t>
  </si>
  <si>
    <t>Baigents-TRANSMIT-000067</t>
  </si>
  <si>
    <t>#1178</t>
  </si>
  <si>
    <t>ACCCA-TRANSMIT-000033</t>
  </si>
  <si>
    <t>WF-000387</t>
  </si>
  <si>
    <t>Lat-TRANSMIT-000034</t>
  </si>
  <si>
    <t>DCN-TRANSMIT-000025</t>
  </si>
  <si>
    <t>DCN-TRANSMIT-000026</t>
  </si>
  <si>
    <t>NXT-TRANSMIT-000623</t>
  </si>
  <si>
    <t>KPTG-IntCorr-000687</t>
  </si>
  <si>
    <t>KPTG-TRANSMIT-001801</t>
  </si>
  <si>
    <t>INGEN3D-TRANSMIT-000022</t>
  </si>
  <si>
    <t>#1181</t>
  </si>
  <si>
    <t>KPTG-TRANSMIT-001799</t>
  </si>
  <si>
    <t>#1183</t>
  </si>
  <si>
    <t>NXT-TRANSMIT-000591</t>
  </si>
  <si>
    <t>KPTG-TRANSMIT-001795</t>
  </si>
  <si>
    <t>Baigents-TRANSMIT-000068</t>
  </si>
  <si>
    <t>#1189</t>
  </si>
  <si>
    <t>KBGA-TRANSMIT-000020</t>
  </si>
  <si>
    <t>KPTG-TRANSMIT-001803</t>
  </si>
  <si>
    <t>Baigents-TRANSMIT-000069</t>
  </si>
  <si>
    <t>#1191</t>
  </si>
  <si>
    <t>NXT-TRANSMIT-000571</t>
  </si>
  <si>
    <t>KPTG-TRANSMIT-001797</t>
  </si>
  <si>
    <t>RDSBIM-TRANSMIT-000033</t>
  </si>
  <si>
    <t>KPTG-IntCorr-000685</t>
  </si>
  <si>
    <t>NXT-TRANSMIT-000627</t>
  </si>
  <si>
    <t>KPTG-IntCorr-000696</t>
  </si>
  <si>
    <t>KPTG-TRANSMIT-001811</t>
  </si>
  <si>
    <t>KPTG-TRANSMIT-001812</t>
  </si>
  <si>
    <t>Only Dustribution</t>
  </si>
  <si>
    <t>ACCCA-TRANSMIT-000029</t>
  </si>
  <si>
    <t>KPTG-TRANSMIT-001826</t>
  </si>
  <si>
    <t>4DW-TRANSMIT-000118</t>
  </si>
  <si>
    <t># 1197</t>
  </si>
  <si>
    <t>KPTG-TRANSMIT-001828</t>
  </si>
  <si>
    <t>RDSBIM-TRANSMIT-000034</t>
  </si>
  <si>
    <t>#1185</t>
  </si>
  <si>
    <t>NXT-TRANSMIT-000631</t>
  </si>
  <si>
    <t>KPTG-TRANSMIT-001830</t>
  </si>
  <si>
    <t>RDSBIM-TRANSMIT-000035</t>
  </si>
  <si>
    <t>#1187</t>
  </si>
  <si>
    <t>#1200</t>
  </si>
  <si>
    <t>#1202</t>
  </si>
  <si>
    <t>#1205</t>
  </si>
  <si>
    <t>NXT-TRANSMIT-000601-AIR</t>
  </si>
  <si>
    <t>#1215</t>
  </si>
  <si>
    <t>NXT-TRANSMIT-000601-Security</t>
  </si>
  <si>
    <t>#1214</t>
  </si>
  <si>
    <t>NXT-TRANSMIT-000601-IW</t>
  </si>
  <si>
    <t>#1213</t>
  </si>
  <si>
    <t>NXT-TRANSMIT-000601-SFN</t>
  </si>
  <si>
    <t>#1212</t>
  </si>
  <si>
    <t>NXT-TRANSMIT-000601-DUCT</t>
  </si>
  <si>
    <t>#1211</t>
  </si>
  <si>
    <t>NXT-TRANSMIT-000601-ROOF</t>
  </si>
  <si>
    <t>#1210</t>
  </si>
  <si>
    <t>NXT-TRANSMIT-000630</t>
  </si>
  <si>
    <t>WF - 000409</t>
  </si>
  <si>
    <t>NXT-TRANSMIT-000632</t>
  </si>
  <si>
    <t>WF- 000410</t>
  </si>
  <si>
    <t>4DW-TRANSMIT-000120</t>
  </si>
  <si>
    <t>#1218</t>
  </si>
  <si>
    <t>KPTG-TRANSMIT-001845</t>
  </si>
  <si>
    <t>4DW-TRANSMIT-000121</t>
  </si>
  <si>
    <t>#1220</t>
  </si>
  <si>
    <t>KPTG-TRANSMIT-001847</t>
  </si>
  <si>
    <t>KPTG-TRANSMIT-001821</t>
  </si>
  <si>
    <t>#1223</t>
  </si>
  <si>
    <t>KPTG-TRANSMIT-001849</t>
  </si>
  <si>
    <t>#1225</t>
  </si>
  <si>
    <t>KPTG-TRANSMIT-001851</t>
  </si>
  <si>
    <t>INGEN3D-TRANSMIT-000024  - precast</t>
  </si>
  <si>
    <t>#1243</t>
  </si>
  <si>
    <t>KPTG-TRANSMIT-001855</t>
  </si>
  <si>
    <t>PTA-TRANSMIT-000055</t>
  </si>
  <si>
    <t>#1228 ,1229</t>
  </si>
  <si>
    <t>STRBCK-TRANSMIT-000011</t>
  </si>
  <si>
    <t>KPTG-TRANSMIT-001857</t>
  </si>
  <si>
    <t>INGEN3D-TRANSMIT-000024 - Plinth</t>
  </si>
  <si>
    <t>#1232</t>
  </si>
  <si>
    <t>KPTG-TRANSMIT-001859</t>
  </si>
  <si>
    <t>KPTG-TRANSMIT-001854</t>
  </si>
  <si>
    <t>Baigents-TRANSMIT-000070</t>
  </si>
  <si>
    <t xml:space="preserve">Rejected </t>
  </si>
  <si>
    <t>KPTG-SADV-001073</t>
  </si>
  <si>
    <t>RDSBIM-TRANSMIT-000036</t>
  </si>
  <si>
    <t>#1234</t>
  </si>
  <si>
    <t>NXT-TRANSMIT-000634</t>
  </si>
  <si>
    <t>KPTG-TRANSMIT-001862</t>
  </si>
  <si>
    <t>NXT-TRANSMIT-000633</t>
  </si>
  <si>
    <t>WF- 000412</t>
  </si>
  <si>
    <t>NXT-TRANSMIT-000637</t>
  </si>
  <si>
    <t>KPTG-TRANSMIT-001864</t>
  </si>
  <si>
    <t>NXT-TRANSMIT-000635</t>
  </si>
  <si>
    <t>WF- 000413</t>
  </si>
  <si>
    <t>NXT-TRANSMIT-000636</t>
  </si>
  <si>
    <t>WF-000414</t>
  </si>
  <si>
    <t>Distribution only.</t>
  </si>
  <si>
    <t>Baigents-TRANSMIT-000071</t>
  </si>
  <si>
    <t>#1236</t>
  </si>
  <si>
    <t>Baigents-TRANSMIT-000072</t>
  </si>
  <si>
    <t>#1237</t>
  </si>
  <si>
    <t>Baigents-TRANSMIT-000073</t>
  </si>
  <si>
    <t xml:space="preserve"> # 1242</t>
  </si>
  <si>
    <t>NXT-TRANSMIT-000638</t>
  </si>
  <si>
    <t>WF- 000417</t>
  </si>
  <si>
    <t>TOTAL</t>
  </si>
  <si>
    <t>D&amp;E-TRANSMIT-000093</t>
  </si>
  <si>
    <t>#1247</t>
  </si>
  <si>
    <t>SMEPS-TRANSMIT-000023</t>
  </si>
  <si>
    <t>KPTG-TRANSMIT-001873</t>
  </si>
  <si>
    <t>D&amp;E-TRANSMIT-000092</t>
  </si>
  <si>
    <t>#1249</t>
  </si>
  <si>
    <t>KPTG-TRANSMIT-001868</t>
  </si>
  <si>
    <t>DCN-TRANSMIT-000030</t>
  </si>
  <si>
    <t>WF-00423</t>
  </si>
  <si>
    <t>KPTG-TRANSMIT-001874</t>
  </si>
  <si>
    <t>RDSBIM-TRANSMIT-000037</t>
  </si>
  <si>
    <t>#1257</t>
  </si>
  <si>
    <t>KPTG-TRANSMIT-001876</t>
  </si>
  <si>
    <t>ACCCA-TRANSMIT-000032 - HVL</t>
  </si>
  <si>
    <t>WF-000418</t>
  </si>
  <si>
    <t>ACCCA-TRANSMIT-000027</t>
  </si>
  <si>
    <t>KPTG-TRANSMIT-001877</t>
  </si>
  <si>
    <t xml:space="preserve">	ACCCA-TRANSMIT-000032-TEL</t>
  </si>
  <si>
    <t>WF-000419</t>
  </si>
  <si>
    <t>RDSBIM-TRANSMIT-000038</t>
  </si>
  <si>
    <t>#1260</t>
  </si>
  <si>
    <t>RDSDG-TRANSMIT-000015</t>
  </si>
  <si>
    <t>KPTG-TRANSMIT-001887</t>
  </si>
  <si>
    <t>KPTG-TRANSMIT-001890</t>
  </si>
  <si>
    <t>Bianco-TRANSMIT-000002</t>
  </si>
  <si>
    <t>KPTG-TRANSMIT-001892</t>
  </si>
  <si>
    <t>Baigents-TRANSMIT-000060</t>
  </si>
  <si>
    <t>KPTG-TRANSMIT-001893</t>
  </si>
  <si>
    <t>Civilex-TRANSMIT-000017</t>
  </si>
  <si>
    <t>KPTG-IntCorr-000711</t>
  </si>
  <si>
    <t>KBGA-TRANSMIT-000024</t>
  </si>
  <si>
    <t>KPTG-TRANSMIT-001897</t>
  </si>
  <si>
    <t>NXT-TRANSMIT-000642</t>
  </si>
  <si>
    <t>KPTG-TRANSMIT-001900</t>
  </si>
  <si>
    <t>Baigents-TRANSMIT-000074</t>
  </si>
  <si>
    <t>NXT-TRANSMIT-000645</t>
  </si>
  <si>
    <t>KPTG-TRANSMIT-001901</t>
  </si>
  <si>
    <t>NXT-TRANSMIT-000641</t>
  </si>
  <si>
    <t>WF-000425</t>
  </si>
  <si>
    <t>NXT-TRANSMIT-000646</t>
  </si>
  <si>
    <t>WF-000426</t>
  </si>
  <si>
    <t>NXT-TRANSMIT-000648</t>
  </si>
  <si>
    <t>WF - 000427</t>
  </si>
  <si>
    <t>ACCCA-TRANSMIT-000013</t>
  </si>
  <si>
    <t>WF - 000428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</si>
</sst>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sz val="10"/>
      <color rgb="FF333333"/>
      <name val="Helvetica"/>
      <charset val="1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3C3C3C"/>
      <name val="Arial"/>
      <family val="2"/>
    </font>
    <font>
      <sz val="10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Arial"/>
      <family val="2"/>
    </font>
    <font>
      <b/>
      <sz val="11"/>
      <color theme="0"/>
      <name val="Helvetica"/>
      <charset val="1"/>
    </font>
    <font>
      <b/>
      <sz val="11"/>
      <color theme="0"/>
      <name val="Arial"/>
      <family val="2"/>
    </font>
    <font>
      <sz val="8"/>
      <name val="Aptos Narrow"/>
      <charset val="134"/>
      <scheme val="minor"/>
    </font>
    <font>
      <b/>
      <sz val="10"/>
      <color theme="1"/>
      <name val="Arial"/>
      <family val="2"/>
    </font>
    <font>
      <sz val="11"/>
      <color rgb="FF242424"/>
      <name val="Aptos Narrow"/>
      <charset val="1"/>
    </font>
    <font>
      <sz val="10"/>
      <color rgb="FF333333"/>
      <name val="Arial"/>
      <charset val="1"/>
    </font>
    <font>
      <sz val="11"/>
      <color rgb="FF333333"/>
      <name val="Helvetica"/>
      <charset val="1"/>
    </font>
    <font>
      <b/>
      <sz val="11"/>
      <color theme="0"/>
      <name val="Aptos Narrow"/>
      <charset val="134"/>
      <scheme val="minor"/>
    </font>
    <font>
      <sz val="10"/>
      <color rgb="FF333333"/>
      <name val="Arial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3" tint="0.899929807428205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4" fontId="9" fillId="2" borderId="11" xfId="0" applyNumberFormat="1" applyFont="1" applyFill="1" applyBorder="1" applyAlignment="1">
      <alignment horizontal="left" vertical="center"/>
    </xf>
    <xf numFmtId="14" fontId="9" fillId="2" borderId="11" xfId="0" applyNumberFormat="1" applyFont="1" applyFill="1" applyBorder="1" applyAlignment="1">
      <alignment vertical="center"/>
    </xf>
    <xf numFmtId="14" fontId="9" fillId="5" borderId="11" xfId="0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0" borderId="15" xfId="0" applyFont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12" fillId="4" borderId="0" xfId="0" applyFont="1" applyFill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4" borderId="16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14" fontId="3" fillId="2" borderId="11" xfId="0" applyNumberFormat="1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 indent="1"/>
    </xf>
    <xf numFmtId="0" fontId="13" fillId="4" borderId="1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1" fillId="0" borderId="9" xfId="0" applyFont="1" applyBorder="1" applyAlignment="1">
      <alignment horizontal="center" vertical="center"/>
    </xf>
    <xf numFmtId="0" fontId="0" fillId="0" borderId="1" xfId="0" applyBorder="1"/>
    <xf numFmtId="0" fontId="2" fillId="2" borderId="11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/>
    </xf>
    <xf numFmtId="0" fontId="23" fillId="0" borderId="5" xfId="0" applyFont="1" applyBorder="1"/>
    <xf numFmtId="0" fontId="9" fillId="0" borderId="9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 wrapText="1"/>
    </xf>
    <xf numFmtId="0" fontId="13" fillId="4" borderId="0" xfId="0" applyFont="1" applyFill="1" applyAlignment="1">
      <alignment horizontal="left" vertical="center"/>
    </xf>
    <xf numFmtId="0" fontId="19" fillId="7" borderId="14" xfId="0" applyFont="1" applyFill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3" fillId="4" borderId="5" xfId="0" applyFont="1" applyFill="1" applyBorder="1" applyAlignment="1">
      <alignment vertical="center"/>
    </xf>
    <xf numFmtId="0" fontId="22" fillId="0" borderId="5" xfId="0" applyFont="1" applyBorder="1" applyAlignment="1">
      <alignment horizontal="center"/>
    </xf>
    <xf numFmtId="0" fontId="13" fillId="4" borderId="5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/>
    </xf>
    <xf numFmtId="0" fontId="24" fillId="0" borderId="5" xfId="0" applyFont="1" applyBorder="1"/>
    <xf numFmtId="0" fontId="13" fillId="4" borderId="25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14" fontId="9" fillId="2" borderId="11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14" fontId="12" fillId="4" borderId="5" xfId="0" applyNumberFormat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/>
    </xf>
    <xf numFmtId="0" fontId="26" fillId="0" borderId="5" xfId="0" applyFont="1" applyBorder="1"/>
    <xf numFmtId="0" fontId="27" fillId="0" borderId="5" xfId="0" applyFont="1" applyBorder="1" applyAlignment="1">
      <alignment horizontal="center"/>
    </xf>
    <xf numFmtId="0" fontId="23" fillId="0" borderId="7" xfId="0" applyFont="1" applyBorder="1"/>
    <xf numFmtId="0" fontId="24" fillId="0" borderId="0" xfId="0" applyFont="1"/>
    <xf numFmtId="0" fontId="13" fillId="4" borderId="7" xfId="0" applyFont="1" applyFill="1" applyBorder="1" applyAlignment="1">
      <alignment horizontal="center" vertical="center"/>
    </xf>
    <xf numFmtId="0" fontId="24" fillId="0" borderId="7" xfId="0" applyFont="1" applyBorder="1"/>
    <xf numFmtId="0" fontId="0" fillId="0" borderId="5" xfId="0" applyBorder="1"/>
    <xf numFmtId="0" fontId="13" fillId="4" borderId="26" xfId="0" applyFont="1" applyFill="1" applyBorder="1" applyAlignment="1">
      <alignment horizontal="center"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13" fillId="4" borderId="28" xfId="0" applyFont="1" applyFill="1" applyBorder="1" applyAlignment="1">
      <alignment horizontal="center" vertical="center"/>
    </xf>
    <xf numFmtId="0" fontId="24" fillId="4" borderId="5" xfId="0" applyFont="1" applyFill="1" applyBorder="1"/>
    <xf numFmtId="0" fontId="27" fillId="4" borderId="24" xfId="0" applyFont="1" applyFill="1" applyBorder="1" applyAlignment="1">
      <alignment horizontal="center"/>
    </xf>
    <xf numFmtId="0" fontId="27" fillId="4" borderId="5" xfId="0" applyFont="1" applyFill="1" applyBorder="1" applyAlignment="1">
      <alignment horizontal="center"/>
    </xf>
    <xf numFmtId="0" fontId="0" fillId="4" borderId="5" xfId="0" applyFill="1" applyBorder="1"/>
    <xf numFmtId="0" fontId="24" fillId="4" borderId="7" xfId="0" applyFont="1" applyFill="1" applyBorder="1"/>
    <xf numFmtId="0" fontId="0" fillId="4" borderId="0" xfId="0" applyFill="1"/>
    <xf numFmtId="0" fontId="23" fillId="4" borderId="7" xfId="0" applyFont="1" applyFill="1" applyBorder="1"/>
    <xf numFmtId="0" fontId="23" fillId="4" borderId="5" xfId="0" applyFont="1" applyFill="1" applyBorder="1"/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vertical="center"/>
    </xf>
  </cellXfs>
  <cellStyles count="2">
    <cellStyle name="Normal" xfId="0" builtinId="0"/>
    <cellStyle name="Normal 2" xfId="1" xr:uid="{51F8B579-70B8-4BBF-A49F-1A323FA52A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07CE-7954-4F15-9F6F-7E0893485D62}">
  <dimension ref="B2:K23"/>
  <sheetViews>
    <sheetView workbookViewId="0">
      <selection activeCell="H8" sqref="H8"/>
    </sheetView>
  </sheetViews>
  <sheetFormatPr defaultRowHeight="14.4" x14ac:dyDescent="0.25"/>
  <cols>
    <col min="2" max="2" width="24.33203125" customWidth="1"/>
    <col min="3" max="3" width="14.33203125" customWidth="1"/>
    <col min="4" max="4" width="13.21875" customWidth="1"/>
    <col min="5" max="5" width="14.77734375" customWidth="1"/>
    <col min="6" max="6" width="13.88671875" customWidth="1"/>
    <col min="7" max="7" width="5.21875" customWidth="1"/>
    <col min="8" max="8" width="30.88671875" customWidth="1"/>
    <col min="9" max="9" width="15.77734375" customWidth="1"/>
    <col min="10" max="10" width="16.109375" customWidth="1"/>
    <col min="11" max="11" width="23.218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22.95" customHeight="1" x14ac:dyDescent="0.25">
      <c r="B3" s="49" t="s">
        <v>1</v>
      </c>
      <c r="C3" s="34">
        <v>46296</v>
      </c>
      <c r="D3" s="7"/>
      <c r="E3" s="8"/>
      <c r="F3" s="8"/>
      <c r="G3" s="9"/>
      <c r="H3" s="10"/>
      <c r="I3" s="10"/>
      <c r="J3" s="10" t="s">
        <v>2</v>
      </c>
      <c r="K3" s="33" t="s">
        <v>3</v>
      </c>
    </row>
    <row r="4" spans="2:11" x14ac:dyDescent="0.25">
      <c r="B4" s="14"/>
      <c r="C4" s="14"/>
      <c r="D4" s="14"/>
      <c r="E4" s="14"/>
      <c r="F4" s="14"/>
      <c r="G4" s="27"/>
      <c r="H4" s="28"/>
      <c r="I4" s="28"/>
      <c r="J4" s="28"/>
      <c r="K4" s="28"/>
    </row>
    <row r="5" spans="2:11" x14ac:dyDescent="0.25">
      <c r="B5" s="135" t="s">
        <v>4</v>
      </c>
      <c r="C5" s="136"/>
      <c r="D5" s="136"/>
      <c r="E5" s="136"/>
      <c r="F5" s="136"/>
      <c r="G5" s="6"/>
      <c r="H5" s="139" t="s">
        <v>5</v>
      </c>
      <c r="I5" s="140"/>
      <c r="J5" s="140"/>
      <c r="K5" s="141"/>
    </row>
    <row r="6" spans="2:11" ht="38.4" customHeight="1" x14ac:dyDescent="0.25">
      <c r="B6" s="3" t="s">
        <v>6</v>
      </c>
      <c r="C6" s="11" t="s">
        <v>7</v>
      </c>
      <c r="D6" s="4" t="s">
        <v>8</v>
      </c>
      <c r="E6" s="4" t="s">
        <v>9</v>
      </c>
      <c r="F6" s="4" t="s">
        <v>10</v>
      </c>
      <c r="G6" s="13"/>
      <c r="H6" s="5" t="s">
        <v>6</v>
      </c>
      <c r="I6" s="11" t="s">
        <v>11</v>
      </c>
      <c r="J6" s="4" t="s">
        <v>12</v>
      </c>
      <c r="K6" s="26" t="s">
        <v>10</v>
      </c>
    </row>
    <row r="7" spans="2:11" x14ac:dyDescent="0.25">
      <c r="B7" s="19" t="s">
        <v>13</v>
      </c>
      <c r="C7" s="17">
        <v>2</v>
      </c>
      <c r="D7" s="17">
        <v>0</v>
      </c>
      <c r="E7" s="17">
        <v>0</v>
      </c>
      <c r="F7" s="16" t="s">
        <v>14</v>
      </c>
      <c r="G7" s="12"/>
      <c r="H7" s="19" t="s">
        <v>15</v>
      </c>
      <c r="I7" s="17">
        <v>3</v>
      </c>
      <c r="J7" s="17">
        <v>0</v>
      </c>
      <c r="K7" s="19" t="s">
        <v>16</v>
      </c>
    </row>
    <row r="8" spans="2:11" ht="26.4" customHeight="1" x14ac:dyDescent="0.25">
      <c r="B8" s="50" t="s">
        <v>17</v>
      </c>
      <c r="C8" s="19">
        <v>143</v>
      </c>
      <c r="D8" s="19">
        <v>0</v>
      </c>
      <c r="E8" s="19">
        <v>0</v>
      </c>
      <c r="F8" s="20" t="s">
        <v>18</v>
      </c>
      <c r="G8" s="12"/>
      <c r="H8" s="19" t="s">
        <v>19</v>
      </c>
      <c r="I8" s="19">
        <v>2</v>
      </c>
      <c r="J8" s="19">
        <v>0</v>
      </c>
      <c r="K8" s="19" t="s">
        <v>20</v>
      </c>
    </row>
    <row r="9" spans="2:11" x14ac:dyDescent="0.25">
      <c r="B9" s="19"/>
      <c r="C9" s="19"/>
      <c r="D9" s="19"/>
      <c r="E9" s="19"/>
      <c r="F9" s="19"/>
      <c r="G9" s="12"/>
      <c r="H9" s="19" t="s">
        <v>21</v>
      </c>
      <c r="I9" s="19">
        <v>1</v>
      </c>
      <c r="J9" s="19">
        <v>0</v>
      </c>
      <c r="K9" s="19" t="s">
        <v>22</v>
      </c>
    </row>
    <row r="10" spans="2:11" x14ac:dyDescent="0.25">
      <c r="B10" s="19"/>
      <c r="C10" s="19"/>
      <c r="D10" s="19"/>
      <c r="E10" s="19"/>
      <c r="F10" s="19"/>
      <c r="G10" s="12"/>
      <c r="H10" s="19" t="s">
        <v>23</v>
      </c>
      <c r="I10" s="19">
        <v>1</v>
      </c>
      <c r="J10" s="19">
        <v>0</v>
      </c>
      <c r="K10" s="19" t="s">
        <v>24</v>
      </c>
    </row>
    <row r="11" spans="2:11" ht="26.4" x14ac:dyDescent="0.25">
      <c r="B11" s="19"/>
      <c r="C11" s="19"/>
      <c r="D11" s="19"/>
      <c r="E11" s="19"/>
      <c r="F11" s="19"/>
      <c r="G11" s="12"/>
      <c r="H11" s="50" t="s">
        <v>17</v>
      </c>
      <c r="I11" s="19">
        <v>143</v>
      </c>
      <c r="J11" s="19">
        <v>0</v>
      </c>
      <c r="K11" s="19" t="s">
        <v>25</v>
      </c>
    </row>
    <row r="12" spans="2:11" x14ac:dyDescent="0.25">
      <c r="B12" s="19"/>
      <c r="C12" s="19"/>
      <c r="D12" s="19"/>
      <c r="E12" s="19"/>
      <c r="F12" s="19"/>
      <c r="G12" s="12"/>
      <c r="H12" s="19" t="s">
        <v>26</v>
      </c>
      <c r="I12" s="19">
        <v>12</v>
      </c>
      <c r="J12" s="19">
        <v>0</v>
      </c>
      <c r="K12" s="19" t="s">
        <v>27</v>
      </c>
    </row>
    <row r="13" spans="2:11" x14ac:dyDescent="0.25">
      <c r="B13" s="19"/>
      <c r="C13" s="19"/>
      <c r="D13" s="19"/>
      <c r="E13" s="19"/>
      <c r="F13" s="19"/>
      <c r="G13" s="12"/>
      <c r="H13" s="19" t="s">
        <v>28</v>
      </c>
      <c r="I13" s="17">
        <v>3</v>
      </c>
      <c r="J13" s="19">
        <v>0</v>
      </c>
      <c r="K13" s="51" t="s">
        <v>29</v>
      </c>
    </row>
    <row r="14" spans="2:11" x14ac:dyDescent="0.25">
      <c r="B14" s="19"/>
      <c r="C14" s="19"/>
      <c r="D14" s="19"/>
      <c r="E14" s="19"/>
      <c r="F14" s="19"/>
      <c r="G14" s="12"/>
      <c r="H14" s="19" t="s">
        <v>30</v>
      </c>
      <c r="I14" s="19">
        <v>1</v>
      </c>
      <c r="J14" s="19">
        <v>0</v>
      </c>
      <c r="K14" s="19" t="s">
        <v>31</v>
      </c>
    </row>
    <row r="15" spans="2:11" x14ac:dyDescent="0.25">
      <c r="B15" s="19"/>
      <c r="C15" s="19"/>
      <c r="D15" s="19"/>
      <c r="E15" s="19"/>
      <c r="F15" s="19"/>
      <c r="G15" s="12"/>
      <c r="H15" s="21"/>
      <c r="I15" s="25"/>
      <c r="J15" s="25"/>
      <c r="K15" s="19"/>
    </row>
    <row r="16" spans="2:11" x14ac:dyDescent="0.25">
      <c r="B16" s="19"/>
      <c r="C16" s="19"/>
      <c r="D16" s="19"/>
      <c r="E16" s="19"/>
      <c r="F16" s="19"/>
      <c r="G16" s="12"/>
      <c r="H16" s="22"/>
      <c r="I16" s="15"/>
      <c r="J16" s="15"/>
      <c r="K16" s="18"/>
    </row>
    <row r="17" spans="2:11" ht="15" thickBot="1" x14ac:dyDescent="0.3">
      <c r="B17" s="35" t="s">
        <v>32</v>
      </c>
      <c r="C17" s="41">
        <f>SUM(C7:C15)</f>
        <v>145</v>
      </c>
      <c r="D17" s="41">
        <f>SUM(D7:D15)</f>
        <v>0</v>
      </c>
      <c r="E17" s="41">
        <f>SUM(E7:E15)</f>
        <v>0</v>
      </c>
      <c r="F17" s="42"/>
      <c r="G17" s="43"/>
      <c r="H17" s="44" t="s">
        <v>32</v>
      </c>
      <c r="I17" s="45">
        <f>SUM(I7:I15)</f>
        <v>166</v>
      </c>
      <c r="J17" s="45">
        <v>0</v>
      </c>
      <c r="K17" s="46"/>
    </row>
    <row r="18" spans="2:11" x14ac:dyDescent="0.25">
      <c r="B18" s="36"/>
      <c r="C18" s="37"/>
      <c r="D18" s="38"/>
      <c r="E18" s="38"/>
      <c r="F18" s="39"/>
      <c r="G18" s="40"/>
      <c r="H18" s="74"/>
      <c r="I18" s="74"/>
      <c r="J18" s="74"/>
      <c r="K18" s="74"/>
    </row>
    <row r="19" spans="2:11" ht="15" x14ac:dyDescent="0.25">
      <c r="B19" s="137" t="s">
        <v>33</v>
      </c>
      <c r="C19" s="137"/>
      <c r="D19" s="138"/>
      <c r="E19" s="138"/>
      <c r="F19" s="137"/>
      <c r="G19" s="2"/>
      <c r="H19" s="47"/>
      <c r="I19" s="48"/>
      <c r="J19" s="6"/>
      <c r="K19" s="1"/>
    </row>
    <row r="20" spans="2:11" ht="37.200000000000003" customHeight="1" x14ac:dyDescent="0.25">
      <c r="B20" s="32" t="s">
        <v>6</v>
      </c>
      <c r="C20" s="31" t="s">
        <v>34</v>
      </c>
      <c r="D20" s="30" t="s">
        <v>11</v>
      </c>
      <c r="E20" s="29" t="s">
        <v>9</v>
      </c>
      <c r="F20" s="31" t="s">
        <v>10</v>
      </c>
      <c r="G20" s="2"/>
      <c r="H20" s="1" t="s">
        <v>35</v>
      </c>
      <c r="I20" s="1"/>
      <c r="J20" s="1"/>
      <c r="K20" s="1"/>
    </row>
    <row r="21" spans="2:11" ht="15" x14ac:dyDescent="0.25">
      <c r="B21" s="19"/>
      <c r="C21" s="24"/>
      <c r="D21" s="17"/>
      <c r="E21" s="17"/>
      <c r="F21" s="19"/>
      <c r="G21" s="2"/>
      <c r="H21" s="1"/>
      <c r="I21" s="1"/>
      <c r="J21" s="1"/>
      <c r="K21" s="1"/>
    </row>
    <row r="22" spans="2:11" x14ac:dyDescent="0.25">
      <c r="B22" s="19"/>
      <c r="C22" s="24"/>
      <c r="D22" s="17"/>
      <c r="E22" s="17"/>
      <c r="F22" s="23"/>
    </row>
    <row r="23" spans="2:11" x14ac:dyDescent="0.25">
      <c r="B23" s="19"/>
      <c r="C23" s="24"/>
      <c r="D23" s="17"/>
      <c r="E23" s="17"/>
      <c r="F23" s="23"/>
    </row>
  </sheetData>
  <mergeCells count="4">
    <mergeCell ref="B2:K2"/>
    <mergeCell ref="B5:F5"/>
    <mergeCell ref="H5:K5"/>
    <mergeCell ref="B19:F19"/>
  </mergeCells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C465-67A8-43A2-BE68-21C60FDFE2A4}">
  <dimension ref="B2:K25"/>
  <sheetViews>
    <sheetView workbookViewId="0">
      <selection activeCell="H15" sqref="H15"/>
    </sheetView>
  </sheetViews>
  <sheetFormatPr defaultRowHeight="14.4" x14ac:dyDescent="0.25"/>
  <cols>
    <col min="2" max="2" width="28.21875" customWidth="1"/>
    <col min="3" max="3" width="13.33203125" customWidth="1"/>
    <col min="4" max="4" width="14.109375" customWidth="1"/>
    <col min="5" max="5" width="14.21875" customWidth="1"/>
    <col min="6" max="6" width="16.88671875" customWidth="1"/>
    <col min="8" max="8" width="26.109375" customWidth="1"/>
    <col min="9" max="9" width="12.44140625" customWidth="1"/>
    <col min="10" max="10" width="16" customWidth="1"/>
    <col min="11" max="11" width="22.4414062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46297</v>
      </c>
      <c r="D3" s="7"/>
      <c r="E3" s="8"/>
      <c r="F3" s="8"/>
      <c r="G3" s="9"/>
      <c r="H3" s="10"/>
      <c r="I3" s="10"/>
      <c r="J3" s="10" t="s">
        <v>2</v>
      </c>
      <c r="K3" s="33" t="s">
        <v>3</v>
      </c>
    </row>
    <row r="4" spans="2:11" x14ac:dyDescent="0.25">
      <c r="B4" s="14"/>
      <c r="C4" s="14"/>
      <c r="D4" s="14"/>
      <c r="E4" s="14"/>
      <c r="F4" s="14"/>
      <c r="G4" s="27"/>
      <c r="H4" s="28"/>
      <c r="I4" s="28"/>
      <c r="J4" s="28"/>
      <c r="K4" s="28"/>
    </row>
    <row r="5" spans="2:11" ht="21.6" customHeight="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6"/>
    </row>
    <row r="6" spans="2:11" ht="21.6" customHeight="1" x14ac:dyDescent="0.25">
      <c r="B6" s="3" t="s">
        <v>6</v>
      </c>
      <c r="C6" s="11" t="s">
        <v>7</v>
      </c>
      <c r="D6" s="4" t="s">
        <v>8</v>
      </c>
      <c r="E6" s="4" t="s">
        <v>9</v>
      </c>
      <c r="F6" s="4" t="s">
        <v>10</v>
      </c>
      <c r="G6" s="13"/>
      <c r="H6" s="5" t="s">
        <v>6</v>
      </c>
      <c r="I6" s="11" t="s">
        <v>11</v>
      </c>
      <c r="J6" s="4" t="s">
        <v>12</v>
      </c>
      <c r="K6" s="26" t="s">
        <v>10</v>
      </c>
    </row>
    <row r="7" spans="2:11" x14ac:dyDescent="0.25">
      <c r="B7" s="19" t="s">
        <v>36</v>
      </c>
      <c r="C7" s="19">
        <v>0</v>
      </c>
      <c r="D7" s="19">
        <v>1</v>
      </c>
      <c r="E7" s="19">
        <v>0</v>
      </c>
      <c r="F7" s="19" t="s">
        <v>37</v>
      </c>
      <c r="G7" s="19"/>
      <c r="H7" s="19" t="s">
        <v>38</v>
      </c>
      <c r="I7" s="19">
        <v>17</v>
      </c>
      <c r="J7" s="19">
        <v>0</v>
      </c>
      <c r="K7" s="19" t="s">
        <v>39</v>
      </c>
    </row>
    <row r="8" spans="2:11" x14ac:dyDescent="0.25">
      <c r="B8" s="19" t="s">
        <v>40</v>
      </c>
      <c r="C8" s="19">
        <v>1</v>
      </c>
      <c r="D8" s="19">
        <v>0</v>
      </c>
      <c r="E8" s="19">
        <v>0</v>
      </c>
      <c r="F8" s="19" t="s">
        <v>18</v>
      </c>
      <c r="G8" s="19"/>
      <c r="H8" s="19" t="s">
        <v>41</v>
      </c>
      <c r="I8" s="19">
        <v>5</v>
      </c>
      <c r="J8" s="19">
        <v>0</v>
      </c>
      <c r="K8" s="19" t="s">
        <v>42</v>
      </c>
    </row>
    <row r="9" spans="2:11" ht="16.95" customHeight="1" x14ac:dyDescent="0.25">
      <c r="B9" s="19" t="s">
        <v>43</v>
      </c>
      <c r="C9" s="19">
        <v>2</v>
      </c>
      <c r="D9" s="19">
        <v>0</v>
      </c>
      <c r="E9" s="19">
        <v>0</v>
      </c>
      <c r="F9" s="19" t="s">
        <v>18</v>
      </c>
      <c r="G9" s="19"/>
      <c r="H9" s="19" t="s">
        <v>44</v>
      </c>
      <c r="I9" s="19">
        <v>22</v>
      </c>
      <c r="J9" s="19">
        <v>0</v>
      </c>
      <c r="K9" s="19" t="s">
        <v>45</v>
      </c>
    </row>
    <row r="10" spans="2:11" x14ac:dyDescent="0.25">
      <c r="B10" s="19" t="s">
        <v>46</v>
      </c>
      <c r="C10" s="19">
        <v>1</v>
      </c>
      <c r="D10" s="19">
        <v>0</v>
      </c>
      <c r="E10" s="19">
        <v>0</v>
      </c>
      <c r="F10" s="19" t="s">
        <v>47</v>
      </c>
      <c r="G10" s="19"/>
      <c r="H10" s="19" t="s">
        <v>48</v>
      </c>
      <c r="I10" s="19">
        <v>2</v>
      </c>
      <c r="J10" s="19">
        <v>0</v>
      </c>
      <c r="K10" s="19" t="s">
        <v>49</v>
      </c>
    </row>
    <row r="11" spans="2:11" x14ac:dyDescent="0.25">
      <c r="B11" s="19" t="s">
        <v>50</v>
      </c>
      <c r="C11" s="19">
        <v>143</v>
      </c>
      <c r="D11" s="19">
        <v>0</v>
      </c>
      <c r="E11" s="19">
        <v>0</v>
      </c>
      <c r="F11" s="19" t="s">
        <v>51</v>
      </c>
      <c r="G11" s="19"/>
      <c r="H11" s="19" t="s">
        <v>36</v>
      </c>
      <c r="I11" s="19">
        <v>1</v>
      </c>
      <c r="J11" s="19">
        <v>0</v>
      </c>
      <c r="K11" s="19" t="s">
        <v>52</v>
      </c>
    </row>
    <row r="12" spans="2:11" x14ac:dyDescent="0.25">
      <c r="B12" s="19" t="s">
        <v>53</v>
      </c>
      <c r="C12" s="19">
        <v>48</v>
      </c>
      <c r="D12" s="19">
        <v>0</v>
      </c>
      <c r="E12" s="19">
        <v>0</v>
      </c>
      <c r="F12" s="19" t="s">
        <v>54</v>
      </c>
      <c r="G12" s="19"/>
      <c r="H12" s="19" t="s">
        <v>40</v>
      </c>
      <c r="I12" s="19">
        <v>1</v>
      </c>
      <c r="J12" s="19">
        <v>0</v>
      </c>
      <c r="K12" s="19" t="s">
        <v>55</v>
      </c>
    </row>
    <row r="13" spans="2:11" x14ac:dyDescent="0.25">
      <c r="B13" s="19" t="s">
        <v>56</v>
      </c>
      <c r="C13" s="19">
        <v>128</v>
      </c>
      <c r="D13" s="19">
        <v>0</v>
      </c>
      <c r="E13" s="19">
        <v>0</v>
      </c>
      <c r="F13" s="19" t="s">
        <v>57</v>
      </c>
      <c r="G13" s="19"/>
      <c r="H13" s="19" t="s">
        <v>43</v>
      </c>
      <c r="I13" s="19">
        <v>2</v>
      </c>
      <c r="J13" s="19">
        <v>0</v>
      </c>
      <c r="K13" s="19" t="s">
        <v>58</v>
      </c>
    </row>
    <row r="14" spans="2:11" x14ac:dyDescent="0.25">
      <c r="B14" s="19"/>
      <c r="C14" s="19"/>
      <c r="D14" s="19"/>
      <c r="E14" s="19"/>
      <c r="F14" s="19"/>
      <c r="G14" s="19"/>
      <c r="H14" s="19" t="s">
        <v>50</v>
      </c>
      <c r="I14" s="19">
        <v>143</v>
      </c>
      <c r="J14" s="19">
        <v>0</v>
      </c>
      <c r="K14" s="19" t="s">
        <v>59</v>
      </c>
    </row>
    <row r="15" spans="2:11" x14ac:dyDescent="0.25"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2:11" x14ac:dyDescent="0.25">
      <c r="B16" s="19"/>
      <c r="C16" s="19"/>
      <c r="D16" s="19"/>
      <c r="E16" s="19"/>
      <c r="F16" s="19"/>
      <c r="G16" s="12"/>
      <c r="H16" s="19"/>
      <c r="I16" s="19"/>
      <c r="J16" s="19"/>
      <c r="K16" s="19"/>
    </row>
    <row r="17" spans="2:11" x14ac:dyDescent="0.25">
      <c r="B17" s="19"/>
      <c r="C17" s="19"/>
      <c r="D17" s="19"/>
      <c r="E17" s="19"/>
      <c r="F17" s="19"/>
      <c r="G17" s="12"/>
      <c r="H17" s="21"/>
      <c r="I17" s="25"/>
      <c r="J17" s="25"/>
      <c r="K17" s="19"/>
    </row>
    <row r="18" spans="2:11" x14ac:dyDescent="0.25">
      <c r="B18" s="19"/>
      <c r="C18" s="19"/>
      <c r="D18" s="19"/>
      <c r="E18" s="19"/>
      <c r="F18" s="19"/>
      <c r="G18" s="12"/>
      <c r="H18" s="22"/>
      <c r="I18" s="15"/>
      <c r="J18" s="15"/>
      <c r="K18" s="18"/>
    </row>
    <row r="19" spans="2:11" ht="15" thickBot="1" x14ac:dyDescent="0.3">
      <c r="B19" s="35" t="s">
        <v>32</v>
      </c>
      <c r="C19" s="45">
        <f>SUM(C7,C8,C9,C10,C11,C12,C13,C14,C15,C16,C17,)</f>
        <v>323</v>
      </c>
      <c r="D19" s="45">
        <f>SUM(D7,D8,D9,D10,D11,D12,D13,D14,D15,D16,D17,)</f>
        <v>1</v>
      </c>
      <c r="E19" s="41">
        <f>SUM(E8:E17)</f>
        <v>0</v>
      </c>
      <c r="F19" s="42"/>
      <c r="G19" s="43"/>
      <c r="H19" s="44" t="s">
        <v>32</v>
      </c>
      <c r="I19" s="45">
        <f>SUM(I7,I8,I9,I10,I11,I12,I13,I14,I15,I16,I17,)</f>
        <v>193</v>
      </c>
      <c r="J19" s="45">
        <f>SUM(J7,J8,J9,J10,J11,J12,J13,J14,J15,J16,J17,)</f>
        <v>0</v>
      </c>
      <c r="K19" s="46"/>
    </row>
    <row r="20" spans="2:11" x14ac:dyDescent="0.25">
      <c r="B20" s="36"/>
      <c r="C20" s="37"/>
      <c r="D20" s="38"/>
      <c r="E20" s="38"/>
      <c r="F20" s="39"/>
      <c r="G20" s="40"/>
      <c r="H20" s="74"/>
      <c r="I20" s="74"/>
      <c r="J20" s="74"/>
      <c r="K20" s="74"/>
    </row>
    <row r="21" spans="2:11" ht="15" x14ac:dyDescent="0.25">
      <c r="B21" s="137" t="s">
        <v>33</v>
      </c>
      <c r="C21" s="137"/>
      <c r="D21" s="138"/>
      <c r="E21" s="138"/>
      <c r="F21" s="137"/>
      <c r="G21" s="2"/>
      <c r="H21" s="47"/>
      <c r="I21" s="48"/>
      <c r="J21" s="6"/>
      <c r="K21" s="1"/>
    </row>
    <row r="22" spans="2:11" ht="45.6" customHeight="1" x14ac:dyDescent="0.25">
      <c r="B22" s="32" t="s">
        <v>6</v>
      </c>
      <c r="C22" s="31" t="s">
        <v>34</v>
      </c>
      <c r="D22" s="30" t="s">
        <v>11</v>
      </c>
      <c r="E22" s="29" t="s">
        <v>9</v>
      </c>
      <c r="F22" s="31" t="s">
        <v>10</v>
      </c>
      <c r="G22" s="2"/>
      <c r="H22" s="1"/>
      <c r="I22" s="1"/>
      <c r="J22" s="1"/>
      <c r="K22" s="1"/>
    </row>
    <row r="23" spans="2:11" ht="15" x14ac:dyDescent="0.25">
      <c r="B23" s="19"/>
      <c r="C23" s="24"/>
      <c r="D23" s="17"/>
      <c r="E23" s="17"/>
      <c r="F23" s="19"/>
      <c r="G23" s="2"/>
      <c r="H23" s="1"/>
      <c r="I23" s="1"/>
      <c r="J23" s="1"/>
      <c r="K23" s="1"/>
    </row>
    <row r="24" spans="2:11" x14ac:dyDescent="0.25">
      <c r="B24" s="19"/>
      <c r="C24" s="24"/>
      <c r="D24" s="17"/>
      <c r="E24" s="17"/>
      <c r="F24" s="23"/>
    </row>
    <row r="25" spans="2:11" x14ac:dyDescent="0.25">
      <c r="B25" s="19"/>
      <c r="C25" s="24"/>
      <c r="D25" s="17"/>
      <c r="E25" s="17"/>
      <c r="F25" s="23"/>
    </row>
  </sheetData>
  <mergeCells count="4">
    <mergeCell ref="B2:K2"/>
    <mergeCell ref="B5:F5"/>
    <mergeCell ref="H5:K5"/>
    <mergeCell ref="B21:F21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17E0-2F94-4B3F-A842-4A676743E47D}">
  <dimension ref="B2:L27"/>
  <sheetViews>
    <sheetView workbookViewId="0">
      <selection activeCell="K14" sqref="K14"/>
    </sheetView>
  </sheetViews>
  <sheetFormatPr defaultRowHeight="14.4" x14ac:dyDescent="0.25"/>
  <cols>
    <col min="2" max="2" width="26.88671875" customWidth="1"/>
    <col min="3" max="3" width="15.33203125" customWidth="1"/>
    <col min="4" max="4" width="14.88671875" customWidth="1"/>
    <col min="5" max="5" width="13.21875" customWidth="1"/>
    <col min="6" max="6" width="15.109375" customWidth="1"/>
    <col min="7" max="7" width="4.44140625" customWidth="1"/>
    <col min="8" max="8" width="29.109375" customWidth="1"/>
    <col min="9" max="10" width="11.44140625" customWidth="1"/>
    <col min="11" max="11" width="24.21875" customWidth="1"/>
  </cols>
  <sheetData>
    <row r="2" spans="2:12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2" ht="17.399999999999999" x14ac:dyDescent="0.25">
      <c r="B3" s="49" t="s">
        <v>1</v>
      </c>
      <c r="C3" s="34">
        <v>46300</v>
      </c>
      <c r="D3" s="7"/>
      <c r="E3" s="8"/>
      <c r="F3" s="8"/>
      <c r="G3" s="9"/>
      <c r="H3" s="10"/>
      <c r="I3" s="10"/>
      <c r="J3" s="10" t="s">
        <v>2</v>
      </c>
      <c r="K3" s="33" t="s">
        <v>3</v>
      </c>
    </row>
    <row r="4" spans="2:12" x14ac:dyDescent="0.25">
      <c r="B4" s="14"/>
      <c r="C4" s="14"/>
      <c r="D4" s="14"/>
      <c r="E4" s="14"/>
      <c r="F4" s="14"/>
      <c r="G4" s="27"/>
      <c r="H4" s="28"/>
      <c r="I4" s="28"/>
      <c r="J4" s="28"/>
      <c r="K4" s="28"/>
    </row>
    <row r="5" spans="2:12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6"/>
    </row>
    <row r="6" spans="2:12" ht="33.6" customHeight="1" x14ac:dyDescent="0.25">
      <c r="B6" s="3" t="s">
        <v>6</v>
      </c>
      <c r="C6" s="11" t="s">
        <v>7</v>
      </c>
      <c r="D6" s="4" t="s">
        <v>8</v>
      </c>
      <c r="E6" s="4" t="s">
        <v>9</v>
      </c>
      <c r="F6" s="4" t="s">
        <v>10</v>
      </c>
      <c r="G6" s="13"/>
      <c r="H6" s="5" t="s">
        <v>6</v>
      </c>
      <c r="I6" s="11" t="s">
        <v>11</v>
      </c>
      <c r="J6" s="4" t="s">
        <v>12</v>
      </c>
      <c r="K6" s="26" t="s">
        <v>10</v>
      </c>
    </row>
    <row r="7" spans="2:12" x14ac:dyDescent="0.25">
      <c r="B7" s="19" t="s">
        <v>60</v>
      </c>
      <c r="C7" s="19">
        <v>7</v>
      </c>
      <c r="D7" s="19">
        <v>0</v>
      </c>
      <c r="E7" s="19">
        <v>0</v>
      </c>
      <c r="F7" s="19" t="s">
        <v>61</v>
      </c>
      <c r="G7" s="19"/>
      <c r="H7" s="19" t="s">
        <v>62</v>
      </c>
      <c r="I7" s="19">
        <v>9</v>
      </c>
      <c r="J7" s="19">
        <v>0</v>
      </c>
      <c r="K7" s="19" t="s">
        <v>63</v>
      </c>
    </row>
    <row r="8" spans="2:12" x14ac:dyDescent="0.25">
      <c r="B8" s="19" t="s">
        <v>64</v>
      </c>
      <c r="C8" s="19">
        <v>3</v>
      </c>
      <c r="D8" s="19">
        <v>0</v>
      </c>
      <c r="E8" s="19">
        <v>0</v>
      </c>
      <c r="F8" s="19" t="s">
        <v>65</v>
      </c>
      <c r="G8" s="19"/>
      <c r="H8" s="19" t="s">
        <v>66</v>
      </c>
      <c r="I8" s="19">
        <v>1</v>
      </c>
      <c r="J8" s="19">
        <v>0</v>
      </c>
      <c r="K8" s="19" t="s">
        <v>67</v>
      </c>
      <c r="L8" s="19"/>
    </row>
    <row r="9" spans="2:12" x14ac:dyDescent="0.25">
      <c r="B9" s="19" t="s">
        <v>68</v>
      </c>
      <c r="C9" s="19">
        <v>21</v>
      </c>
      <c r="D9" s="19">
        <v>0</v>
      </c>
      <c r="E9" s="19">
        <v>0</v>
      </c>
      <c r="F9" s="19" t="s">
        <v>69</v>
      </c>
      <c r="G9" s="19"/>
      <c r="H9" s="19" t="s">
        <v>70</v>
      </c>
      <c r="I9" s="19">
        <v>1</v>
      </c>
      <c r="J9" s="19">
        <v>0</v>
      </c>
      <c r="K9" s="19" t="s">
        <v>71</v>
      </c>
    </row>
    <row r="10" spans="2:12" x14ac:dyDescent="0.25">
      <c r="B10" s="19" t="s">
        <v>21</v>
      </c>
      <c r="C10" s="19">
        <v>2</v>
      </c>
      <c r="D10" s="19">
        <v>0</v>
      </c>
      <c r="E10" s="19">
        <v>0</v>
      </c>
      <c r="F10" s="19" t="s">
        <v>72</v>
      </c>
      <c r="G10" s="19"/>
      <c r="H10" s="19" t="s">
        <v>73</v>
      </c>
      <c r="I10" s="19">
        <v>1</v>
      </c>
      <c r="J10" s="19">
        <v>0</v>
      </c>
      <c r="K10" s="19" t="s">
        <v>74</v>
      </c>
    </row>
    <row r="11" spans="2:12" x14ac:dyDescent="0.25">
      <c r="B11" s="19" t="s">
        <v>75</v>
      </c>
      <c r="C11" s="19">
        <v>103</v>
      </c>
      <c r="D11" s="19">
        <v>0</v>
      </c>
      <c r="E11" s="19">
        <v>0</v>
      </c>
      <c r="F11" s="19" t="s">
        <v>76</v>
      </c>
      <c r="G11" s="19"/>
      <c r="H11" s="19" t="s">
        <v>77</v>
      </c>
      <c r="I11" s="19">
        <v>2</v>
      </c>
      <c r="J11" s="19">
        <v>0</v>
      </c>
      <c r="K11" s="19" t="s">
        <v>78</v>
      </c>
    </row>
    <row r="12" spans="2:12" x14ac:dyDescent="0.25">
      <c r="B12" s="19" t="s">
        <v>79</v>
      </c>
      <c r="C12" s="19">
        <v>2</v>
      </c>
      <c r="D12" s="19">
        <v>0</v>
      </c>
      <c r="E12" s="19">
        <v>0</v>
      </c>
      <c r="F12" s="19" t="s">
        <v>80</v>
      </c>
      <c r="G12" s="19"/>
      <c r="H12" s="20" t="s">
        <v>81</v>
      </c>
      <c r="I12" s="19">
        <v>1</v>
      </c>
      <c r="J12" s="19">
        <v>0</v>
      </c>
      <c r="K12" s="19" t="s">
        <v>82</v>
      </c>
    </row>
    <row r="13" spans="2:12" x14ac:dyDescent="0.25">
      <c r="B13" s="19" t="s">
        <v>83</v>
      </c>
      <c r="C13" s="19">
        <v>0</v>
      </c>
      <c r="D13" s="19">
        <v>1</v>
      </c>
      <c r="E13" s="19">
        <v>0</v>
      </c>
      <c r="F13" s="19" t="s">
        <v>84</v>
      </c>
      <c r="G13" s="19"/>
      <c r="H13" s="20" t="s">
        <v>85</v>
      </c>
      <c r="I13" s="19">
        <v>1</v>
      </c>
      <c r="J13" s="19">
        <v>0</v>
      </c>
      <c r="K13" s="19" t="s">
        <v>86</v>
      </c>
    </row>
    <row r="14" spans="2:12" x14ac:dyDescent="0.25">
      <c r="B14" s="19" t="s">
        <v>66</v>
      </c>
      <c r="C14" s="19">
        <v>1</v>
      </c>
      <c r="D14" s="19">
        <v>0</v>
      </c>
      <c r="E14" s="19">
        <v>0</v>
      </c>
      <c r="F14" s="19" t="s">
        <v>18</v>
      </c>
      <c r="G14" s="19"/>
      <c r="H14" s="20" t="s">
        <v>87</v>
      </c>
      <c r="I14" s="19">
        <v>1</v>
      </c>
      <c r="J14" s="19">
        <v>0</v>
      </c>
      <c r="K14" s="19" t="s">
        <v>88</v>
      </c>
    </row>
    <row r="15" spans="2:12" ht="16.2" customHeight="1" x14ac:dyDescent="0.25">
      <c r="B15" s="19" t="s">
        <v>89</v>
      </c>
      <c r="C15" s="19">
        <v>1</v>
      </c>
      <c r="D15" s="19">
        <v>0</v>
      </c>
      <c r="E15" s="19">
        <v>0</v>
      </c>
      <c r="F15" s="19" t="s">
        <v>90</v>
      </c>
      <c r="G15" s="19"/>
      <c r="H15" s="20" t="s">
        <v>91</v>
      </c>
      <c r="I15" s="20">
        <v>34</v>
      </c>
      <c r="J15" s="19">
        <v>0</v>
      </c>
      <c r="K15" s="19" t="s">
        <v>92</v>
      </c>
    </row>
    <row r="16" spans="2:12" ht="16.2" customHeight="1" x14ac:dyDescent="0.25">
      <c r="B16" s="19" t="s">
        <v>93</v>
      </c>
      <c r="C16" s="19">
        <v>1</v>
      </c>
      <c r="D16" s="19">
        <v>0</v>
      </c>
      <c r="E16" s="19">
        <v>0</v>
      </c>
      <c r="F16" s="19" t="s">
        <v>94</v>
      </c>
      <c r="G16" s="19"/>
      <c r="H16" s="20" t="s">
        <v>95</v>
      </c>
      <c r="I16" s="20">
        <v>1</v>
      </c>
      <c r="J16" s="19">
        <v>0</v>
      </c>
      <c r="K16" s="19" t="s">
        <v>96</v>
      </c>
    </row>
    <row r="17" spans="2:11" ht="16.2" customHeight="1" x14ac:dyDescent="0.25">
      <c r="B17" s="19" t="s">
        <v>97</v>
      </c>
      <c r="C17" s="19">
        <v>3</v>
      </c>
      <c r="D17" s="19">
        <v>0</v>
      </c>
      <c r="E17" s="19">
        <v>0</v>
      </c>
      <c r="F17" s="19" t="s">
        <v>98</v>
      </c>
      <c r="G17" s="19"/>
      <c r="H17" s="19" t="s">
        <v>99</v>
      </c>
      <c r="I17" s="20">
        <v>1</v>
      </c>
      <c r="J17" s="19">
        <v>0</v>
      </c>
      <c r="K17" s="19" t="s">
        <v>100</v>
      </c>
    </row>
    <row r="18" spans="2:11" ht="16.2" customHeight="1" x14ac:dyDescent="0.25">
      <c r="B18" s="19" t="s">
        <v>101</v>
      </c>
      <c r="C18" s="19">
        <v>3</v>
      </c>
      <c r="D18" s="19">
        <v>0</v>
      </c>
      <c r="E18" s="19">
        <v>0</v>
      </c>
      <c r="F18" s="19" t="s">
        <v>102</v>
      </c>
      <c r="G18" s="52"/>
      <c r="H18" s="19" t="s">
        <v>97</v>
      </c>
      <c r="I18" s="20">
        <v>3</v>
      </c>
      <c r="J18" s="19">
        <v>0</v>
      </c>
      <c r="K18" s="19" t="s">
        <v>103</v>
      </c>
    </row>
    <row r="19" spans="2:11" x14ac:dyDescent="0.25">
      <c r="B19" s="19" t="s">
        <v>104</v>
      </c>
      <c r="C19" s="19">
        <v>1</v>
      </c>
      <c r="D19" s="19">
        <v>0</v>
      </c>
      <c r="E19" s="19">
        <v>0</v>
      </c>
      <c r="F19" s="19" t="s">
        <v>105</v>
      </c>
      <c r="G19" s="12"/>
      <c r="H19" s="21"/>
      <c r="I19" s="25"/>
      <c r="J19" s="25"/>
      <c r="K19" s="19"/>
    </row>
    <row r="20" spans="2:11" x14ac:dyDescent="0.25">
      <c r="B20" s="19"/>
      <c r="C20" s="19"/>
      <c r="D20" s="19"/>
      <c r="E20" s="19"/>
      <c r="F20" s="19"/>
      <c r="G20" s="12"/>
      <c r="H20" s="22"/>
      <c r="I20" s="15"/>
      <c r="J20" s="15"/>
      <c r="K20" s="18"/>
    </row>
    <row r="21" spans="2:11" ht="15" thickBot="1" x14ac:dyDescent="0.3">
      <c r="B21" s="35" t="s">
        <v>32</v>
      </c>
      <c r="C21" s="45">
        <f>SUM(C7,C8,C9,C10,C11,C12,C13,C14,C15,C16,C17,C18,C19)</f>
        <v>148</v>
      </c>
      <c r="D21" s="45">
        <f>SUM(D7,D8,D9,D10,D11,D12,D13,D14,D15,D16,D17,D18,D19)</f>
        <v>1</v>
      </c>
      <c r="E21" s="41">
        <f>SUM(E12:E19)</f>
        <v>0</v>
      </c>
      <c r="F21" s="42"/>
      <c r="G21" s="43"/>
      <c r="H21" s="44" t="s">
        <v>32</v>
      </c>
      <c r="I21" s="45">
        <f>SUM(I7,I8,I9,I10,I11,I12,I13,I14,I15,I16,I17,I18,I19)</f>
        <v>56</v>
      </c>
      <c r="J21" s="45">
        <f>SUM(J7,J8,J9,J10,J11,J12,J13,J14,J15,J16,J17,J18,J19)</f>
        <v>0</v>
      </c>
      <c r="K21" s="46"/>
    </row>
    <row r="22" spans="2:11" x14ac:dyDescent="0.25">
      <c r="B22" s="36"/>
      <c r="C22" s="37"/>
      <c r="D22" s="38"/>
      <c r="E22" s="38"/>
      <c r="F22" s="39"/>
      <c r="G22" s="40"/>
      <c r="H22" s="74"/>
      <c r="I22" s="74"/>
      <c r="J22" s="74"/>
      <c r="K22" s="74"/>
    </row>
    <row r="23" spans="2:11" ht="15" x14ac:dyDescent="0.25">
      <c r="B23" s="137" t="s">
        <v>33</v>
      </c>
      <c r="C23" s="137"/>
      <c r="D23" s="138"/>
      <c r="E23" s="138"/>
      <c r="F23" s="137"/>
      <c r="G23" s="2"/>
      <c r="H23" s="47"/>
      <c r="I23" s="48"/>
      <c r="J23" s="6"/>
      <c r="K23" s="1"/>
    </row>
    <row r="24" spans="2:11" ht="36.6" customHeight="1" x14ac:dyDescent="0.25">
      <c r="B24" s="32" t="s">
        <v>6</v>
      </c>
      <c r="C24" s="31" t="s">
        <v>34</v>
      </c>
      <c r="D24" s="30" t="s">
        <v>11</v>
      </c>
      <c r="E24" s="29" t="s">
        <v>9</v>
      </c>
      <c r="F24" s="31" t="s">
        <v>10</v>
      </c>
      <c r="G24" s="2"/>
      <c r="H24" s="1"/>
      <c r="I24" s="1"/>
      <c r="J24" s="1"/>
      <c r="K24" s="1"/>
    </row>
    <row r="25" spans="2:11" ht="15" x14ac:dyDescent="0.25">
      <c r="B25" s="19"/>
      <c r="C25" s="24"/>
      <c r="D25" s="17"/>
      <c r="E25" s="17"/>
      <c r="F25" s="19"/>
      <c r="G25" s="2"/>
      <c r="H25" s="1"/>
      <c r="I25" s="1"/>
      <c r="J25" s="1"/>
      <c r="K25" s="1"/>
    </row>
    <row r="26" spans="2:11" x14ac:dyDescent="0.25">
      <c r="B26" s="19"/>
      <c r="C26" s="24"/>
      <c r="D26" s="17"/>
      <c r="E26" s="17"/>
      <c r="F26" s="23"/>
    </row>
    <row r="27" spans="2:11" x14ac:dyDescent="0.25">
      <c r="B27" s="19"/>
      <c r="C27" s="24"/>
      <c r="D27" s="17"/>
      <c r="E27" s="17"/>
      <c r="F27" s="23"/>
    </row>
  </sheetData>
  <mergeCells count="4">
    <mergeCell ref="B2:K2"/>
    <mergeCell ref="B5:F5"/>
    <mergeCell ref="H5:K5"/>
    <mergeCell ref="B23:F23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B2CD-D0F0-42DA-84EF-9BC7A9DE7D4C}">
  <dimension ref="B2:K27"/>
  <sheetViews>
    <sheetView workbookViewId="0">
      <selection activeCell="H12" sqref="H12:J13"/>
    </sheetView>
  </sheetViews>
  <sheetFormatPr defaultRowHeight="14.4" x14ac:dyDescent="0.25"/>
  <cols>
    <col min="2" max="2" width="25.88671875" customWidth="1"/>
    <col min="3" max="3" width="12.44140625" customWidth="1"/>
    <col min="4" max="4" width="12.21875" customWidth="1"/>
    <col min="6" max="6" width="13.77734375" customWidth="1"/>
    <col min="8" max="8" width="24.77734375" customWidth="1"/>
    <col min="9" max="9" width="13.21875" customWidth="1"/>
    <col min="10" max="10" width="10.44140625" customWidth="1"/>
    <col min="11" max="11" width="22.3320312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46301</v>
      </c>
      <c r="D3" s="7"/>
      <c r="E3" s="8"/>
      <c r="F3" s="8"/>
      <c r="G3" s="9"/>
      <c r="H3" s="10"/>
      <c r="I3" s="10"/>
      <c r="J3" s="10" t="s">
        <v>2</v>
      </c>
      <c r="K3" s="33" t="s">
        <v>3</v>
      </c>
    </row>
    <row r="4" spans="2:11" x14ac:dyDescent="0.25">
      <c r="B4" s="14"/>
      <c r="C4" s="14"/>
      <c r="D4" s="14"/>
      <c r="E4" s="14"/>
      <c r="F4" s="14"/>
      <c r="G4" s="27"/>
      <c r="H4" s="28"/>
      <c r="I4" s="28"/>
      <c r="J4" s="28"/>
      <c r="K4" s="28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6"/>
    </row>
    <row r="6" spans="2:11" ht="35.4" customHeight="1" x14ac:dyDescent="0.25">
      <c r="B6" s="3" t="s">
        <v>6</v>
      </c>
      <c r="C6" s="11" t="s">
        <v>7</v>
      </c>
      <c r="D6" s="4" t="s">
        <v>8</v>
      </c>
      <c r="E6" s="4" t="s">
        <v>9</v>
      </c>
      <c r="F6" s="4" t="s">
        <v>10</v>
      </c>
      <c r="G6" s="13"/>
      <c r="H6" s="5" t="s">
        <v>6</v>
      </c>
      <c r="I6" s="11" t="s">
        <v>11</v>
      </c>
      <c r="J6" s="4" t="s">
        <v>12</v>
      </c>
      <c r="K6" s="26" t="s">
        <v>10</v>
      </c>
    </row>
    <row r="7" spans="2:11" x14ac:dyDescent="0.25">
      <c r="B7" s="19" t="s">
        <v>106</v>
      </c>
      <c r="C7" s="19">
        <v>2</v>
      </c>
      <c r="D7" s="19">
        <v>0</v>
      </c>
      <c r="E7" s="19">
        <v>0</v>
      </c>
      <c r="F7" s="19" t="s">
        <v>107</v>
      </c>
      <c r="G7" s="19"/>
      <c r="H7" s="19" t="s">
        <v>53</v>
      </c>
      <c r="I7" s="19">
        <v>4</v>
      </c>
      <c r="J7" s="19">
        <v>44</v>
      </c>
      <c r="K7" s="19" t="s">
        <v>108</v>
      </c>
    </row>
    <row r="8" spans="2:11" x14ac:dyDescent="0.25">
      <c r="B8" s="19" t="s">
        <v>109</v>
      </c>
      <c r="C8" s="19">
        <v>0</v>
      </c>
      <c r="D8" s="19">
        <v>2</v>
      </c>
      <c r="E8" s="19">
        <v>0</v>
      </c>
      <c r="F8" s="19" t="s">
        <v>110</v>
      </c>
      <c r="G8" s="19"/>
      <c r="H8" s="19" t="s">
        <v>111</v>
      </c>
      <c r="I8" s="19">
        <v>1</v>
      </c>
      <c r="J8" s="19">
        <v>0</v>
      </c>
      <c r="K8" s="19" t="s">
        <v>112</v>
      </c>
    </row>
    <row r="9" spans="2:11" x14ac:dyDescent="0.25">
      <c r="B9" s="19" t="s">
        <v>113</v>
      </c>
      <c r="C9" s="19">
        <v>0</v>
      </c>
      <c r="D9" s="19">
        <v>1</v>
      </c>
      <c r="E9" s="19">
        <v>0</v>
      </c>
      <c r="F9" s="19" t="s">
        <v>114</v>
      </c>
      <c r="G9" s="19"/>
      <c r="H9" s="19" t="s">
        <v>115</v>
      </c>
      <c r="I9" s="19">
        <v>29</v>
      </c>
      <c r="J9" s="19">
        <v>0</v>
      </c>
      <c r="K9" s="19" t="s">
        <v>116</v>
      </c>
    </row>
    <row r="10" spans="2:11" x14ac:dyDescent="0.25">
      <c r="B10" s="19" t="s">
        <v>117</v>
      </c>
      <c r="C10" s="19">
        <v>1</v>
      </c>
      <c r="D10" s="19">
        <v>0</v>
      </c>
      <c r="E10" s="19">
        <v>0</v>
      </c>
      <c r="F10" s="19" t="s">
        <v>114</v>
      </c>
      <c r="G10" s="19"/>
      <c r="H10" s="19" t="s">
        <v>118</v>
      </c>
      <c r="I10" s="19">
        <v>20</v>
      </c>
      <c r="J10" s="19">
        <v>0</v>
      </c>
      <c r="K10" s="19" t="s">
        <v>119</v>
      </c>
    </row>
    <row r="11" spans="2:11" x14ac:dyDescent="0.25">
      <c r="B11" s="19" t="s">
        <v>120</v>
      </c>
      <c r="C11" s="19">
        <v>0</v>
      </c>
      <c r="D11" s="19">
        <v>0</v>
      </c>
      <c r="E11" s="19">
        <v>0</v>
      </c>
      <c r="F11" s="19" t="s">
        <v>121</v>
      </c>
      <c r="G11" s="19"/>
      <c r="H11" s="19" t="s">
        <v>122</v>
      </c>
      <c r="I11" s="19">
        <v>20</v>
      </c>
      <c r="J11" s="19">
        <v>0</v>
      </c>
      <c r="K11" s="19" t="s">
        <v>123</v>
      </c>
    </row>
    <row r="12" spans="2:11" x14ac:dyDescent="0.25">
      <c r="B12" s="19" t="s">
        <v>124</v>
      </c>
      <c r="C12" s="19">
        <v>1</v>
      </c>
      <c r="D12" s="19">
        <v>0</v>
      </c>
      <c r="E12" s="19">
        <v>0</v>
      </c>
      <c r="F12" s="19" t="s">
        <v>125</v>
      </c>
      <c r="G12" s="19"/>
    </row>
    <row r="13" spans="2:11" x14ac:dyDescent="0.25">
      <c r="B13" s="19" t="s">
        <v>111</v>
      </c>
      <c r="C13" s="19">
        <v>1</v>
      </c>
      <c r="D13" s="19">
        <v>0</v>
      </c>
      <c r="E13" s="19">
        <v>0</v>
      </c>
      <c r="F13" s="19" t="s">
        <v>18</v>
      </c>
      <c r="G13" s="19"/>
      <c r="H13" s="114"/>
      <c r="I13" s="19"/>
      <c r="J13" s="19"/>
      <c r="K13" s="19"/>
    </row>
    <row r="14" spans="2:11" x14ac:dyDescent="0.25">
      <c r="B14" s="19" t="s">
        <v>115</v>
      </c>
      <c r="C14" s="19">
        <v>29</v>
      </c>
      <c r="D14" s="19">
        <v>0</v>
      </c>
      <c r="E14" s="19">
        <v>0</v>
      </c>
      <c r="F14" s="19" t="s">
        <v>18</v>
      </c>
      <c r="G14" s="19"/>
      <c r="H14" s="20"/>
      <c r="I14" s="19"/>
      <c r="J14" s="19"/>
      <c r="K14" s="19"/>
    </row>
    <row r="15" spans="2:11" x14ac:dyDescent="0.25">
      <c r="B15" s="19" t="s">
        <v>118</v>
      </c>
      <c r="C15" s="19">
        <v>20</v>
      </c>
      <c r="D15" s="19">
        <v>0</v>
      </c>
      <c r="E15" s="19">
        <v>0</v>
      </c>
      <c r="F15" s="19" t="s">
        <v>18</v>
      </c>
      <c r="G15" s="19"/>
      <c r="H15" s="20"/>
      <c r="I15" s="20"/>
      <c r="J15" s="19"/>
      <c r="K15" s="19"/>
    </row>
    <row r="16" spans="2:11" x14ac:dyDescent="0.25">
      <c r="B16" s="19"/>
      <c r="C16" s="19"/>
      <c r="D16" s="19"/>
      <c r="E16" s="19"/>
      <c r="F16" s="19"/>
      <c r="G16" s="19"/>
      <c r="H16" s="20"/>
      <c r="I16" s="20"/>
      <c r="J16" s="19"/>
      <c r="K16" s="19"/>
    </row>
    <row r="17" spans="2:11" x14ac:dyDescent="0.25">
      <c r="B17" s="19"/>
      <c r="C17" s="19"/>
      <c r="D17" s="19"/>
      <c r="E17" s="19"/>
      <c r="F17" s="19"/>
      <c r="G17" s="19"/>
      <c r="H17" s="19"/>
      <c r="I17" s="20"/>
      <c r="J17" s="19"/>
      <c r="K17" s="19"/>
    </row>
    <row r="18" spans="2:11" x14ac:dyDescent="0.25">
      <c r="B18" s="19"/>
      <c r="C18" s="19"/>
      <c r="D18" s="19"/>
      <c r="E18" s="19"/>
      <c r="F18" s="19"/>
      <c r="G18" s="52"/>
      <c r="H18" s="19"/>
      <c r="I18" s="20"/>
      <c r="J18" s="19"/>
      <c r="K18" s="19"/>
    </row>
    <row r="19" spans="2:11" x14ac:dyDescent="0.25">
      <c r="B19" s="19"/>
      <c r="C19" s="19"/>
      <c r="D19" s="19"/>
      <c r="E19" s="19"/>
      <c r="F19" s="19"/>
      <c r="G19" s="12"/>
      <c r="H19" s="21"/>
      <c r="I19" s="25"/>
      <c r="J19" s="25"/>
      <c r="K19" s="19"/>
    </row>
    <row r="20" spans="2:11" x14ac:dyDescent="0.25">
      <c r="B20" s="19"/>
      <c r="C20" s="19"/>
      <c r="D20" s="19"/>
      <c r="E20" s="19"/>
      <c r="F20" s="19"/>
      <c r="G20" s="12"/>
      <c r="H20" s="22"/>
      <c r="I20" s="15"/>
      <c r="J20" s="15"/>
      <c r="K20" s="18"/>
    </row>
    <row r="21" spans="2:11" ht="15" thickBot="1" x14ac:dyDescent="0.3">
      <c r="B21" s="35" t="s">
        <v>32</v>
      </c>
      <c r="C21" s="45">
        <f>SUM(C7,C8,C9,C10,C11,C12,C13,C14,C15,C16,C17,C18,C19)</f>
        <v>54</v>
      </c>
      <c r="D21" s="45">
        <f>SUM(D7,D8,D9,D10,D11,D12,D13,D14,D15,D16,D17,D18,D19)</f>
        <v>3</v>
      </c>
      <c r="E21" s="41">
        <f>SUM(E12:E19)</f>
        <v>0</v>
      </c>
      <c r="F21" s="42"/>
      <c r="G21" s="43"/>
      <c r="H21" s="44" t="s">
        <v>32</v>
      </c>
      <c r="I21" s="45">
        <f>SUM(I7,I8,I9,I10,I11,'14-10'!I11,I13,I14,I15,I16,I17,I18,I19)</f>
        <v>81</v>
      </c>
      <c r="J21" s="45">
        <f>SUM(J7,J8,J9,J10,J11,'14-10'!J11,J13,J14,J15,J16,J17,J18,J19)</f>
        <v>44</v>
      </c>
      <c r="K21" s="46"/>
    </row>
    <row r="22" spans="2:11" x14ac:dyDescent="0.25">
      <c r="B22" s="36"/>
      <c r="C22" s="37"/>
      <c r="D22" s="38"/>
      <c r="E22" s="38"/>
      <c r="F22" s="39"/>
      <c r="G22" s="40"/>
      <c r="H22" s="74"/>
      <c r="I22" s="74"/>
      <c r="J22" s="74"/>
      <c r="K22" s="74"/>
    </row>
    <row r="23" spans="2:11" ht="15" x14ac:dyDescent="0.25">
      <c r="B23" s="137" t="s">
        <v>33</v>
      </c>
      <c r="C23" s="137"/>
      <c r="D23" s="138"/>
      <c r="E23" s="138"/>
      <c r="F23" s="137"/>
      <c r="G23" s="2"/>
      <c r="H23" s="47"/>
      <c r="I23" s="48"/>
      <c r="J23" s="6"/>
      <c r="K23" s="1"/>
    </row>
    <row r="24" spans="2:11" ht="37.950000000000003" customHeight="1" x14ac:dyDescent="0.25">
      <c r="B24" s="32" t="s">
        <v>6</v>
      </c>
      <c r="C24" s="31" t="s">
        <v>34</v>
      </c>
      <c r="D24" s="30" t="s">
        <v>11</v>
      </c>
      <c r="E24" s="29" t="s">
        <v>9</v>
      </c>
      <c r="F24" s="31" t="s">
        <v>10</v>
      </c>
      <c r="G24" s="2"/>
      <c r="H24" s="1"/>
      <c r="I24" s="1"/>
      <c r="J24" s="1"/>
      <c r="K24" s="1"/>
    </row>
    <row r="25" spans="2:11" ht="15" x14ac:dyDescent="0.25">
      <c r="B25" s="19"/>
      <c r="C25" s="24"/>
      <c r="D25" s="17"/>
      <c r="E25" s="17"/>
      <c r="F25" s="19"/>
      <c r="G25" s="2"/>
      <c r="H25" s="1"/>
      <c r="I25" s="1"/>
      <c r="J25" s="1"/>
      <c r="K25" s="1"/>
    </row>
    <row r="26" spans="2:11" x14ac:dyDescent="0.25">
      <c r="B26" s="19"/>
      <c r="C26" s="24"/>
      <c r="D26" s="17"/>
      <c r="E26" s="17"/>
      <c r="F26" s="23"/>
    </row>
    <row r="27" spans="2:11" x14ac:dyDescent="0.25">
      <c r="B27" s="19"/>
      <c r="C27" s="24"/>
      <c r="D27" s="17"/>
      <c r="E27" s="17"/>
      <c r="F27" s="23"/>
    </row>
  </sheetData>
  <mergeCells count="4">
    <mergeCell ref="B2:K2"/>
    <mergeCell ref="B5:F5"/>
    <mergeCell ref="H5:K5"/>
    <mergeCell ref="B23:F23"/>
  </mergeCells>
  <phoneticPr fontId="2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7FE8-945C-4957-8CC6-B4ACD0D064A0}">
  <dimension ref="B2:K32"/>
  <sheetViews>
    <sheetView topLeftCell="A6" workbookViewId="0">
      <selection activeCell="F8" sqref="F8"/>
    </sheetView>
  </sheetViews>
  <sheetFormatPr defaultRowHeight="14.4" x14ac:dyDescent="0.25"/>
  <cols>
    <col min="2" max="2" width="26.109375" customWidth="1"/>
    <col min="3" max="3" width="15.21875" customWidth="1"/>
    <col min="4" max="4" width="12.33203125" customWidth="1"/>
    <col min="5" max="5" width="13.109375" customWidth="1"/>
    <col min="6" max="6" width="23.44140625" customWidth="1"/>
    <col min="7" max="7" width="4.6640625" customWidth="1"/>
    <col min="8" max="8" width="24.88671875" customWidth="1"/>
    <col min="9" max="9" width="12.33203125" customWidth="1"/>
    <col min="10" max="10" width="10.44140625" customWidth="1"/>
    <col min="11" max="11" width="23.664062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46302</v>
      </c>
      <c r="D3" s="7"/>
      <c r="E3" s="8"/>
      <c r="F3" s="8"/>
      <c r="G3" s="9"/>
      <c r="H3" s="10"/>
      <c r="I3" s="10"/>
      <c r="J3" s="10" t="s">
        <v>2</v>
      </c>
      <c r="K3" s="33" t="s">
        <v>3</v>
      </c>
    </row>
    <row r="4" spans="2:11" x14ac:dyDescent="0.25">
      <c r="B4" s="14"/>
      <c r="C4" s="14"/>
      <c r="D4" s="14"/>
      <c r="E4" s="14"/>
      <c r="F4" s="14"/>
      <c r="G4" s="27"/>
      <c r="H4" s="28"/>
      <c r="I4" s="28"/>
      <c r="J4" s="28"/>
      <c r="K4" s="28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6"/>
    </row>
    <row r="6" spans="2:11" ht="48" x14ac:dyDescent="0.25">
      <c r="B6" s="3" t="s">
        <v>6</v>
      </c>
      <c r="C6" s="11" t="s">
        <v>7</v>
      </c>
      <c r="D6" s="4" t="s">
        <v>8</v>
      </c>
      <c r="E6" s="4" t="s">
        <v>9</v>
      </c>
      <c r="F6" s="4" t="s">
        <v>10</v>
      </c>
      <c r="G6" s="13"/>
      <c r="H6" s="5" t="s">
        <v>6</v>
      </c>
      <c r="I6" s="11" t="s">
        <v>11</v>
      </c>
      <c r="J6" s="4" t="s">
        <v>12</v>
      </c>
      <c r="K6" s="26" t="s">
        <v>10</v>
      </c>
    </row>
    <row r="7" spans="2:11" x14ac:dyDescent="0.25">
      <c r="B7" s="19" t="s">
        <v>85</v>
      </c>
      <c r="C7" s="19">
        <v>1</v>
      </c>
      <c r="D7" s="19">
        <v>0</v>
      </c>
      <c r="E7" s="19">
        <v>0</v>
      </c>
      <c r="F7" s="19" t="s">
        <v>126</v>
      </c>
      <c r="G7" s="19"/>
      <c r="H7" s="19" t="s">
        <v>127</v>
      </c>
      <c r="I7" s="19">
        <v>25</v>
      </c>
      <c r="J7" s="19">
        <v>0</v>
      </c>
      <c r="K7" s="19" t="s">
        <v>128</v>
      </c>
    </row>
    <row r="8" spans="2:11" x14ac:dyDescent="0.25">
      <c r="B8" s="19" t="s">
        <v>127</v>
      </c>
      <c r="C8" s="19">
        <v>25</v>
      </c>
      <c r="D8" s="19">
        <v>0</v>
      </c>
      <c r="E8" s="19">
        <v>0</v>
      </c>
      <c r="F8" s="19" t="s">
        <v>128</v>
      </c>
      <c r="G8" s="19"/>
      <c r="H8" s="19" t="s">
        <v>129</v>
      </c>
      <c r="I8" s="19">
        <v>25</v>
      </c>
      <c r="J8" s="19">
        <v>0</v>
      </c>
      <c r="K8" s="19" t="s">
        <v>128</v>
      </c>
    </row>
    <row r="9" spans="2:11" x14ac:dyDescent="0.25">
      <c r="B9" s="19" t="s">
        <v>129</v>
      </c>
      <c r="C9" s="19">
        <v>25</v>
      </c>
      <c r="D9" s="19">
        <v>0</v>
      </c>
      <c r="E9" s="19">
        <v>0</v>
      </c>
      <c r="F9" s="19" t="s">
        <v>128</v>
      </c>
      <c r="G9" s="19"/>
      <c r="H9" s="19" t="s">
        <v>130</v>
      </c>
      <c r="I9" s="19">
        <v>1</v>
      </c>
      <c r="J9" s="19">
        <v>0</v>
      </c>
      <c r="K9" s="19" t="s">
        <v>128</v>
      </c>
    </row>
    <row r="10" spans="2:11" x14ac:dyDescent="0.25">
      <c r="B10" s="19" t="s">
        <v>130</v>
      </c>
      <c r="C10" s="19">
        <v>1</v>
      </c>
      <c r="D10" s="19">
        <v>0</v>
      </c>
      <c r="E10" s="19">
        <v>0</v>
      </c>
      <c r="F10" s="19" t="s">
        <v>128</v>
      </c>
      <c r="G10" s="19"/>
      <c r="H10" s="19" t="s">
        <v>131</v>
      </c>
      <c r="I10" s="19">
        <v>1</v>
      </c>
      <c r="J10" s="19">
        <v>0</v>
      </c>
      <c r="K10" s="19" t="s">
        <v>128</v>
      </c>
    </row>
    <row r="11" spans="2:11" x14ac:dyDescent="0.25">
      <c r="B11" s="19" t="s">
        <v>131</v>
      </c>
      <c r="C11" s="19">
        <v>1</v>
      </c>
      <c r="D11" s="19">
        <v>0</v>
      </c>
      <c r="E11" s="19">
        <v>0</v>
      </c>
      <c r="F11" s="19" t="s">
        <v>128</v>
      </c>
      <c r="G11" s="19"/>
      <c r="H11" s="19" t="s">
        <v>132</v>
      </c>
      <c r="I11" s="19">
        <v>1</v>
      </c>
      <c r="J11" s="19">
        <v>0</v>
      </c>
      <c r="K11" s="19" t="s">
        <v>133</v>
      </c>
    </row>
    <row r="12" spans="2:11" x14ac:dyDescent="0.25">
      <c r="B12" s="19" t="s">
        <v>134</v>
      </c>
      <c r="C12" s="19">
        <v>1</v>
      </c>
      <c r="D12" s="19">
        <v>0</v>
      </c>
      <c r="E12" s="19">
        <v>1</v>
      </c>
      <c r="F12" s="19" t="s">
        <v>135</v>
      </c>
      <c r="G12" s="19"/>
      <c r="H12" s="20" t="s">
        <v>136</v>
      </c>
      <c r="I12" s="19">
        <v>3</v>
      </c>
      <c r="J12" s="19">
        <v>0</v>
      </c>
      <c r="K12" s="19" t="s">
        <v>137</v>
      </c>
    </row>
    <row r="13" spans="2:11" x14ac:dyDescent="0.25">
      <c r="B13" s="19" t="s">
        <v>138</v>
      </c>
      <c r="C13" s="19">
        <v>3</v>
      </c>
      <c r="D13" s="19">
        <v>0</v>
      </c>
      <c r="E13" s="19">
        <v>0</v>
      </c>
      <c r="F13" s="19" t="s">
        <v>139</v>
      </c>
      <c r="G13" s="19"/>
      <c r="H13" s="19" t="s">
        <v>140</v>
      </c>
      <c r="I13" s="19">
        <v>18</v>
      </c>
      <c r="J13" s="19">
        <v>0</v>
      </c>
      <c r="K13" s="19" t="s">
        <v>141</v>
      </c>
    </row>
    <row r="14" spans="2:11" x14ac:dyDescent="0.25">
      <c r="B14" s="19" t="s">
        <v>142</v>
      </c>
      <c r="C14" s="19">
        <v>29</v>
      </c>
      <c r="D14" s="19">
        <v>0</v>
      </c>
      <c r="E14" s="19">
        <v>0</v>
      </c>
      <c r="F14" s="19" t="s">
        <v>143</v>
      </c>
      <c r="G14" s="19"/>
      <c r="H14" s="19" t="s">
        <v>144</v>
      </c>
      <c r="I14" s="19">
        <v>2</v>
      </c>
      <c r="J14" s="19">
        <v>0</v>
      </c>
      <c r="K14" s="19" t="s">
        <v>145</v>
      </c>
    </row>
    <row r="15" spans="2:11" x14ac:dyDescent="0.25">
      <c r="B15" s="19" t="s">
        <v>146</v>
      </c>
      <c r="C15" s="19">
        <v>0</v>
      </c>
      <c r="D15" s="19">
        <v>1</v>
      </c>
      <c r="E15" s="19">
        <v>0</v>
      </c>
      <c r="F15" s="19" t="s">
        <v>147</v>
      </c>
      <c r="G15" s="19"/>
      <c r="H15" s="19" t="s">
        <v>148</v>
      </c>
      <c r="I15" s="19">
        <v>2</v>
      </c>
      <c r="J15" s="19">
        <v>0</v>
      </c>
      <c r="K15" s="19" t="s">
        <v>145</v>
      </c>
    </row>
    <row r="16" spans="2:11" x14ac:dyDescent="0.25">
      <c r="B16" s="19" t="s">
        <v>132</v>
      </c>
      <c r="C16" s="19">
        <v>1</v>
      </c>
      <c r="D16" s="19">
        <v>0</v>
      </c>
      <c r="E16" s="19">
        <v>0</v>
      </c>
      <c r="F16" s="19" t="s">
        <v>18</v>
      </c>
      <c r="G16" s="19"/>
      <c r="H16" s="19" t="s">
        <v>149</v>
      </c>
      <c r="I16" s="19">
        <v>2</v>
      </c>
      <c r="J16" s="19">
        <v>0</v>
      </c>
      <c r="K16" s="19" t="s">
        <v>150</v>
      </c>
    </row>
    <row r="17" spans="2:11" x14ac:dyDescent="0.25">
      <c r="B17" s="19" t="s">
        <v>151</v>
      </c>
      <c r="C17" s="19">
        <v>1</v>
      </c>
      <c r="D17" s="19">
        <v>0</v>
      </c>
      <c r="E17" s="19">
        <v>1</v>
      </c>
      <c r="F17" s="19" t="s">
        <v>152</v>
      </c>
      <c r="G17" s="19"/>
      <c r="H17" s="19" t="s">
        <v>85</v>
      </c>
      <c r="I17" s="19">
        <v>1</v>
      </c>
      <c r="J17" s="57">
        <v>0</v>
      </c>
      <c r="K17" s="19" t="s">
        <v>153</v>
      </c>
    </row>
    <row r="18" spans="2:11" x14ac:dyDescent="0.25">
      <c r="B18" s="19" t="s">
        <v>154</v>
      </c>
      <c r="C18" s="19">
        <v>1</v>
      </c>
      <c r="D18" s="19">
        <v>0</v>
      </c>
      <c r="E18" s="19">
        <v>1</v>
      </c>
      <c r="F18" s="19" t="s">
        <v>155</v>
      </c>
      <c r="G18" s="19"/>
      <c r="H18" s="19"/>
      <c r="I18" s="19"/>
      <c r="J18" s="19"/>
      <c r="K18" s="19"/>
    </row>
    <row r="19" spans="2:11" x14ac:dyDescent="0.25">
      <c r="B19" s="19" t="s">
        <v>156</v>
      </c>
      <c r="C19" s="19">
        <v>1</v>
      </c>
      <c r="D19" s="19">
        <v>0</v>
      </c>
      <c r="E19" s="19">
        <v>0</v>
      </c>
      <c r="F19" s="19" t="s">
        <v>157</v>
      </c>
      <c r="G19" s="19"/>
      <c r="H19" s="19"/>
      <c r="I19" s="19"/>
      <c r="J19" s="19"/>
      <c r="K19" s="19"/>
    </row>
    <row r="20" spans="2:11" x14ac:dyDescent="0.25">
      <c r="B20" s="19" t="s">
        <v>158</v>
      </c>
      <c r="C20" s="19">
        <v>68</v>
      </c>
      <c r="D20" s="19">
        <v>0</v>
      </c>
      <c r="E20" s="19">
        <v>0</v>
      </c>
      <c r="F20" s="19" t="s">
        <v>159</v>
      </c>
      <c r="G20" s="19"/>
      <c r="H20" s="20"/>
      <c r="I20" s="20"/>
      <c r="J20" s="19"/>
      <c r="K20" s="19"/>
    </row>
    <row r="21" spans="2:11" x14ac:dyDescent="0.25">
      <c r="B21" s="19" t="s">
        <v>144</v>
      </c>
      <c r="C21" s="53">
        <v>2</v>
      </c>
      <c r="D21" s="53">
        <v>0</v>
      </c>
      <c r="E21" s="53">
        <v>0</v>
      </c>
      <c r="F21" s="19" t="s">
        <v>145</v>
      </c>
      <c r="G21" s="19"/>
      <c r="H21" s="20"/>
      <c r="I21" s="20"/>
      <c r="J21" s="19"/>
      <c r="K21" s="19"/>
    </row>
    <row r="22" spans="2:11" x14ac:dyDescent="0.25">
      <c r="B22" s="19" t="s">
        <v>148</v>
      </c>
      <c r="C22" s="53">
        <v>2</v>
      </c>
      <c r="D22" s="53">
        <v>0</v>
      </c>
      <c r="E22" s="53">
        <v>0</v>
      </c>
      <c r="F22" s="19" t="s">
        <v>145</v>
      </c>
      <c r="G22" s="19"/>
      <c r="H22" s="20"/>
      <c r="I22" s="20"/>
      <c r="J22" s="19"/>
      <c r="K22" s="19"/>
    </row>
    <row r="23" spans="2:11" x14ac:dyDescent="0.25">
      <c r="B23" s="19" t="s">
        <v>160</v>
      </c>
      <c r="C23" s="54">
        <v>6</v>
      </c>
      <c r="D23" s="55">
        <v>0</v>
      </c>
      <c r="E23" s="56">
        <v>0</v>
      </c>
      <c r="F23" s="19" t="s">
        <v>161</v>
      </c>
      <c r="G23" s="19"/>
      <c r="H23" s="20"/>
      <c r="I23" s="20"/>
      <c r="J23" s="19"/>
      <c r="K23" s="19"/>
    </row>
    <row r="24" spans="2:11" x14ac:dyDescent="0.25">
      <c r="B24" s="19" t="s">
        <v>140</v>
      </c>
      <c r="C24" s="19">
        <v>18</v>
      </c>
      <c r="D24" s="19">
        <v>0</v>
      </c>
      <c r="E24" s="19">
        <v>0</v>
      </c>
      <c r="F24" s="19" t="s">
        <v>18</v>
      </c>
      <c r="G24" s="12"/>
      <c r="H24" s="21"/>
      <c r="I24" s="25"/>
      <c r="J24" s="25"/>
      <c r="K24" s="19"/>
    </row>
    <row r="25" spans="2:11" x14ac:dyDescent="0.25">
      <c r="B25" s="19"/>
      <c r="C25" s="19"/>
      <c r="D25" s="19"/>
      <c r="E25" s="19"/>
      <c r="F25" s="19"/>
      <c r="G25" s="12"/>
      <c r="H25" s="22"/>
      <c r="I25" s="15"/>
      <c r="J25" s="15"/>
      <c r="K25" s="18"/>
    </row>
    <row r="26" spans="2:11" ht="15" thickBot="1" x14ac:dyDescent="0.3">
      <c r="B26" s="35" t="s">
        <v>32</v>
      </c>
      <c r="C26" s="45">
        <f>SUM(C7,C8,C9,C10,C11,C12,C13,C14,C15,C16,C17,C18,C19,C20,C21,C22,C23,C24)</f>
        <v>186</v>
      </c>
      <c r="D26" s="45">
        <f>SUM(D7,D8,D9,D10,D11,D12,D13,D14,D15,D16,D17,D18,D19,D20,D21,D22,D23)</f>
        <v>1</v>
      </c>
      <c r="E26" s="45">
        <f>SUM(E7,E8,E9,E10,E11,E12,E13,E14,E15,E16,E17,E18,E19,E20,E21,E22,E23)</f>
        <v>3</v>
      </c>
      <c r="F26" s="42"/>
      <c r="G26" s="43"/>
      <c r="H26" s="44" t="s">
        <v>32</v>
      </c>
      <c r="I26" s="45">
        <f>SUM(I7,I8,I9,I10,I11,I12,I13,I14,I15,I16,I17,I18,I19,I20,I21,I22,I23)</f>
        <v>81</v>
      </c>
      <c r="J26" s="45">
        <f>SUM(J7,J8,J9,J10,J11,J12,J13,J14,J15,J16,J17,J18,J19,J20,J21,J22,J23)</f>
        <v>0</v>
      </c>
      <c r="K26" s="46"/>
    </row>
    <row r="27" spans="2:11" x14ac:dyDescent="0.25">
      <c r="B27" s="36"/>
      <c r="C27" s="37"/>
      <c r="D27" s="38"/>
      <c r="E27" s="38"/>
      <c r="F27" s="39"/>
      <c r="G27" s="40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36.6" customHeight="1" x14ac:dyDescent="0.25">
      <c r="B29" s="32" t="s">
        <v>6</v>
      </c>
      <c r="C29" s="31" t="s">
        <v>34</v>
      </c>
      <c r="D29" s="30" t="s">
        <v>11</v>
      </c>
      <c r="E29" s="29" t="s">
        <v>9</v>
      </c>
      <c r="F29" s="31" t="s">
        <v>10</v>
      </c>
      <c r="G29" s="2"/>
      <c r="H29" s="1"/>
      <c r="I29" s="1"/>
      <c r="J29" s="1"/>
      <c r="K29" s="1"/>
    </row>
    <row r="30" spans="2:11" ht="15" x14ac:dyDescent="0.25">
      <c r="B30" s="19"/>
      <c r="C30" s="24"/>
      <c r="D30" s="17"/>
      <c r="E30" s="17"/>
      <c r="F30" s="19"/>
      <c r="G30" s="2"/>
      <c r="H30" s="1"/>
      <c r="I30" s="1"/>
      <c r="J30" s="1"/>
      <c r="K30" s="1"/>
    </row>
    <row r="31" spans="2:11" x14ac:dyDescent="0.25">
      <c r="B31" s="19"/>
      <c r="C31" s="24"/>
      <c r="D31" s="17"/>
      <c r="E31" s="17"/>
      <c r="F31" s="23"/>
    </row>
    <row r="32" spans="2:11" x14ac:dyDescent="0.25">
      <c r="B32" s="19"/>
      <c r="C32" s="24"/>
      <c r="D32" s="17"/>
      <c r="E32" s="17"/>
      <c r="F32" s="23"/>
    </row>
  </sheetData>
  <mergeCells count="4">
    <mergeCell ref="B2:K2"/>
    <mergeCell ref="B5:F5"/>
    <mergeCell ref="H5:K5"/>
    <mergeCell ref="B28:F28"/>
  </mergeCells>
  <phoneticPr fontId="2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F47F-B72B-4E35-84BD-0A6B02F9870B}">
  <dimension ref="B2:L27"/>
  <sheetViews>
    <sheetView topLeftCell="A3" workbookViewId="0">
      <selection activeCell="I26" sqref="I26"/>
    </sheetView>
  </sheetViews>
  <sheetFormatPr defaultRowHeight="14.4" x14ac:dyDescent="0.25"/>
  <cols>
    <col min="2" max="2" width="26.44140625" customWidth="1"/>
    <col min="3" max="3" width="13.21875" customWidth="1"/>
    <col min="4" max="4" width="14.88671875" customWidth="1"/>
    <col min="5" max="5" width="11.88671875" customWidth="1"/>
    <col min="6" max="6" width="19.77734375" customWidth="1"/>
    <col min="8" max="8" width="24.109375" customWidth="1"/>
    <col min="10" max="10" width="11.44140625" customWidth="1"/>
    <col min="11" max="11" width="24.44140625" customWidth="1"/>
  </cols>
  <sheetData>
    <row r="2" spans="2:12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2" ht="17.399999999999999" x14ac:dyDescent="0.25">
      <c r="B3" s="49" t="s">
        <v>1</v>
      </c>
      <c r="C3" s="34">
        <v>46303</v>
      </c>
      <c r="D3" s="7"/>
      <c r="E3" s="8"/>
      <c r="F3" s="8"/>
      <c r="G3" s="9"/>
      <c r="H3" s="10"/>
      <c r="I3" s="10"/>
      <c r="J3" s="10" t="s">
        <v>2</v>
      </c>
      <c r="K3" s="64" t="s">
        <v>3</v>
      </c>
    </row>
    <row r="4" spans="2:12" x14ac:dyDescent="0.25">
      <c r="B4" s="14"/>
      <c r="C4" s="14"/>
      <c r="D4" s="14"/>
      <c r="E4" s="14"/>
      <c r="F4" s="14"/>
      <c r="G4" s="27"/>
      <c r="H4" s="28"/>
      <c r="I4" s="28"/>
      <c r="J4" s="28"/>
      <c r="K4" s="65"/>
    </row>
    <row r="5" spans="2:12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5"/>
    </row>
    <row r="6" spans="2:12" ht="52.8" x14ac:dyDescent="0.25">
      <c r="B6" s="58" t="s">
        <v>6</v>
      </c>
      <c r="C6" s="59" t="s">
        <v>7</v>
      </c>
      <c r="D6" s="60" t="s">
        <v>8</v>
      </c>
      <c r="E6" s="60" t="s">
        <v>9</v>
      </c>
      <c r="F6" s="60" t="s">
        <v>10</v>
      </c>
      <c r="G6" s="61"/>
      <c r="H6" s="62" t="s">
        <v>6</v>
      </c>
      <c r="I6" s="59" t="s">
        <v>11</v>
      </c>
      <c r="J6" s="70" t="s">
        <v>12</v>
      </c>
      <c r="K6" s="73" t="s">
        <v>10</v>
      </c>
    </row>
    <row r="7" spans="2:12" x14ac:dyDescent="0.25">
      <c r="B7" s="19" t="s">
        <v>162</v>
      </c>
      <c r="C7" s="19">
        <v>3</v>
      </c>
      <c r="D7" s="19">
        <v>0</v>
      </c>
      <c r="E7" s="19">
        <v>0</v>
      </c>
      <c r="F7" s="19" t="s">
        <v>128</v>
      </c>
      <c r="G7" s="19"/>
      <c r="H7" s="19" t="s">
        <v>162</v>
      </c>
      <c r="I7" s="19">
        <v>3</v>
      </c>
      <c r="J7" s="66">
        <v>0</v>
      </c>
      <c r="K7" s="19" t="s">
        <v>128</v>
      </c>
      <c r="L7" s="69"/>
    </row>
    <row r="8" spans="2:12" x14ac:dyDescent="0.25">
      <c r="B8" s="19" t="s">
        <v>163</v>
      </c>
      <c r="C8" s="19">
        <v>2</v>
      </c>
      <c r="D8" s="19">
        <v>0</v>
      </c>
      <c r="E8" s="19">
        <v>0</v>
      </c>
      <c r="F8" s="19" t="s">
        <v>128</v>
      </c>
      <c r="G8" s="19"/>
      <c r="H8" s="19" t="s">
        <v>163</v>
      </c>
      <c r="I8" s="19">
        <v>2</v>
      </c>
      <c r="J8" s="66">
        <v>0</v>
      </c>
      <c r="K8" s="19" t="s">
        <v>128</v>
      </c>
    </row>
    <row r="9" spans="2:12" x14ac:dyDescent="0.25">
      <c r="B9" s="19" t="s">
        <v>164</v>
      </c>
      <c r="C9" s="19">
        <v>2</v>
      </c>
      <c r="D9" s="19">
        <v>0</v>
      </c>
      <c r="E9" s="19">
        <v>0</v>
      </c>
      <c r="F9" s="19" t="s">
        <v>128</v>
      </c>
      <c r="G9" s="19"/>
      <c r="H9" s="19" t="s">
        <v>164</v>
      </c>
      <c r="I9" s="19">
        <v>2</v>
      </c>
      <c r="J9" s="66">
        <v>0</v>
      </c>
      <c r="K9" s="19" t="s">
        <v>128</v>
      </c>
      <c r="L9" s="69"/>
    </row>
    <row r="10" spans="2:12" ht="15.6" customHeight="1" x14ac:dyDescent="0.25">
      <c r="B10" s="19" t="s">
        <v>165</v>
      </c>
      <c r="C10" s="19">
        <v>23</v>
      </c>
      <c r="D10" s="19">
        <v>0</v>
      </c>
      <c r="E10" s="19">
        <v>23</v>
      </c>
      <c r="F10" s="19" t="s">
        <v>166</v>
      </c>
      <c r="G10" s="19"/>
      <c r="H10" s="20" t="s">
        <v>79</v>
      </c>
      <c r="I10" s="19">
        <v>2</v>
      </c>
      <c r="J10" s="66">
        <v>0</v>
      </c>
      <c r="K10" s="20" t="s">
        <v>167</v>
      </c>
    </row>
    <row r="11" spans="2:12" x14ac:dyDescent="0.25">
      <c r="B11" s="19" t="s">
        <v>168</v>
      </c>
      <c r="C11" s="19">
        <v>127</v>
      </c>
      <c r="D11" s="19">
        <v>0</v>
      </c>
      <c r="E11" s="19">
        <v>0</v>
      </c>
      <c r="F11" s="19" t="s">
        <v>169</v>
      </c>
      <c r="G11" s="19"/>
      <c r="H11" s="19" t="s">
        <v>13</v>
      </c>
      <c r="I11" s="19">
        <v>2</v>
      </c>
      <c r="J11" s="66">
        <v>0</v>
      </c>
      <c r="K11" s="19" t="s">
        <v>170</v>
      </c>
    </row>
    <row r="12" spans="2:12" x14ac:dyDescent="0.25">
      <c r="B12" s="19" t="s">
        <v>168</v>
      </c>
      <c r="C12" s="19">
        <v>11</v>
      </c>
      <c r="D12" s="19">
        <v>0</v>
      </c>
      <c r="E12" s="19">
        <v>0</v>
      </c>
      <c r="F12" s="19" t="s">
        <v>171</v>
      </c>
      <c r="G12" s="19"/>
      <c r="H12" s="19" t="s">
        <v>172</v>
      </c>
      <c r="I12" s="19">
        <v>1</v>
      </c>
      <c r="J12" s="66">
        <v>0</v>
      </c>
      <c r="K12" s="19" t="s">
        <v>173</v>
      </c>
    </row>
    <row r="13" spans="2:12" x14ac:dyDescent="0.25">
      <c r="B13" s="19" t="s">
        <v>174</v>
      </c>
      <c r="C13" s="19">
        <v>4</v>
      </c>
      <c r="D13" s="19">
        <v>0</v>
      </c>
      <c r="E13" s="19">
        <v>0</v>
      </c>
      <c r="F13" s="19" t="s">
        <v>175</v>
      </c>
      <c r="G13" s="19"/>
      <c r="H13" s="19" t="s">
        <v>176</v>
      </c>
      <c r="I13" s="19">
        <v>1</v>
      </c>
      <c r="J13" s="66">
        <v>0</v>
      </c>
      <c r="K13" s="19" t="s">
        <v>177</v>
      </c>
    </row>
    <row r="14" spans="2:12" x14ac:dyDescent="0.25">
      <c r="B14" s="19" t="s">
        <v>178</v>
      </c>
      <c r="C14" s="19">
        <v>124</v>
      </c>
      <c r="D14" s="19">
        <v>0</v>
      </c>
      <c r="E14" s="19">
        <v>0</v>
      </c>
      <c r="F14" s="19" t="s">
        <v>179</v>
      </c>
      <c r="G14" s="19"/>
      <c r="H14" s="19" t="s">
        <v>180</v>
      </c>
      <c r="I14" s="19">
        <v>1</v>
      </c>
      <c r="J14" s="66">
        <v>0</v>
      </c>
      <c r="K14" s="19" t="s">
        <v>181</v>
      </c>
    </row>
    <row r="15" spans="2:12" x14ac:dyDescent="0.25">
      <c r="B15" s="19" t="s">
        <v>182</v>
      </c>
      <c r="C15" s="19">
        <v>1</v>
      </c>
      <c r="D15" s="19">
        <v>0</v>
      </c>
      <c r="E15" s="19">
        <v>0</v>
      </c>
      <c r="F15" s="19" t="s">
        <v>169</v>
      </c>
      <c r="G15" s="19"/>
      <c r="H15" s="19"/>
      <c r="I15" s="19"/>
      <c r="J15" s="71"/>
      <c r="K15" s="19"/>
    </row>
    <row r="16" spans="2:12" x14ac:dyDescent="0.25">
      <c r="B16" s="19"/>
      <c r="C16" s="19"/>
      <c r="D16" s="19"/>
      <c r="E16" s="19"/>
      <c r="F16" s="19"/>
      <c r="G16" s="19"/>
      <c r="H16" s="19"/>
      <c r="I16" s="19"/>
      <c r="J16" s="66"/>
      <c r="K16" s="19"/>
    </row>
    <row r="17" spans="2:11" x14ac:dyDescent="0.25">
      <c r="B17" s="19"/>
      <c r="C17" s="19"/>
      <c r="D17" s="19"/>
      <c r="E17" s="19"/>
      <c r="F17" s="19"/>
      <c r="G17" s="12"/>
      <c r="H17" s="21"/>
      <c r="I17" s="25"/>
      <c r="J17" s="72"/>
      <c r="K17" s="19"/>
    </row>
    <row r="18" spans="2:11" x14ac:dyDescent="0.25">
      <c r="B18" s="19"/>
      <c r="C18" s="19"/>
      <c r="D18" s="19"/>
      <c r="E18" s="19"/>
      <c r="F18" s="19"/>
      <c r="G18" s="12"/>
      <c r="H18" s="22"/>
      <c r="I18" s="15"/>
      <c r="J18" s="15"/>
      <c r="K18" s="67"/>
    </row>
    <row r="19" spans="2:11" ht="15" thickBot="1" x14ac:dyDescent="0.3">
      <c r="B19" s="35" t="s">
        <v>32</v>
      </c>
      <c r="C19" s="45">
        <f>+SUM(C7,C8,C9,C10,C11,C12,C13,C14,C15)</f>
        <v>297</v>
      </c>
      <c r="D19" s="45">
        <f>+SUM(D7,D8,D9,D10,D11,D12,D13,D14,D15)</f>
        <v>0</v>
      </c>
      <c r="E19" s="45"/>
      <c r="F19" s="42"/>
      <c r="G19" s="43"/>
      <c r="H19" s="44"/>
      <c r="I19" s="45">
        <f>+SUM(I7,I8,I9,I10,I11,I12,I13,I14,I15)</f>
        <v>14</v>
      </c>
      <c r="J19" s="45">
        <f>+SUM(J7,J8,J9,J10,J11,J12,J13,J14,J15)</f>
        <v>0</v>
      </c>
      <c r="K19" s="68"/>
    </row>
    <row r="20" spans="2:11" x14ac:dyDescent="0.25">
      <c r="B20" s="36"/>
      <c r="C20" s="37"/>
      <c r="D20" s="38"/>
      <c r="E20" s="38"/>
      <c r="F20" s="39"/>
      <c r="G20" s="40"/>
      <c r="H20" s="74"/>
      <c r="I20" s="74"/>
      <c r="J20" s="74"/>
      <c r="K20" s="74"/>
    </row>
    <row r="21" spans="2:11" ht="15" x14ac:dyDescent="0.25">
      <c r="B21" s="137" t="s">
        <v>33</v>
      </c>
      <c r="C21" s="137"/>
      <c r="D21" s="138"/>
      <c r="E21" s="138"/>
      <c r="F21" s="137"/>
      <c r="G21" s="2"/>
      <c r="H21" s="47"/>
      <c r="I21" s="48"/>
      <c r="J21" s="6"/>
      <c r="K21" s="1"/>
    </row>
    <row r="22" spans="2:11" ht="37.950000000000003" customHeight="1" x14ac:dyDescent="0.25">
      <c r="B22" s="32" t="s">
        <v>6</v>
      </c>
      <c r="C22" s="31" t="s">
        <v>34</v>
      </c>
      <c r="D22" s="30" t="s">
        <v>11</v>
      </c>
      <c r="E22" s="29" t="s">
        <v>9</v>
      </c>
      <c r="F22" s="31" t="s">
        <v>10</v>
      </c>
      <c r="G22" s="2"/>
      <c r="H22" s="1"/>
      <c r="I22" s="1"/>
      <c r="J22" s="1"/>
      <c r="K22" s="1"/>
    </row>
    <row r="23" spans="2:11" ht="15" x14ac:dyDescent="0.25">
      <c r="B23" s="19" t="s">
        <v>151</v>
      </c>
      <c r="C23" s="24">
        <v>46302</v>
      </c>
      <c r="D23" s="17">
        <v>1</v>
      </c>
      <c r="E23" s="17">
        <v>1</v>
      </c>
      <c r="F23" s="51" t="s">
        <v>152</v>
      </c>
      <c r="G23" s="2"/>
      <c r="H23" s="1"/>
      <c r="I23" s="1"/>
      <c r="J23" s="1"/>
      <c r="K23" s="1"/>
    </row>
    <row r="24" spans="2:11" x14ac:dyDescent="0.25">
      <c r="B24" s="19" t="s">
        <v>154</v>
      </c>
      <c r="C24" s="24">
        <v>46302</v>
      </c>
      <c r="D24" s="17">
        <v>1</v>
      </c>
      <c r="E24" s="17">
        <v>1</v>
      </c>
      <c r="F24" s="51" t="s">
        <v>155</v>
      </c>
    </row>
    <row r="25" spans="2:11" x14ac:dyDescent="0.25">
      <c r="B25" s="19" t="s">
        <v>156</v>
      </c>
      <c r="C25" s="24">
        <v>46302</v>
      </c>
      <c r="D25" s="17">
        <v>1</v>
      </c>
      <c r="E25" s="17">
        <v>1</v>
      </c>
      <c r="F25" s="51" t="s">
        <v>157</v>
      </c>
    </row>
    <row r="26" spans="2:11" x14ac:dyDescent="0.25">
      <c r="B26" s="19" t="s">
        <v>134</v>
      </c>
      <c r="C26" s="24">
        <v>46302</v>
      </c>
      <c r="D26" s="17">
        <v>1</v>
      </c>
      <c r="E26" s="17">
        <v>1</v>
      </c>
      <c r="F26" s="63" t="s">
        <v>183</v>
      </c>
    </row>
    <row r="27" spans="2:11" x14ac:dyDescent="0.25">
      <c r="B27" s="19"/>
      <c r="C27" s="24"/>
      <c r="D27" s="17"/>
      <c r="E27" s="17"/>
      <c r="F27" s="19"/>
    </row>
  </sheetData>
  <mergeCells count="4">
    <mergeCell ref="B2:K2"/>
    <mergeCell ref="B5:F5"/>
    <mergeCell ref="H5:K5"/>
    <mergeCell ref="B21:F21"/>
  </mergeCells>
  <phoneticPr fontId="2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1302-63A3-47F7-A8C1-4C6C04ABCFF1}">
  <dimension ref="B2:K34"/>
  <sheetViews>
    <sheetView workbookViewId="0">
      <selection activeCell="H13" sqref="H13"/>
    </sheetView>
  </sheetViews>
  <sheetFormatPr defaultRowHeight="14.4" x14ac:dyDescent="0.25"/>
  <cols>
    <col min="2" max="2" width="27.109375" customWidth="1"/>
    <col min="3" max="3" width="14.6640625" customWidth="1"/>
    <col min="4" max="4" width="11.21875" customWidth="1"/>
    <col min="5" max="5" width="12" style="95" customWidth="1"/>
    <col min="6" max="6" width="18.77734375" customWidth="1"/>
    <col min="8" max="8" width="21.44140625" customWidth="1"/>
    <col min="9" max="9" width="9.44140625" customWidth="1"/>
    <col min="10" max="10" width="17" customWidth="1"/>
    <col min="11" max="11" width="21.1093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46304</v>
      </c>
      <c r="D3" s="7"/>
      <c r="E3" s="7"/>
      <c r="F3" s="8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87"/>
      <c r="F4" s="14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5"/>
    </row>
    <row r="6" spans="2:11" ht="39.6" x14ac:dyDescent="0.25">
      <c r="B6" s="85" t="s">
        <v>6</v>
      </c>
      <c r="C6" s="59" t="s">
        <v>7</v>
      </c>
      <c r="D6" s="60" t="s">
        <v>8</v>
      </c>
      <c r="E6" s="88" t="s">
        <v>9</v>
      </c>
      <c r="F6" s="60" t="s">
        <v>10</v>
      </c>
      <c r="G6" s="61"/>
      <c r="H6" s="62" t="s">
        <v>6</v>
      </c>
      <c r="I6" s="59" t="s">
        <v>11</v>
      </c>
      <c r="J6" s="70" t="s">
        <v>12</v>
      </c>
      <c r="K6" s="58" t="s">
        <v>10</v>
      </c>
    </row>
    <row r="7" spans="2:11" x14ac:dyDescent="0.25">
      <c r="B7" s="96" t="s">
        <v>184</v>
      </c>
      <c r="C7" s="83">
        <v>0</v>
      </c>
      <c r="D7" s="83">
        <v>1</v>
      </c>
      <c r="E7" s="83">
        <v>1</v>
      </c>
      <c r="F7" s="83" t="s">
        <v>185</v>
      </c>
      <c r="G7" s="83"/>
      <c r="H7" s="83" t="s">
        <v>186</v>
      </c>
      <c r="I7" s="83">
        <v>37</v>
      </c>
      <c r="J7" s="83">
        <v>0</v>
      </c>
      <c r="K7" s="83" t="s">
        <v>187</v>
      </c>
    </row>
    <row r="8" spans="2:11" x14ac:dyDescent="0.25">
      <c r="B8" s="96" t="s">
        <v>186</v>
      </c>
      <c r="C8" s="83">
        <v>37</v>
      </c>
      <c r="D8" s="83">
        <v>0</v>
      </c>
      <c r="E8" s="83">
        <v>0</v>
      </c>
      <c r="F8" s="83" t="s">
        <v>188</v>
      </c>
      <c r="G8" s="83"/>
      <c r="H8" s="83" t="s">
        <v>189</v>
      </c>
      <c r="I8" s="83">
        <v>8</v>
      </c>
      <c r="J8" s="83">
        <v>0</v>
      </c>
      <c r="K8" s="83" t="s">
        <v>190</v>
      </c>
    </row>
    <row r="9" spans="2:11" ht="15" x14ac:dyDescent="0.3">
      <c r="B9" s="96" t="s">
        <v>191</v>
      </c>
      <c r="C9" s="83">
        <v>1</v>
      </c>
      <c r="D9" s="83">
        <v>0</v>
      </c>
      <c r="E9" s="83">
        <v>0</v>
      </c>
      <c r="F9" s="83" t="s">
        <v>192</v>
      </c>
      <c r="G9" s="83"/>
      <c r="H9" s="97" t="s">
        <v>21</v>
      </c>
      <c r="I9" s="83">
        <v>2</v>
      </c>
      <c r="J9" s="83">
        <v>0</v>
      </c>
      <c r="K9" s="83" t="s">
        <v>193</v>
      </c>
    </row>
    <row r="10" spans="2:11" ht="18" customHeight="1" x14ac:dyDescent="0.25">
      <c r="B10" s="96" t="s">
        <v>194</v>
      </c>
      <c r="C10" s="83">
        <v>1</v>
      </c>
      <c r="D10" s="83">
        <v>0</v>
      </c>
      <c r="E10" s="83">
        <v>0</v>
      </c>
      <c r="F10" s="83" t="s">
        <v>195</v>
      </c>
      <c r="G10" s="83"/>
      <c r="H10" s="99" t="s">
        <v>196</v>
      </c>
      <c r="I10" s="83">
        <v>5</v>
      </c>
      <c r="J10" s="83">
        <v>0</v>
      </c>
      <c r="K10" s="98" t="s">
        <v>197</v>
      </c>
    </row>
    <row r="11" spans="2:11" x14ac:dyDescent="0.25">
      <c r="B11" s="96" t="s">
        <v>198</v>
      </c>
      <c r="C11" s="83">
        <v>1</v>
      </c>
      <c r="D11" s="83">
        <v>0</v>
      </c>
      <c r="E11" s="83">
        <v>0</v>
      </c>
      <c r="F11" s="83" t="s">
        <v>199</v>
      </c>
      <c r="G11" s="83"/>
      <c r="H11" s="83"/>
      <c r="I11" s="83"/>
      <c r="J11" s="83"/>
      <c r="K11" s="83"/>
    </row>
    <row r="12" spans="2:11" x14ac:dyDescent="0.25">
      <c r="B12" s="96" t="s">
        <v>151</v>
      </c>
      <c r="C12" s="83">
        <v>20</v>
      </c>
      <c r="D12" s="83">
        <v>0</v>
      </c>
      <c r="E12" s="83">
        <v>0</v>
      </c>
      <c r="F12" s="83" t="s">
        <v>200</v>
      </c>
      <c r="G12" s="83"/>
      <c r="H12" s="83"/>
      <c r="I12" s="83"/>
      <c r="J12" s="83"/>
      <c r="K12" s="83"/>
    </row>
    <row r="13" spans="2:11" x14ac:dyDescent="0.25">
      <c r="B13" s="96" t="s">
        <v>151</v>
      </c>
      <c r="C13" s="83">
        <v>12</v>
      </c>
      <c r="D13" s="83">
        <v>0</v>
      </c>
      <c r="E13" s="83">
        <v>0</v>
      </c>
      <c r="F13" s="83" t="s">
        <v>201</v>
      </c>
      <c r="G13" s="83"/>
      <c r="H13" s="83"/>
      <c r="I13" s="83"/>
      <c r="J13" s="83"/>
      <c r="K13" s="83"/>
    </row>
    <row r="14" spans="2:11" x14ac:dyDescent="0.25">
      <c r="B14" s="86" t="s">
        <v>151</v>
      </c>
      <c r="C14" s="83">
        <v>19</v>
      </c>
      <c r="D14" s="83">
        <v>0</v>
      </c>
      <c r="E14" s="83">
        <v>0</v>
      </c>
      <c r="F14" s="83" t="s">
        <v>202</v>
      </c>
      <c r="G14" s="83"/>
      <c r="H14" s="83"/>
      <c r="I14" s="83"/>
      <c r="J14" s="83"/>
      <c r="K14" s="83"/>
    </row>
    <row r="15" spans="2:11" x14ac:dyDescent="0.25">
      <c r="B15" s="86" t="s">
        <v>203</v>
      </c>
      <c r="C15" s="83">
        <v>4</v>
      </c>
      <c r="D15" s="83">
        <v>0</v>
      </c>
      <c r="E15" s="83">
        <v>0</v>
      </c>
      <c r="F15" s="83" t="s">
        <v>204</v>
      </c>
      <c r="G15" s="83"/>
      <c r="H15" s="83"/>
      <c r="I15" s="83"/>
      <c r="J15" s="83"/>
      <c r="K15" s="83"/>
    </row>
    <row r="16" spans="2:11" x14ac:dyDescent="0.25">
      <c r="B16" s="86" t="s">
        <v>205</v>
      </c>
      <c r="C16" s="83">
        <v>1</v>
      </c>
      <c r="D16" s="83">
        <v>0</v>
      </c>
      <c r="E16" s="83">
        <v>0</v>
      </c>
      <c r="F16" s="83" t="s">
        <v>206</v>
      </c>
      <c r="G16" s="83"/>
      <c r="H16" s="83"/>
      <c r="I16" s="83"/>
      <c r="J16" s="83"/>
      <c r="K16" s="83"/>
    </row>
    <row r="17" spans="2:11" x14ac:dyDescent="0.25">
      <c r="B17" s="86" t="s">
        <v>207</v>
      </c>
      <c r="C17" s="83">
        <v>2</v>
      </c>
      <c r="D17" s="83">
        <v>0</v>
      </c>
      <c r="E17" s="83">
        <v>0</v>
      </c>
      <c r="F17" s="83" t="s">
        <v>208</v>
      </c>
      <c r="G17" s="84"/>
      <c r="H17" s="75"/>
      <c r="I17" s="76"/>
      <c r="J17" s="76"/>
      <c r="K17" s="83"/>
    </row>
    <row r="18" spans="2:11" x14ac:dyDescent="0.25">
      <c r="B18" s="86" t="s">
        <v>209</v>
      </c>
      <c r="C18" s="83">
        <v>22</v>
      </c>
      <c r="D18" s="83">
        <v>0</v>
      </c>
      <c r="E18" s="83">
        <v>0</v>
      </c>
      <c r="F18" s="83" t="s">
        <v>210</v>
      </c>
      <c r="G18" s="84"/>
      <c r="H18" s="75"/>
      <c r="I18" s="76"/>
      <c r="J18" s="76"/>
      <c r="K18" s="83"/>
    </row>
    <row r="19" spans="2:11" x14ac:dyDescent="0.25">
      <c r="B19" s="86" t="s">
        <v>211</v>
      </c>
      <c r="C19" s="83">
        <v>4</v>
      </c>
      <c r="D19" s="83">
        <v>0</v>
      </c>
      <c r="E19" s="83">
        <v>0</v>
      </c>
      <c r="F19" s="83" t="s">
        <v>212</v>
      </c>
      <c r="G19" s="84"/>
      <c r="H19" s="75"/>
      <c r="I19" s="76"/>
      <c r="J19" s="76"/>
      <c r="K19" s="83"/>
    </row>
    <row r="20" spans="2:11" x14ac:dyDescent="0.25">
      <c r="B20" s="86" t="s">
        <v>213</v>
      </c>
      <c r="C20" s="83">
        <v>6</v>
      </c>
      <c r="D20" s="83">
        <v>0</v>
      </c>
      <c r="E20" s="83">
        <v>0</v>
      </c>
      <c r="F20" s="83" t="s">
        <v>214</v>
      </c>
      <c r="G20" s="84"/>
      <c r="H20" s="75"/>
      <c r="I20" s="76"/>
      <c r="J20" s="76"/>
      <c r="K20" s="83"/>
    </row>
    <row r="21" spans="2:11" x14ac:dyDescent="0.25">
      <c r="B21" s="86" t="s">
        <v>215</v>
      </c>
      <c r="C21" s="83">
        <v>0</v>
      </c>
      <c r="D21" s="83">
        <v>3</v>
      </c>
      <c r="E21" s="83">
        <v>0</v>
      </c>
      <c r="F21" s="83" t="s">
        <v>216</v>
      </c>
      <c r="G21" s="84"/>
      <c r="H21" s="75"/>
      <c r="I21" s="76"/>
      <c r="J21" s="76"/>
      <c r="K21" s="83"/>
    </row>
    <row r="22" spans="2:11" x14ac:dyDescent="0.25">
      <c r="B22" s="86" t="s">
        <v>196</v>
      </c>
      <c r="C22" s="83">
        <v>5</v>
      </c>
      <c r="D22" s="83">
        <v>0</v>
      </c>
      <c r="E22" s="83">
        <v>0</v>
      </c>
      <c r="F22" s="83" t="s">
        <v>188</v>
      </c>
      <c r="G22" s="84"/>
      <c r="H22" s="75"/>
      <c r="I22" s="76"/>
      <c r="J22" s="76"/>
      <c r="K22" s="83"/>
    </row>
    <row r="23" spans="2:11" x14ac:dyDescent="0.25">
      <c r="B23" s="86" t="s">
        <v>217</v>
      </c>
      <c r="C23" s="83">
        <v>2</v>
      </c>
      <c r="D23" s="83">
        <v>0</v>
      </c>
      <c r="E23" s="83">
        <v>0</v>
      </c>
      <c r="F23" s="83" t="s">
        <v>218</v>
      </c>
      <c r="G23" s="84"/>
      <c r="H23" s="75"/>
      <c r="I23" s="76"/>
      <c r="J23" s="76"/>
      <c r="K23" s="83"/>
    </row>
    <row r="24" spans="2:11" x14ac:dyDescent="0.25">
      <c r="B24" s="69"/>
      <c r="C24" s="69"/>
      <c r="D24" s="69"/>
      <c r="E24" s="89"/>
      <c r="F24" s="69"/>
      <c r="G24" s="12"/>
      <c r="H24" s="81"/>
      <c r="I24" s="82"/>
      <c r="J24" s="82"/>
      <c r="K24" s="69"/>
    </row>
    <row r="25" spans="2:11" ht="15" thickBot="1" x14ac:dyDescent="0.3">
      <c r="B25" s="35" t="s">
        <v>32</v>
      </c>
      <c r="C25" s="45">
        <f>SUM(C7,C8,C9,C10,C11,C12,C14,C13,C15,C16,C17,C18,C19,C20,C21,C22,C23)</f>
        <v>137</v>
      </c>
      <c r="D25" s="45">
        <f>+SUM(D7,D8,D9,D10,D11,D12,D13,D14,D15,G26,D16,D17,D18,D19,D20)</f>
        <v>1</v>
      </c>
      <c r="E25" s="90">
        <f>+SUM(E7,E8,E9,E10,E11,E12,E13,E14,E15,H26,E16,E17,E18,E19,E20)</f>
        <v>1</v>
      </c>
      <c r="F25" s="42"/>
      <c r="G25" s="43"/>
      <c r="H25" s="44"/>
      <c r="I25" s="45">
        <f>+SUM(I7,I8,I9,I10,I11,I12,I13,I14,I15)</f>
        <v>52</v>
      </c>
      <c r="J25" s="45">
        <f>+SUM(J7,J8,J9,J10,J11,J12,J13,J14,J15)</f>
        <v>0</v>
      </c>
      <c r="K25" s="68"/>
    </row>
    <row r="26" spans="2:11" x14ac:dyDescent="0.25">
      <c r="B26" s="36"/>
      <c r="C26" s="37"/>
      <c r="D26" s="38"/>
      <c r="E26" s="91"/>
      <c r="F26" s="39"/>
      <c r="G26" s="40"/>
      <c r="H26" s="74"/>
      <c r="I26" s="74"/>
      <c r="J26" s="74"/>
      <c r="K26" s="74"/>
    </row>
    <row r="27" spans="2:11" x14ac:dyDescent="0.25">
      <c r="B27" s="77"/>
      <c r="C27" s="78"/>
      <c r="D27" s="79"/>
      <c r="E27" s="92"/>
      <c r="F27" s="80"/>
      <c r="G27" s="12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56.4" customHeight="1" x14ac:dyDescent="0.25">
      <c r="B29" s="32" t="s">
        <v>6</v>
      </c>
      <c r="C29" s="31" t="s">
        <v>34</v>
      </c>
      <c r="D29" s="30" t="s">
        <v>11</v>
      </c>
      <c r="E29" s="93" t="s">
        <v>9</v>
      </c>
      <c r="F29" s="31" t="s">
        <v>10</v>
      </c>
      <c r="G29" s="2"/>
      <c r="H29" s="1"/>
      <c r="I29" s="1"/>
      <c r="J29" s="1"/>
      <c r="K29" s="1"/>
    </row>
    <row r="30" spans="2:11" ht="15" x14ac:dyDescent="0.25">
      <c r="B30" s="19" t="s">
        <v>151</v>
      </c>
      <c r="C30" s="24">
        <v>46302</v>
      </c>
      <c r="D30" s="17">
        <v>1</v>
      </c>
      <c r="E30" s="94">
        <v>1</v>
      </c>
      <c r="F30" s="51" t="s">
        <v>152</v>
      </c>
      <c r="G30" s="2"/>
      <c r="H30" s="1"/>
      <c r="I30" s="1"/>
      <c r="J30" s="1"/>
      <c r="K30" s="1"/>
    </row>
    <row r="31" spans="2:11" x14ac:dyDescent="0.25">
      <c r="B31" s="19" t="s">
        <v>154</v>
      </c>
      <c r="C31" s="24">
        <v>46302</v>
      </c>
      <c r="D31" s="17">
        <v>1</v>
      </c>
      <c r="E31" s="94">
        <v>1</v>
      </c>
      <c r="F31" s="51" t="s">
        <v>155</v>
      </c>
    </row>
    <row r="32" spans="2:11" x14ac:dyDescent="0.25">
      <c r="B32" s="19" t="s">
        <v>156</v>
      </c>
      <c r="C32" s="24">
        <v>46302</v>
      </c>
      <c r="D32" s="17">
        <v>1</v>
      </c>
      <c r="E32" s="94">
        <v>1</v>
      </c>
      <c r="F32" s="51" t="s">
        <v>157</v>
      </c>
    </row>
    <row r="33" spans="2:6" x14ac:dyDescent="0.25">
      <c r="B33" s="19" t="s">
        <v>134</v>
      </c>
      <c r="C33" s="24">
        <v>46302</v>
      </c>
      <c r="D33" s="17">
        <v>1</v>
      </c>
      <c r="E33" s="94">
        <v>1</v>
      </c>
      <c r="F33" s="63" t="s">
        <v>183</v>
      </c>
    </row>
    <row r="34" spans="2:6" x14ac:dyDescent="0.25">
      <c r="B34" s="19" t="s">
        <v>165</v>
      </c>
      <c r="C34" s="24">
        <v>46303</v>
      </c>
      <c r="D34" s="17">
        <v>23</v>
      </c>
      <c r="E34" s="94">
        <v>23</v>
      </c>
      <c r="F34" s="19" t="s">
        <v>166</v>
      </c>
    </row>
  </sheetData>
  <mergeCells count="4">
    <mergeCell ref="B2:K2"/>
    <mergeCell ref="B5:F5"/>
    <mergeCell ref="H5:K5"/>
    <mergeCell ref="B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EA38-6FA6-4D02-8481-754A1A1B86C6}">
  <dimension ref="B2:K30"/>
  <sheetViews>
    <sheetView topLeftCell="A6" workbookViewId="0">
      <selection activeCell="F17" sqref="F17"/>
    </sheetView>
  </sheetViews>
  <sheetFormatPr defaultRowHeight="14.4" x14ac:dyDescent="0.25"/>
  <cols>
    <col min="2" max="2" width="34.77734375" customWidth="1"/>
    <col min="3" max="3" width="16.21875" customWidth="1"/>
    <col min="4" max="4" width="10.88671875" customWidth="1"/>
    <col min="5" max="5" width="10.77734375" customWidth="1"/>
    <col min="6" max="6" width="14.88671875" customWidth="1"/>
    <col min="7" max="7" width="3.77734375" customWidth="1"/>
    <col min="8" max="8" width="24.44140625" customWidth="1"/>
    <col min="9" max="9" width="15.21875" customWidth="1"/>
    <col min="10" max="10" width="10.6640625" customWidth="1"/>
    <col min="11" max="11" width="22.664062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46307</v>
      </c>
      <c r="D3" s="7"/>
      <c r="E3" s="7"/>
      <c r="F3" s="8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87"/>
      <c r="F4" s="14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5"/>
    </row>
    <row r="6" spans="2:11" ht="66" x14ac:dyDescent="0.25">
      <c r="B6" s="86" t="s">
        <v>6</v>
      </c>
      <c r="C6" s="59" t="s">
        <v>7</v>
      </c>
      <c r="D6" s="60" t="s">
        <v>8</v>
      </c>
      <c r="E6" s="88" t="s">
        <v>9</v>
      </c>
      <c r="F6" s="60" t="s">
        <v>10</v>
      </c>
      <c r="G6" s="61"/>
      <c r="H6" s="86" t="s">
        <v>6</v>
      </c>
      <c r="I6" s="59" t="s">
        <v>11</v>
      </c>
      <c r="J6" s="70" t="s">
        <v>12</v>
      </c>
      <c r="K6" s="86" t="s">
        <v>10</v>
      </c>
    </row>
    <row r="7" spans="2:11" ht="17.25" customHeight="1" x14ac:dyDescent="0.25">
      <c r="B7" s="86" t="s">
        <v>219</v>
      </c>
      <c r="C7" s="101">
        <v>16</v>
      </c>
      <c r="D7" s="83">
        <v>0</v>
      </c>
      <c r="E7" s="83">
        <v>0</v>
      </c>
      <c r="F7" s="83" t="s">
        <v>220</v>
      </c>
      <c r="G7" s="102"/>
      <c r="H7" s="86" t="s">
        <v>46</v>
      </c>
      <c r="I7" s="83">
        <v>1</v>
      </c>
      <c r="J7" s="83">
        <v>0</v>
      </c>
      <c r="K7" s="86" t="s">
        <v>221</v>
      </c>
    </row>
    <row r="8" spans="2:11" ht="17.25" customHeight="1" x14ac:dyDescent="0.25">
      <c r="B8" s="86" t="s">
        <v>222</v>
      </c>
      <c r="C8" s="101">
        <v>5</v>
      </c>
      <c r="D8" s="83">
        <v>0</v>
      </c>
      <c r="E8" s="83">
        <v>0</v>
      </c>
      <c r="F8" s="83" t="s">
        <v>223</v>
      </c>
      <c r="G8" s="102"/>
      <c r="H8" s="86" t="s">
        <v>182</v>
      </c>
      <c r="I8" s="83">
        <v>1</v>
      </c>
      <c r="J8" s="83">
        <v>0</v>
      </c>
      <c r="K8" s="86" t="s">
        <v>224</v>
      </c>
    </row>
    <row r="9" spans="2:11" ht="17.25" customHeight="1" x14ac:dyDescent="0.25">
      <c r="B9" s="86" t="s">
        <v>225</v>
      </c>
      <c r="C9" s="101">
        <v>0</v>
      </c>
      <c r="D9" s="83">
        <v>1</v>
      </c>
      <c r="E9" s="83">
        <v>0</v>
      </c>
      <c r="F9" s="83" t="s">
        <v>226</v>
      </c>
      <c r="G9" s="102"/>
      <c r="H9" s="86" t="s">
        <v>194</v>
      </c>
      <c r="I9" s="83">
        <v>1</v>
      </c>
      <c r="J9" s="83">
        <v>0</v>
      </c>
      <c r="K9" s="86" t="s">
        <v>227</v>
      </c>
    </row>
    <row r="10" spans="2:11" ht="17.25" customHeight="1" x14ac:dyDescent="0.25">
      <c r="B10" s="86" t="s">
        <v>154</v>
      </c>
      <c r="C10" s="101">
        <v>1</v>
      </c>
      <c r="D10" s="83">
        <v>0</v>
      </c>
      <c r="E10" s="83">
        <v>0</v>
      </c>
      <c r="F10" s="83" t="s">
        <v>228</v>
      </c>
      <c r="G10" s="102"/>
      <c r="H10" s="86" t="s">
        <v>198</v>
      </c>
      <c r="I10" s="83">
        <v>1</v>
      </c>
      <c r="J10" s="83">
        <v>0</v>
      </c>
      <c r="K10" s="86" t="s">
        <v>229</v>
      </c>
    </row>
    <row r="11" spans="2:11" ht="17.25" customHeight="1" x14ac:dyDescent="0.25">
      <c r="B11" s="86" t="s">
        <v>230</v>
      </c>
      <c r="C11" s="101">
        <v>9</v>
      </c>
      <c r="D11" s="83">
        <v>0</v>
      </c>
      <c r="E11" s="83">
        <v>0</v>
      </c>
      <c r="F11" s="83" t="s">
        <v>231</v>
      </c>
      <c r="G11" s="102"/>
      <c r="H11" s="86" t="s">
        <v>117</v>
      </c>
      <c r="I11" s="83">
        <v>1</v>
      </c>
      <c r="J11" s="83">
        <v>0</v>
      </c>
      <c r="K11" s="86" t="s">
        <v>232</v>
      </c>
    </row>
    <row r="12" spans="2:11" ht="17.25" customHeight="1" x14ac:dyDescent="0.25">
      <c r="B12" s="86" t="s">
        <v>233</v>
      </c>
      <c r="C12" s="101">
        <v>76</v>
      </c>
      <c r="D12" s="83">
        <v>5</v>
      </c>
      <c r="E12" s="83">
        <v>0</v>
      </c>
      <c r="F12" s="83" t="s">
        <v>234</v>
      </c>
      <c r="G12" s="102"/>
      <c r="H12" s="86" t="s">
        <v>235</v>
      </c>
      <c r="I12" s="83">
        <v>1</v>
      </c>
      <c r="J12" s="83">
        <v>0</v>
      </c>
      <c r="K12" s="86" t="s">
        <v>236</v>
      </c>
    </row>
    <row r="13" spans="2:11" ht="17.25" customHeight="1" x14ac:dyDescent="0.25">
      <c r="B13" s="86" t="s">
        <v>237</v>
      </c>
      <c r="C13" s="83">
        <v>91</v>
      </c>
      <c r="D13" s="83">
        <v>0</v>
      </c>
      <c r="E13" s="83">
        <v>0</v>
      </c>
      <c r="F13" s="83" t="s">
        <v>238</v>
      </c>
      <c r="G13" s="102"/>
      <c r="H13" s="86" t="s">
        <v>113</v>
      </c>
      <c r="I13" s="83">
        <v>1</v>
      </c>
      <c r="J13" s="83">
        <v>0</v>
      </c>
      <c r="K13" s="86" t="s">
        <v>239</v>
      </c>
    </row>
    <row r="14" spans="2:11" ht="17.25" customHeight="1" x14ac:dyDescent="0.25">
      <c r="B14" s="86"/>
      <c r="C14" s="83"/>
      <c r="D14" s="83"/>
      <c r="E14" s="83"/>
      <c r="F14" s="83"/>
      <c r="G14" s="84"/>
      <c r="H14" s="86" t="s">
        <v>53</v>
      </c>
      <c r="I14" s="76">
        <v>48</v>
      </c>
      <c r="J14" s="76">
        <v>0</v>
      </c>
      <c r="K14" s="86" t="s">
        <v>240</v>
      </c>
    </row>
    <row r="15" spans="2:11" ht="17.25" customHeight="1" x14ac:dyDescent="0.25">
      <c r="B15" s="86"/>
      <c r="C15" s="83"/>
      <c r="D15" s="83"/>
      <c r="E15" s="83"/>
      <c r="F15" s="83"/>
      <c r="G15" s="84"/>
      <c r="H15" s="75"/>
      <c r="I15" s="76"/>
      <c r="J15" s="76"/>
      <c r="K15" s="83"/>
    </row>
    <row r="16" spans="2:11" ht="17.25" customHeight="1" x14ac:dyDescent="0.25">
      <c r="B16" s="86"/>
      <c r="C16" s="83"/>
      <c r="D16" s="83"/>
      <c r="E16" s="83"/>
      <c r="F16" s="83"/>
      <c r="G16" s="84"/>
      <c r="H16" s="75"/>
      <c r="I16" s="76"/>
      <c r="J16" s="76"/>
      <c r="K16" s="83"/>
    </row>
    <row r="17" spans="2:11" ht="17.25" customHeight="1" x14ac:dyDescent="0.25">
      <c r="B17" s="86"/>
      <c r="C17" s="83"/>
      <c r="D17" s="83"/>
      <c r="E17" s="83"/>
      <c r="F17" s="83"/>
      <c r="G17" s="84"/>
      <c r="H17" s="75"/>
      <c r="I17" s="76"/>
      <c r="J17" s="76"/>
      <c r="K17" s="83"/>
    </row>
    <row r="18" spans="2:11" ht="17.25" customHeight="1" x14ac:dyDescent="0.25">
      <c r="B18" s="86"/>
      <c r="C18" s="83"/>
      <c r="D18" s="83"/>
      <c r="E18" s="83"/>
      <c r="F18" s="83"/>
      <c r="G18" s="84"/>
      <c r="H18" s="75"/>
      <c r="I18" s="76"/>
      <c r="J18" s="76"/>
      <c r="K18" s="83"/>
    </row>
    <row r="19" spans="2:11" ht="17.25" customHeight="1" x14ac:dyDescent="0.25">
      <c r="B19" s="86"/>
      <c r="C19" s="83"/>
      <c r="D19" s="83"/>
      <c r="E19" s="83"/>
      <c r="F19" s="83"/>
      <c r="G19" s="84"/>
      <c r="H19" s="75"/>
      <c r="I19" s="76"/>
      <c r="J19" s="76"/>
      <c r="K19" s="83"/>
    </row>
    <row r="20" spans="2:11" x14ac:dyDescent="0.25">
      <c r="B20" s="69"/>
      <c r="C20" s="69"/>
      <c r="D20" s="69"/>
      <c r="E20" s="89"/>
      <c r="F20" s="69"/>
      <c r="G20" s="12"/>
      <c r="H20" s="81"/>
      <c r="I20" s="82"/>
      <c r="J20" s="82"/>
      <c r="K20" s="69"/>
    </row>
    <row r="21" spans="2:11" x14ac:dyDescent="0.25">
      <c r="B21" s="35" t="s">
        <v>32</v>
      </c>
      <c r="C21" s="45">
        <f>SUM(C7,C8,C9,C10,C11,C12,C13,C14,C15,C16,C17)</f>
        <v>198</v>
      </c>
      <c r="D21" s="45">
        <f>SUM(D7,D8,D9,D10,D11,D12,D13,D14,D15,D16,D17)</f>
        <v>6</v>
      </c>
      <c r="E21" s="45">
        <f>SUM(E7,E8,E9,E10,E11,E12,E13,E14,E15,E16,E17)</f>
        <v>0</v>
      </c>
      <c r="F21" s="42"/>
      <c r="G21" s="43"/>
      <c r="H21" s="44"/>
      <c r="I21" s="45">
        <f>SUM(I7,I8,I9,I10,I11,I12,I13,I14,I15,I16,I17)</f>
        <v>55</v>
      </c>
      <c r="J21" s="45">
        <f>SUM(J7,J8,J9,J10,J11,J12,J13,J14,J15,J16,J17)</f>
        <v>0</v>
      </c>
      <c r="K21" s="68"/>
    </row>
    <row r="22" spans="2:11" x14ac:dyDescent="0.25">
      <c r="B22" s="36"/>
      <c r="C22" s="37"/>
      <c r="D22" s="38"/>
      <c r="E22" s="91"/>
      <c r="F22" s="39"/>
      <c r="G22" s="40"/>
      <c r="H22" s="74"/>
      <c r="I22" s="74"/>
      <c r="J22" s="74"/>
      <c r="K22" s="74"/>
    </row>
    <row r="23" spans="2:11" x14ac:dyDescent="0.25">
      <c r="B23" s="77"/>
      <c r="C23" s="78"/>
      <c r="D23" s="79"/>
      <c r="E23" s="92"/>
      <c r="F23" s="80"/>
      <c r="G23" s="12"/>
      <c r="H23" s="74"/>
      <c r="I23" s="74"/>
      <c r="J23" s="74"/>
      <c r="K23" s="74"/>
    </row>
    <row r="24" spans="2:11" ht="15" x14ac:dyDescent="0.25">
      <c r="B24" s="137" t="s">
        <v>33</v>
      </c>
      <c r="C24" s="137"/>
      <c r="D24" s="138"/>
      <c r="E24" s="138"/>
      <c r="F24" s="137"/>
      <c r="G24" s="2"/>
      <c r="H24" s="47"/>
      <c r="I24" s="48"/>
      <c r="J24" s="6"/>
      <c r="K24" s="1"/>
    </row>
    <row r="25" spans="2:11" ht="48.75" customHeight="1" x14ac:dyDescent="0.25">
      <c r="B25" s="32" t="s">
        <v>6</v>
      </c>
      <c r="C25" s="31" t="s">
        <v>34</v>
      </c>
      <c r="D25" s="30" t="s">
        <v>11</v>
      </c>
      <c r="E25" s="93" t="s">
        <v>9</v>
      </c>
      <c r="F25" s="31" t="s">
        <v>10</v>
      </c>
      <c r="G25" s="2"/>
      <c r="H25" s="1"/>
      <c r="I25" s="1"/>
      <c r="J25" s="1"/>
      <c r="K25" s="1"/>
    </row>
    <row r="26" spans="2:11" ht="15" x14ac:dyDescent="0.25">
      <c r="B26" s="19" t="s">
        <v>151</v>
      </c>
      <c r="C26" s="24">
        <v>46302</v>
      </c>
      <c r="D26" s="17">
        <v>1</v>
      </c>
      <c r="E26" s="94">
        <v>1</v>
      </c>
      <c r="F26" s="51" t="s">
        <v>152</v>
      </c>
      <c r="G26" s="2"/>
      <c r="H26" s="1"/>
      <c r="I26" s="1"/>
      <c r="J26" s="1"/>
      <c r="K26" s="1"/>
    </row>
    <row r="27" spans="2:11" x14ac:dyDescent="0.25">
      <c r="B27" s="19"/>
      <c r="C27" s="24"/>
      <c r="D27" s="17"/>
      <c r="E27" s="94"/>
      <c r="F27" s="51"/>
    </row>
    <row r="28" spans="2:11" x14ac:dyDescent="0.25">
      <c r="B28" s="19" t="s">
        <v>156</v>
      </c>
      <c r="C28" s="24">
        <v>46302</v>
      </c>
      <c r="D28" s="17">
        <v>1</v>
      </c>
      <c r="E28" s="94">
        <v>1</v>
      </c>
      <c r="F28" s="51" t="s">
        <v>157</v>
      </c>
    </row>
    <row r="29" spans="2:11" x14ac:dyDescent="0.25">
      <c r="B29" s="19" t="s">
        <v>134</v>
      </c>
      <c r="C29" s="24">
        <v>46302</v>
      </c>
      <c r="D29" s="17">
        <v>1</v>
      </c>
      <c r="E29" s="94">
        <v>1</v>
      </c>
      <c r="F29" s="63" t="s">
        <v>183</v>
      </c>
    </row>
    <row r="30" spans="2:11" x14ac:dyDescent="0.25">
      <c r="B30" s="19" t="s">
        <v>165</v>
      </c>
      <c r="C30" s="24">
        <v>46303</v>
      </c>
      <c r="D30" s="17">
        <v>23</v>
      </c>
      <c r="E30" s="94">
        <v>23</v>
      </c>
      <c r="F30" s="19" t="s">
        <v>166</v>
      </c>
    </row>
  </sheetData>
  <mergeCells count="4">
    <mergeCell ref="B2:K2"/>
    <mergeCell ref="B5:F5"/>
    <mergeCell ref="H5:K5"/>
    <mergeCell ref="B24:F2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F0A0-78DA-460A-8923-988BC6C9907A}">
  <dimension ref="B2:K33"/>
  <sheetViews>
    <sheetView workbookViewId="0">
      <selection activeCell="K29" sqref="K29"/>
    </sheetView>
  </sheetViews>
  <sheetFormatPr defaultRowHeight="14.4" x14ac:dyDescent="0.25"/>
  <cols>
    <col min="2" max="2" width="25.77734375" customWidth="1"/>
    <col min="3" max="3" width="13.44140625" customWidth="1"/>
    <col min="4" max="4" width="12" customWidth="1"/>
    <col min="5" max="5" width="10.77734375" style="103" customWidth="1"/>
    <col min="6" max="6" width="17.109375" customWidth="1"/>
    <col min="7" max="7" width="4" customWidth="1"/>
    <col min="8" max="8" width="24.109375" customWidth="1"/>
    <col min="9" max="9" width="11.33203125" customWidth="1"/>
    <col min="10" max="10" width="10.88671875" customWidth="1"/>
    <col min="11" max="11" width="22.777343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46308</v>
      </c>
      <c r="D3" s="7"/>
      <c r="E3" s="105"/>
      <c r="F3" s="8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5"/>
      <c r="F4" s="14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5"/>
    </row>
    <row r="6" spans="2:11" ht="52.8" x14ac:dyDescent="0.25">
      <c r="B6" s="96" t="s">
        <v>6</v>
      </c>
      <c r="C6" s="59" t="s">
        <v>7</v>
      </c>
      <c r="D6" s="60" t="s">
        <v>8</v>
      </c>
      <c r="E6" s="60" t="s">
        <v>9</v>
      </c>
      <c r="F6" s="60" t="s">
        <v>10</v>
      </c>
      <c r="G6" s="61"/>
      <c r="H6" s="62" t="s">
        <v>6</v>
      </c>
      <c r="I6" s="59" t="s">
        <v>11</v>
      </c>
      <c r="J6" s="70" t="s">
        <v>12</v>
      </c>
      <c r="K6" s="58" t="s">
        <v>10</v>
      </c>
    </row>
    <row r="7" spans="2:11" x14ac:dyDescent="0.25">
      <c r="B7" s="96" t="s">
        <v>241</v>
      </c>
      <c r="C7" s="101">
        <v>78</v>
      </c>
      <c r="D7" s="83">
        <v>0</v>
      </c>
      <c r="E7" s="83">
        <v>0</v>
      </c>
      <c r="F7" s="83" t="s">
        <v>242</v>
      </c>
      <c r="G7" s="102"/>
      <c r="H7" s="96" t="s">
        <v>241</v>
      </c>
      <c r="I7" s="83">
        <v>78</v>
      </c>
      <c r="J7" s="83">
        <v>0</v>
      </c>
      <c r="K7" s="111" t="s">
        <v>243</v>
      </c>
    </row>
    <row r="8" spans="2:11" x14ac:dyDescent="0.25">
      <c r="B8" s="96" t="s">
        <v>244</v>
      </c>
      <c r="C8" s="101">
        <v>3</v>
      </c>
      <c r="D8" s="83">
        <v>0</v>
      </c>
      <c r="E8" s="83">
        <v>0</v>
      </c>
      <c r="F8" s="83" t="s">
        <v>245</v>
      </c>
      <c r="G8" s="102"/>
      <c r="H8" s="96" t="s">
        <v>246</v>
      </c>
      <c r="I8" s="83">
        <v>1</v>
      </c>
      <c r="J8" s="83">
        <v>0</v>
      </c>
      <c r="K8" s="114" t="s">
        <v>247</v>
      </c>
    </row>
    <row r="9" spans="2:11" x14ac:dyDescent="0.25">
      <c r="B9" s="96" t="s">
        <v>248</v>
      </c>
      <c r="C9" s="101">
        <v>118</v>
      </c>
      <c r="D9" s="83">
        <v>0</v>
      </c>
      <c r="E9" s="83">
        <v>0</v>
      </c>
      <c r="F9" s="83" t="s">
        <v>249</v>
      </c>
      <c r="G9" s="102"/>
      <c r="H9" s="96" t="s">
        <v>250</v>
      </c>
      <c r="I9" s="83">
        <v>13</v>
      </c>
      <c r="J9" s="83">
        <v>0</v>
      </c>
      <c r="K9" s="100" t="s">
        <v>251</v>
      </c>
    </row>
    <row r="10" spans="2:11" x14ac:dyDescent="0.25">
      <c r="B10" s="96" t="s">
        <v>246</v>
      </c>
      <c r="C10" s="101">
        <v>1</v>
      </c>
      <c r="D10" s="83">
        <v>0</v>
      </c>
      <c r="E10" s="83">
        <v>0</v>
      </c>
      <c r="F10" s="83" t="s">
        <v>242</v>
      </c>
      <c r="G10" s="102"/>
      <c r="H10" s="96"/>
      <c r="I10" s="83"/>
      <c r="J10" s="83"/>
      <c r="K10" s="114"/>
    </row>
    <row r="11" spans="2:11" x14ac:dyDescent="0.25">
      <c r="B11" s="96" t="s">
        <v>252</v>
      </c>
      <c r="C11" s="101">
        <v>25</v>
      </c>
      <c r="D11" s="83">
        <v>0</v>
      </c>
      <c r="E11" s="83">
        <v>0</v>
      </c>
      <c r="F11" s="83" t="s">
        <v>253</v>
      </c>
      <c r="G11" s="102"/>
      <c r="H11" s="100"/>
      <c r="I11" s="83"/>
      <c r="J11" s="83"/>
      <c r="K11" s="100"/>
    </row>
    <row r="12" spans="2:11" x14ac:dyDescent="0.25">
      <c r="B12" s="96" t="s">
        <v>254</v>
      </c>
      <c r="C12" s="101">
        <v>1</v>
      </c>
      <c r="D12" s="83">
        <v>0</v>
      </c>
      <c r="E12" s="83">
        <v>0</v>
      </c>
      <c r="F12" s="83" t="s">
        <v>255</v>
      </c>
      <c r="G12" s="102"/>
      <c r="H12" s="100"/>
      <c r="I12" s="83"/>
      <c r="J12" s="83"/>
      <c r="K12" s="100"/>
    </row>
    <row r="13" spans="2:11" x14ac:dyDescent="0.25">
      <c r="B13" s="96" t="s">
        <v>250</v>
      </c>
      <c r="C13" s="83">
        <v>13</v>
      </c>
      <c r="D13" s="83">
        <v>0</v>
      </c>
      <c r="E13" s="83">
        <v>0</v>
      </c>
      <c r="F13" s="83" t="s">
        <v>256</v>
      </c>
      <c r="G13" s="102"/>
      <c r="H13" s="100"/>
      <c r="I13" s="83"/>
      <c r="J13" s="83"/>
      <c r="K13" s="100"/>
    </row>
    <row r="14" spans="2:11" x14ac:dyDescent="0.25">
      <c r="B14" s="96" t="s">
        <v>257</v>
      </c>
      <c r="C14" s="83">
        <v>20</v>
      </c>
      <c r="D14" s="83">
        <v>0</v>
      </c>
      <c r="E14" s="83">
        <v>0</v>
      </c>
      <c r="F14" s="83" t="s">
        <v>258</v>
      </c>
      <c r="G14" s="84"/>
      <c r="H14" s="75"/>
      <c r="I14" s="76"/>
      <c r="J14" s="76"/>
      <c r="K14" s="83"/>
    </row>
    <row r="15" spans="2:11" x14ac:dyDescent="0.25">
      <c r="B15" s="96" t="s">
        <v>259</v>
      </c>
      <c r="C15" s="101">
        <v>20</v>
      </c>
      <c r="D15" s="83">
        <v>0</v>
      </c>
      <c r="E15" s="83">
        <v>0</v>
      </c>
      <c r="F15" s="83" t="s">
        <v>260</v>
      </c>
      <c r="G15" s="84"/>
      <c r="H15" s="75"/>
      <c r="I15" s="76"/>
      <c r="J15" s="76"/>
      <c r="K15" s="83"/>
    </row>
    <row r="16" spans="2:11" ht="15" x14ac:dyDescent="0.3">
      <c r="B16" s="96" t="s">
        <v>261</v>
      </c>
      <c r="C16" s="101">
        <v>3</v>
      </c>
      <c r="D16" s="83">
        <v>0</v>
      </c>
      <c r="E16" s="83">
        <v>0</v>
      </c>
      <c r="F16" s="112" t="s">
        <v>262</v>
      </c>
      <c r="G16" s="84"/>
      <c r="H16" s="75"/>
      <c r="I16" s="76"/>
      <c r="J16" s="76"/>
      <c r="K16" s="83"/>
    </row>
    <row r="17" spans="2:11" x14ac:dyDescent="0.25">
      <c r="B17" s="113" t="s">
        <v>263</v>
      </c>
      <c r="C17" s="83">
        <v>2</v>
      </c>
      <c r="D17" s="83">
        <v>0</v>
      </c>
      <c r="E17" s="83">
        <v>0</v>
      </c>
      <c r="F17" s="83" t="s">
        <v>264</v>
      </c>
      <c r="G17" s="84"/>
      <c r="H17" s="75"/>
      <c r="I17" s="76"/>
      <c r="J17" s="76"/>
      <c r="K17" s="83"/>
    </row>
    <row r="18" spans="2:11" x14ac:dyDescent="0.25">
      <c r="B18" s="86"/>
      <c r="C18" s="83"/>
      <c r="D18" s="83"/>
      <c r="E18" s="83"/>
      <c r="F18" s="83"/>
      <c r="G18" s="84"/>
      <c r="H18" s="75"/>
      <c r="I18" s="76"/>
      <c r="J18" s="76"/>
      <c r="K18" s="83"/>
    </row>
    <row r="19" spans="2:11" x14ac:dyDescent="0.25">
      <c r="B19" s="86"/>
      <c r="C19" s="83"/>
      <c r="D19" s="83"/>
      <c r="E19" s="83"/>
      <c r="F19" s="83"/>
      <c r="G19" s="84"/>
      <c r="H19" s="75"/>
      <c r="I19" s="76"/>
      <c r="J19" s="76"/>
      <c r="K19" s="83"/>
    </row>
    <row r="20" spans="2:11" x14ac:dyDescent="0.25">
      <c r="B20" s="86"/>
      <c r="C20" s="83"/>
      <c r="D20" s="83"/>
      <c r="E20" s="83"/>
      <c r="F20" s="83"/>
      <c r="G20" s="84"/>
      <c r="H20" s="75"/>
      <c r="I20" s="76"/>
      <c r="J20" s="76"/>
      <c r="K20" s="83"/>
    </row>
    <row r="21" spans="2:11" x14ac:dyDescent="0.25">
      <c r="B21" s="86"/>
      <c r="C21" s="83"/>
      <c r="D21" s="83"/>
      <c r="E21" s="83"/>
      <c r="F21" s="83"/>
      <c r="G21" s="84"/>
      <c r="H21" s="75"/>
      <c r="I21" s="76"/>
      <c r="J21" s="76"/>
      <c r="K21" s="83"/>
    </row>
    <row r="22" spans="2:11" x14ac:dyDescent="0.25">
      <c r="B22" s="86"/>
      <c r="C22" s="83"/>
      <c r="D22" s="83"/>
      <c r="E22" s="83"/>
      <c r="F22" s="83"/>
      <c r="G22" s="84"/>
      <c r="H22" s="75"/>
      <c r="I22" s="76"/>
      <c r="J22" s="76"/>
      <c r="K22" s="83"/>
    </row>
    <row r="23" spans="2:11" x14ac:dyDescent="0.25">
      <c r="B23" s="86"/>
      <c r="C23" s="83"/>
      <c r="D23" s="83"/>
      <c r="E23" s="83"/>
      <c r="F23" s="83"/>
      <c r="G23" s="84"/>
      <c r="H23" s="75"/>
      <c r="I23" s="76"/>
      <c r="J23" s="76"/>
      <c r="K23" s="83"/>
    </row>
    <row r="24" spans="2:11" x14ac:dyDescent="0.25">
      <c r="B24" s="69"/>
      <c r="C24" s="69"/>
      <c r="D24" s="69"/>
      <c r="E24" s="69"/>
      <c r="F24" s="69"/>
      <c r="G24" s="12"/>
      <c r="H24" s="81"/>
      <c r="I24" s="82"/>
      <c r="J24" s="82"/>
      <c r="K24" s="69"/>
    </row>
    <row r="25" spans="2:11" x14ac:dyDescent="0.25">
      <c r="B25" s="35" t="s">
        <v>32</v>
      </c>
      <c r="C25" s="45">
        <f>SUM(C7,C8,C9,C10,C11,C12,C13,C14,C15,C16,C17)</f>
        <v>284</v>
      </c>
      <c r="D25" s="45">
        <f>SUM(D7,D8,D9,D10,D11,D12,D13,D14,D15,D20,D21)</f>
        <v>0</v>
      </c>
      <c r="E25" s="45">
        <f>SUM(E7,E8,E9,E10,E11,E12,E13,E14,E15,E20,E21)</f>
        <v>0</v>
      </c>
      <c r="F25" s="42"/>
      <c r="G25" s="43"/>
      <c r="H25" s="44"/>
      <c r="I25" s="45">
        <f>SUM(I7,I8,I9,I10,I11,I12,I13,I14,I15,I20,I21)</f>
        <v>92</v>
      </c>
      <c r="J25" s="45">
        <f>SUM(J7,J8,J9,J10,J11,J12,J13,J14,J15,J20,J21)</f>
        <v>0</v>
      </c>
      <c r="K25" s="68"/>
    </row>
    <row r="26" spans="2:11" x14ac:dyDescent="0.25">
      <c r="B26" s="36"/>
      <c r="C26" s="37"/>
      <c r="D26" s="38"/>
      <c r="E26" s="38"/>
      <c r="F26" s="39"/>
      <c r="G26" s="40"/>
      <c r="H26" s="74"/>
      <c r="I26" s="74"/>
      <c r="J26" s="74"/>
      <c r="K26" s="74"/>
    </row>
    <row r="27" spans="2:11" x14ac:dyDescent="0.25">
      <c r="B27" s="77"/>
      <c r="C27" s="78"/>
      <c r="D27" s="79"/>
      <c r="E27" s="79"/>
      <c r="F27" s="80"/>
      <c r="G27" s="12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45.75" customHeight="1" x14ac:dyDescent="0.25">
      <c r="B29" s="107" t="s">
        <v>6</v>
      </c>
      <c r="C29" s="108" t="s">
        <v>34</v>
      </c>
      <c r="D29" s="30" t="s">
        <v>11</v>
      </c>
      <c r="E29" s="29" t="s">
        <v>9</v>
      </c>
      <c r="F29" s="108" t="s">
        <v>10</v>
      </c>
      <c r="G29" s="2"/>
      <c r="H29" s="1"/>
      <c r="I29" s="1"/>
      <c r="J29" s="1"/>
      <c r="K29" s="1"/>
    </row>
    <row r="30" spans="2:11" x14ac:dyDescent="0.25">
      <c r="B30" s="83" t="s">
        <v>156</v>
      </c>
      <c r="C30" s="109">
        <v>46302</v>
      </c>
      <c r="D30" s="106">
        <v>1</v>
      </c>
      <c r="E30" s="106">
        <v>1</v>
      </c>
      <c r="F30" s="83" t="s">
        <v>157</v>
      </c>
    </row>
    <row r="31" spans="2:11" x14ac:dyDescent="0.25">
      <c r="B31" s="83" t="s">
        <v>134</v>
      </c>
      <c r="C31" s="109">
        <v>46302</v>
      </c>
      <c r="D31" s="106">
        <v>1</v>
      </c>
      <c r="E31" s="106">
        <v>1</v>
      </c>
      <c r="F31" s="104" t="s">
        <v>183</v>
      </c>
    </row>
    <row r="32" spans="2:11" x14ac:dyDescent="0.25">
      <c r="B32" s="83" t="s">
        <v>165</v>
      </c>
      <c r="C32" s="109">
        <v>46303</v>
      </c>
      <c r="D32" s="106">
        <v>23</v>
      </c>
      <c r="E32" s="106">
        <v>23</v>
      </c>
      <c r="F32" s="83" t="s">
        <v>166</v>
      </c>
    </row>
    <row r="33" spans="2:6" x14ac:dyDescent="0.25">
      <c r="B33" s="110" t="s">
        <v>265</v>
      </c>
      <c r="C33" s="110"/>
      <c r="D33" s="110">
        <v>25</v>
      </c>
      <c r="E33" s="110">
        <v>25</v>
      </c>
      <c r="F33" s="110"/>
    </row>
  </sheetData>
  <mergeCells count="4">
    <mergeCell ref="B2:K2"/>
    <mergeCell ref="B5:F5"/>
    <mergeCell ref="H5:K5"/>
    <mergeCell ref="B28:F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0BDC-523E-4A5D-823E-0B9DF4F40FCB}">
  <dimension ref="B2:K33"/>
  <sheetViews>
    <sheetView workbookViewId="0">
      <selection activeCell="N19" sqref="N19"/>
    </sheetView>
  </sheetViews>
  <sheetFormatPr defaultRowHeight="14.4" x14ac:dyDescent="0.25"/>
  <cols>
    <col min="2" max="2" width="26.6640625" customWidth="1"/>
    <col min="3" max="3" width="14.44140625" customWidth="1"/>
    <col min="5" max="5" width="10.44140625" customWidth="1"/>
    <col min="6" max="6" width="16.6640625" style="103" customWidth="1"/>
    <col min="7" max="7" width="4.21875" customWidth="1"/>
    <col min="8" max="8" width="23.109375" customWidth="1"/>
    <col min="9" max="9" width="10.109375" customWidth="1"/>
    <col min="10" max="10" width="10.77734375" customWidth="1"/>
    <col min="11" max="11" width="22.218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46309</v>
      </c>
      <c r="D3" s="7"/>
      <c r="E3" s="105"/>
      <c r="F3" s="105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5"/>
      <c r="F4" s="5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6"/>
      <c r="J5" s="136"/>
      <c r="K5" s="135"/>
    </row>
    <row r="6" spans="2:11" ht="66" x14ac:dyDescent="0.25">
      <c r="B6" s="96" t="s">
        <v>6</v>
      </c>
      <c r="C6" s="59" t="s">
        <v>7</v>
      </c>
      <c r="D6" s="60" t="s">
        <v>8</v>
      </c>
      <c r="E6" s="60" t="s">
        <v>9</v>
      </c>
      <c r="F6" s="60" t="s">
        <v>10</v>
      </c>
      <c r="G6" s="61"/>
      <c r="H6" s="62" t="s">
        <v>6</v>
      </c>
      <c r="I6" s="59" t="s">
        <v>11</v>
      </c>
      <c r="J6" s="70" t="s">
        <v>12</v>
      </c>
      <c r="K6" s="58" t="s">
        <v>10</v>
      </c>
    </row>
    <row r="7" spans="2:11" ht="15.75" customHeight="1" x14ac:dyDescent="0.25">
      <c r="B7" s="96" t="s">
        <v>266</v>
      </c>
      <c r="C7" s="101">
        <v>13</v>
      </c>
      <c r="D7" s="83">
        <v>0</v>
      </c>
      <c r="E7" s="83">
        <v>0</v>
      </c>
      <c r="F7" s="83" t="s">
        <v>267</v>
      </c>
      <c r="G7" s="102"/>
      <c r="H7" s="96" t="s">
        <v>268</v>
      </c>
      <c r="I7" s="83">
        <v>1</v>
      </c>
      <c r="J7" s="83">
        <v>0</v>
      </c>
      <c r="K7" s="100" t="s">
        <v>269</v>
      </c>
    </row>
    <row r="8" spans="2:11" ht="15.75" customHeight="1" x14ac:dyDescent="0.25">
      <c r="B8" s="96" t="s">
        <v>270</v>
      </c>
      <c r="C8" s="101">
        <v>16</v>
      </c>
      <c r="D8" s="83">
        <v>0</v>
      </c>
      <c r="E8" s="83">
        <v>0</v>
      </c>
      <c r="F8" s="83" t="s">
        <v>271</v>
      </c>
      <c r="G8" s="102"/>
      <c r="H8" s="96" t="s">
        <v>257</v>
      </c>
      <c r="I8" s="83">
        <v>20</v>
      </c>
      <c r="J8" s="83">
        <v>0</v>
      </c>
      <c r="K8" s="100" t="s">
        <v>272</v>
      </c>
    </row>
    <row r="9" spans="2:11" ht="15.75" customHeight="1" x14ac:dyDescent="0.25">
      <c r="B9" s="96" t="s">
        <v>273</v>
      </c>
      <c r="C9" s="101">
        <v>1</v>
      </c>
      <c r="D9" s="83">
        <v>0</v>
      </c>
      <c r="E9" s="83">
        <v>0</v>
      </c>
      <c r="F9" s="83" t="s">
        <v>274</v>
      </c>
      <c r="G9" s="102"/>
      <c r="H9" s="96" t="s">
        <v>259</v>
      </c>
      <c r="I9" s="83">
        <v>20</v>
      </c>
      <c r="J9" s="83">
        <v>0</v>
      </c>
      <c r="K9" s="100" t="s">
        <v>275</v>
      </c>
    </row>
    <row r="10" spans="2:11" ht="15.75" customHeight="1" x14ac:dyDescent="0.3">
      <c r="B10" s="96" t="s">
        <v>276</v>
      </c>
      <c r="C10" s="101">
        <v>1</v>
      </c>
      <c r="D10" s="83">
        <v>0</v>
      </c>
      <c r="E10" s="83">
        <v>0</v>
      </c>
      <c r="F10" s="83" t="s">
        <v>277</v>
      </c>
      <c r="G10" s="102"/>
      <c r="H10" s="117" t="s">
        <v>233</v>
      </c>
      <c r="I10" s="112">
        <v>5</v>
      </c>
      <c r="J10" s="83">
        <v>0</v>
      </c>
      <c r="K10" s="100" t="s">
        <v>278</v>
      </c>
    </row>
    <row r="11" spans="2:11" ht="15.75" customHeight="1" x14ac:dyDescent="0.25">
      <c r="B11" s="96" t="s">
        <v>279</v>
      </c>
      <c r="C11" s="101">
        <v>16</v>
      </c>
      <c r="D11" s="83">
        <v>0</v>
      </c>
      <c r="E11" s="83">
        <v>0</v>
      </c>
      <c r="F11" s="83" t="s">
        <v>280</v>
      </c>
      <c r="G11" s="102"/>
      <c r="H11" s="117" t="s">
        <v>281</v>
      </c>
      <c r="I11" s="83">
        <v>7</v>
      </c>
      <c r="J11" s="83">
        <v>0</v>
      </c>
      <c r="K11" s="100" t="s">
        <v>282</v>
      </c>
    </row>
    <row r="12" spans="2:11" ht="15.75" customHeight="1" x14ac:dyDescent="0.25">
      <c r="B12" s="96" t="s">
        <v>283</v>
      </c>
      <c r="C12" s="101">
        <v>4</v>
      </c>
      <c r="D12" s="83">
        <v>0</v>
      </c>
      <c r="E12" s="83">
        <v>0</v>
      </c>
      <c r="F12" s="83" t="s">
        <v>284</v>
      </c>
      <c r="G12" s="102"/>
      <c r="H12" s="100"/>
      <c r="I12" s="83"/>
      <c r="J12" s="83"/>
      <c r="K12" s="100"/>
    </row>
    <row r="13" spans="2:11" ht="15.75" customHeight="1" x14ac:dyDescent="0.25">
      <c r="B13" s="96" t="s">
        <v>285</v>
      </c>
      <c r="C13" s="83">
        <v>1</v>
      </c>
      <c r="D13" s="83">
        <v>0</v>
      </c>
      <c r="E13" s="83">
        <v>0</v>
      </c>
      <c r="F13" s="83" t="s">
        <v>286</v>
      </c>
      <c r="G13" s="102"/>
      <c r="H13" s="116"/>
      <c r="I13" s="115"/>
      <c r="J13" s="115"/>
      <c r="K13" s="116"/>
    </row>
    <row r="14" spans="2:11" ht="15.75" customHeight="1" x14ac:dyDescent="0.25">
      <c r="B14" s="96"/>
      <c r="C14" s="83"/>
      <c r="D14" s="83"/>
      <c r="E14" s="83"/>
      <c r="F14" s="83"/>
      <c r="G14" s="84"/>
      <c r="H14" s="75"/>
      <c r="I14" s="76"/>
      <c r="J14" s="76"/>
      <c r="K14" s="83"/>
    </row>
    <row r="15" spans="2:11" ht="15.75" customHeight="1" x14ac:dyDescent="0.25">
      <c r="B15" s="96"/>
      <c r="C15" s="101"/>
      <c r="D15" s="83"/>
      <c r="E15" s="83"/>
      <c r="F15" s="83"/>
      <c r="G15" s="84"/>
      <c r="I15" s="76"/>
      <c r="J15" s="76"/>
      <c r="K15" s="83"/>
    </row>
    <row r="16" spans="2:11" ht="15.75" customHeight="1" x14ac:dyDescent="0.3">
      <c r="B16" s="96"/>
      <c r="C16" s="101"/>
      <c r="D16" s="83"/>
      <c r="E16" s="83"/>
      <c r="F16" s="112"/>
      <c r="G16" s="84"/>
      <c r="H16" s="75"/>
      <c r="I16" s="76"/>
      <c r="J16" s="76"/>
      <c r="K16" s="83"/>
    </row>
    <row r="17" spans="2:11" ht="15.75" customHeight="1" x14ac:dyDescent="0.25">
      <c r="B17" s="113"/>
      <c r="C17" s="83"/>
      <c r="D17" s="83"/>
      <c r="E17" s="83"/>
      <c r="F17" s="83"/>
      <c r="G17" s="84"/>
      <c r="H17" s="75"/>
      <c r="I17" s="76"/>
      <c r="J17" s="76"/>
      <c r="K17" s="83"/>
    </row>
    <row r="18" spans="2:11" ht="15.75" customHeight="1" x14ac:dyDescent="0.25">
      <c r="B18" s="86"/>
      <c r="C18" s="83"/>
      <c r="D18" s="83"/>
      <c r="E18" s="83"/>
      <c r="F18" s="83"/>
      <c r="G18" s="84"/>
      <c r="H18" s="75"/>
      <c r="I18" s="76"/>
      <c r="J18" s="76"/>
      <c r="K18" s="83"/>
    </row>
    <row r="19" spans="2:11" ht="15.75" customHeight="1" x14ac:dyDescent="0.25">
      <c r="B19" s="86"/>
      <c r="C19" s="83"/>
      <c r="D19" s="83"/>
      <c r="E19" s="83"/>
      <c r="F19" s="83"/>
      <c r="G19" s="84"/>
      <c r="H19" s="75"/>
      <c r="I19" s="76"/>
      <c r="J19" s="76"/>
      <c r="K19" s="83"/>
    </row>
    <row r="20" spans="2:11" ht="15.75" customHeight="1" x14ac:dyDescent="0.25">
      <c r="B20" s="86"/>
      <c r="C20" s="83"/>
      <c r="D20" s="83"/>
      <c r="E20" s="83"/>
      <c r="F20" s="83"/>
      <c r="G20" s="84"/>
      <c r="H20" s="75"/>
      <c r="I20" s="76"/>
      <c r="J20" s="76"/>
      <c r="K20" s="83"/>
    </row>
    <row r="21" spans="2:11" ht="15.75" customHeight="1" x14ac:dyDescent="0.25">
      <c r="B21" s="86"/>
      <c r="C21" s="83"/>
      <c r="D21" s="83"/>
      <c r="E21" s="83"/>
      <c r="F21" s="83"/>
      <c r="G21" s="84"/>
      <c r="H21" s="75"/>
      <c r="I21" s="76"/>
      <c r="J21" s="76"/>
      <c r="K21" s="83"/>
    </row>
    <row r="22" spans="2:11" ht="15.75" customHeight="1" x14ac:dyDescent="0.25">
      <c r="B22" s="86"/>
      <c r="C22" s="83"/>
      <c r="D22" s="83"/>
      <c r="E22" s="83"/>
      <c r="F22" s="83"/>
      <c r="G22" s="84"/>
      <c r="H22" s="75"/>
      <c r="I22" s="76"/>
      <c r="J22" s="76"/>
      <c r="K22" s="83"/>
    </row>
    <row r="23" spans="2:11" ht="15.75" customHeight="1" x14ac:dyDescent="0.25">
      <c r="B23" s="86"/>
      <c r="C23" s="83"/>
      <c r="D23" s="83"/>
      <c r="E23" s="83"/>
      <c r="F23" s="83"/>
      <c r="G23" s="84"/>
      <c r="H23" s="75"/>
      <c r="I23" s="76"/>
      <c r="J23" s="76"/>
      <c r="K23" s="83"/>
    </row>
    <row r="24" spans="2:11" x14ac:dyDescent="0.25">
      <c r="B24" s="69"/>
      <c r="C24" s="69"/>
      <c r="D24" s="69"/>
      <c r="E24" s="69"/>
      <c r="F24" s="69"/>
      <c r="G24" s="12"/>
      <c r="H24" s="81"/>
      <c r="I24" s="82"/>
      <c r="J24" s="82"/>
      <c r="K24" s="69"/>
    </row>
    <row r="25" spans="2:11" x14ac:dyDescent="0.25">
      <c r="B25" s="35" t="s">
        <v>32</v>
      </c>
      <c r="C25" s="45">
        <f>SUM(C7,C8,C9,C10,C11,C12,C13,C14,C15,C16,C17)</f>
        <v>52</v>
      </c>
      <c r="D25" s="45">
        <f>SUM(D7,D8,D9,D10,D11,D12,D13,D14,D15,D20,D21)</f>
        <v>0</v>
      </c>
      <c r="E25" s="45">
        <f>SUM(E7,E8,E9,E10,E11,E12,E13,E14,E15,E20,E21)</f>
        <v>0</v>
      </c>
      <c r="F25" s="42"/>
      <c r="G25" s="43"/>
      <c r="H25" s="44"/>
      <c r="I25" s="45">
        <f>SUM(I7:I24)</f>
        <v>53</v>
      </c>
      <c r="J25" s="45">
        <f>SUM(J7:J24)</f>
        <v>0</v>
      </c>
      <c r="K25" s="68"/>
    </row>
    <row r="26" spans="2:11" x14ac:dyDescent="0.25">
      <c r="B26" s="36"/>
      <c r="C26" s="37"/>
      <c r="D26" s="38"/>
      <c r="E26" s="38"/>
      <c r="F26" s="39"/>
      <c r="G26" s="40"/>
      <c r="H26" s="74"/>
      <c r="I26" s="74"/>
      <c r="J26" s="74"/>
      <c r="K26" s="74"/>
    </row>
    <row r="27" spans="2:11" x14ac:dyDescent="0.25">
      <c r="B27" s="77"/>
      <c r="C27" s="78"/>
      <c r="D27" s="79"/>
      <c r="E27" s="79"/>
      <c r="F27" s="80"/>
      <c r="G27" s="12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69" x14ac:dyDescent="0.25">
      <c r="B29" s="107" t="s">
        <v>6</v>
      </c>
      <c r="C29" s="108" t="s">
        <v>34</v>
      </c>
      <c r="D29" s="30" t="s">
        <v>11</v>
      </c>
      <c r="E29" s="29" t="s">
        <v>9</v>
      </c>
      <c r="F29" s="108" t="s">
        <v>10</v>
      </c>
      <c r="G29" s="2"/>
      <c r="H29" s="1"/>
      <c r="I29" s="1"/>
      <c r="J29" s="1"/>
      <c r="K29" s="1"/>
    </row>
    <row r="30" spans="2:11" x14ac:dyDescent="0.25">
      <c r="B30" s="83" t="s">
        <v>156</v>
      </c>
      <c r="C30" s="109">
        <v>46302</v>
      </c>
      <c r="D30" s="106">
        <v>1</v>
      </c>
      <c r="E30" s="106">
        <v>1</v>
      </c>
      <c r="F30" s="83" t="s">
        <v>157</v>
      </c>
    </row>
    <row r="31" spans="2:11" x14ac:dyDescent="0.25">
      <c r="B31" s="83" t="s">
        <v>134</v>
      </c>
      <c r="C31" s="109">
        <v>46302</v>
      </c>
      <c r="D31" s="106">
        <v>1</v>
      </c>
      <c r="E31" s="106">
        <v>1</v>
      </c>
      <c r="F31" s="104" t="s">
        <v>183</v>
      </c>
    </row>
    <row r="32" spans="2:11" x14ac:dyDescent="0.25">
      <c r="B32" s="83" t="s">
        <v>165</v>
      </c>
      <c r="C32" s="109">
        <v>46303</v>
      </c>
      <c r="D32" s="106">
        <v>23</v>
      </c>
      <c r="E32" s="106">
        <v>23</v>
      </c>
      <c r="F32" s="83" t="s">
        <v>166</v>
      </c>
    </row>
    <row r="33" spans="2:6" x14ac:dyDescent="0.25">
      <c r="B33" s="110" t="s">
        <v>265</v>
      </c>
      <c r="C33" s="110"/>
      <c r="D33" s="110">
        <v>25</v>
      </c>
      <c r="E33" s="110">
        <v>25</v>
      </c>
      <c r="F33" s="110"/>
    </row>
  </sheetData>
  <mergeCells count="4">
    <mergeCell ref="B2:K2"/>
    <mergeCell ref="B5:F5"/>
    <mergeCell ref="H5:K5"/>
    <mergeCell ref="B28:F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7E60-1DB6-4307-863C-DD352C4F3475}">
  <dimension ref="B2:K33"/>
  <sheetViews>
    <sheetView topLeftCell="A13" workbookViewId="0">
      <selection activeCell="B2" sqref="B2:K33"/>
    </sheetView>
  </sheetViews>
  <sheetFormatPr defaultRowHeight="14.4" x14ac:dyDescent="0.25"/>
  <cols>
    <col min="2" max="2" width="26.6640625" customWidth="1"/>
    <col min="3" max="3" width="14.44140625" customWidth="1"/>
    <col min="5" max="5" width="10.44140625" customWidth="1"/>
    <col min="6" max="6" width="17.6640625" style="103" customWidth="1"/>
    <col min="7" max="7" width="4.21875" customWidth="1"/>
    <col min="8" max="8" width="25.44140625" customWidth="1"/>
    <col min="9" max="9" width="10.109375" customWidth="1"/>
    <col min="10" max="10" width="10.77734375" customWidth="1"/>
    <col min="11" max="11" width="22.218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46310</v>
      </c>
      <c r="D3" s="7"/>
      <c r="E3" s="105"/>
      <c r="F3" s="105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5"/>
      <c r="F4" s="5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5"/>
      <c r="J5" s="135"/>
      <c r="K5" s="135"/>
    </row>
    <row r="6" spans="2:11" ht="66" x14ac:dyDescent="0.25">
      <c r="B6" s="120" t="s">
        <v>6</v>
      </c>
      <c r="C6" s="59" t="s">
        <v>7</v>
      </c>
      <c r="D6" s="60" t="s">
        <v>8</v>
      </c>
      <c r="E6" s="60" t="s">
        <v>9</v>
      </c>
      <c r="F6" s="60" t="s">
        <v>10</v>
      </c>
      <c r="G6" s="61"/>
      <c r="H6" s="122" t="s">
        <v>6</v>
      </c>
      <c r="I6" s="59" t="s">
        <v>11</v>
      </c>
      <c r="J6" s="60" t="s">
        <v>12</v>
      </c>
      <c r="K6" s="62" t="s">
        <v>10</v>
      </c>
    </row>
    <row r="7" spans="2:11" ht="15.75" customHeight="1" x14ac:dyDescent="0.3">
      <c r="B7" s="100" t="s">
        <v>287</v>
      </c>
      <c r="C7" s="83">
        <v>2</v>
      </c>
      <c r="D7" s="83">
        <v>0</v>
      </c>
      <c r="E7" s="112">
        <v>0</v>
      </c>
      <c r="F7" s="112">
        <v>1263</v>
      </c>
      <c r="G7" s="119"/>
      <c r="H7" s="100" t="s">
        <v>97</v>
      </c>
      <c r="I7" s="101">
        <v>4</v>
      </c>
      <c r="J7" s="83">
        <v>0</v>
      </c>
      <c r="K7" s="100" t="s">
        <v>288</v>
      </c>
    </row>
    <row r="8" spans="2:11" ht="15.75" customHeight="1" x14ac:dyDescent="0.25">
      <c r="B8" s="121"/>
      <c r="C8" s="118"/>
      <c r="D8" s="115"/>
      <c r="E8" s="115"/>
      <c r="F8" s="115"/>
      <c r="G8" s="102"/>
      <c r="H8" s="100" t="s">
        <v>62</v>
      </c>
      <c r="I8" s="101">
        <v>6</v>
      </c>
      <c r="J8" s="83">
        <v>0</v>
      </c>
      <c r="K8" s="100" t="s">
        <v>289</v>
      </c>
    </row>
    <row r="9" spans="2:11" ht="15.75" customHeight="1" x14ac:dyDescent="0.25">
      <c r="B9" s="96"/>
      <c r="C9" s="101"/>
      <c r="D9" s="83"/>
      <c r="E9" s="83"/>
      <c r="F9" s="83"/>
      <c r="G9" s="102"/>
      <c r="H9" s="100" t="s">
        <v>290</v>
      </c>
      <c r="I9" s="101">
        <v>29</v>
      </c>
      <c r="J9" s="83">
        <v>0</v>
      </c>
      <c r="K9" s="100" t="s">
        <v>291</v>
      </c>
    </row>
    <row r="10" spans="2:11" ht="15.75" customHeight="1" x14ac:dyDescent="0.3">
      <c r="B10" s="96"/>
      <c r="C10" s="101"/>
      <c r="D10" s="83"/>
      <c r="E10" s="83"/>
      <c r="F10" s="83"/>
      <c r="G10" s="102"/>
      <c r="H10" s="100" t="s">
        <v>292</v>
      </c>
      <c r="I10" s="112">
        <v>109</v>
      </c>
      <c r="J10" s="83">
        <v>0</v>
      </c>
      <c r="K10" s="100" t="s">
        <v>293</v>
      </c>
    </row>
    <row r="11" spans="2:11" ht="15.75" customHeight="1" x14ac:dyDescent="0.25">
      <c r="B11" s="96"/>
      <c r="C11" s="101"/>
      <c r="D11" s="83"/>
      <c r="E11" s="83"/>
      <c r="F11" s="83"/>
      <c r="G11" s="102"/>
      <c r="H11" s="117"/>
      <c r="I11" s="83"/>
      <c r="J11" s="83"/>
      <c r="K11" s="100"/>
    </row>
    <row r="12" spans="2:11" ht="15.75" customHeight="1" x14ac:dyDescent="0.25">
      <c r="B12" s="96"/>
      <c r="C12" s="101"/>
      <c r="D12" s="83"/>
      <c r="E12" s="83"/>
      <c r="F12" s="83"/>
      <c r="G12" s="102"/>
      <c r="H12" s="100"/>
      <c r="I12" s="83"/>
      <c r="J12" s="83"/>
      <c r="K12" s="100"/>
    </row>
    <row r="13" spans="2:11" ht="15.75" customHeight="1" x14ac:dyDescent="0.25">
      <c r="B13" s="96"/>
      <c r="C13" s="83"/>
      <c r="D13" s="83"/>
      <c r="E13" s="83"/>
      <c r="F13" s="83"/>
      <c r="G13" s="102"/>
      <c r="H13" s="116"/>
      <c r="I13" s="115"/>
      <c r="J13" s="115"/>
      <c r="K13" s="116"/>
    </row>
    <row r="14" spans="2:11" ht="15.75" customHeight="1" x14ac:dyDescent="0.25">
      <c r="B14" s="96"/>
      <c r="C14" s="83"/>
      <c r="D14" s="83"/>
      <c r="E14" s="83"/>
      <c r="F14" s="83"/>
      <c r="G14" s="84"/>
      <c r="H14" s="116"/>
      <c r="I14" s="76"/>
      <c r="J14" s="76"/>
      <c r="K14" s="83"/>
    </row>
    <row r="15" spans="2:11" ht="15.75" customHeight="1" x14ac:dyDescent="0.25">
      <c r="B15" s="96"/>
      <c r="C15" s="101"/>
      <c r="D15" s="83"/>
      <c r="E15" s="83"/>
      <c r="F15" s="83"/>
      <c r="G15" s="84"/>
      <c r="I15" s="76"/>
      <c r="J15" s="76"/>
      <c r="K15" s="83"/>
    </row>
    <row r="16" spans="2:11" ht="15.75" customHeight="1" x14ac:dyDescent="0.3">
      <c r="B16" s="96"/>
      <c r="C16" s="101"/>
      <c r="D16" s="83"/>
      <c r="E16" s="83"/>
      <c r="F16" s="112"/>
      <c r="G16" s="84"/>
      <c r="H16" s="75"/>
      <c r="I16" s="76"/>
      <c r="J16" s="76"/>
      <c r="K16" s="83"/>
    </row>
    <row r="17" spans="2:11" ht="15.75" customHeight="1" x14ac:dyDescent="0.25">
      <c r="B17" s="113"/>
      <c r="C17" s="83"/>
      <c r="D17" s="83"/>
      <c r="E17" s="83"/>
      <c r="F17" s="83"/>
      <c r="G17" s="84"/>
      <c r="H17" s="75"/>
      <c r="I17" s="76"/>
      <c r="J17" s="76"/>
      <c r="K17" s="83"/>
    </row>
    <row r="18" spans="2:11" ht="15.75" customHeight="1" x14ac:dyDescent="0.25">
      <c r="B18" s="86"/>
      <c r="C18" s="83"/>
      <c r="D18" s="83"/>
      <c r="E18" s="83"/>
      <c r="F18" s="83"/>
      <c r="G18" s="84"/>
      <c r="H18" s="75"/>
      <c r="I18" s="76"/>
      <c r="J18" s="76"/>
      <c r="K18" s="83"/>
    </row>
    <row r="19" spans="2:11" ht="15.75" customHeight="1" x14ac:dyDescent="0.25">
      <c r="B19" s="86"/>
      <c r="C19" s="83"/>
      <c r="D19" s="83"/>
      <c r="E19" s="83"/>
      <c r="F19" s="83"/>
      <c r="G19" s="84"/>
      <c r="H19" s="75"/>
      <c r="I19" s="76"/>
      <c r="J19" s="76"/>
      <c r="K19" s="83"/>
    </row>
    <row r="20" spans="2:11" ht="15.75" customHeight="1" x14ac:dyDescent="0.25">
      <c r="B20" s="86"/>
      <c r="C20" s="83"/>
      <c r="D20" s="83"/>
      <c r="E20" s="83"/>
      <c r="F20" s="83"/>
      <c r="G20" s="84"/>
      <c r="H20" s="75"/>
      <c r="I20" s="76"/>
      <c r="J20" s="76"/>
      <c r="K20" s="83"/>
    </row>
    <row r="21" spans="2:11" ht="15.75" customHeight="1" x14ac:dyDescent="0.25">
      <c r="B21" s="86"/>
      <c r="C21" s="83"/>
      <c r="D21" s="83"/>
      <c r="E21" s="83"/>
      <c r="F21" s="83"/>
      <c r="G21" s="84"/>
      <c r="H21" s="75"/>
      <c r="I21" s="76"/>
      <c r="J21" s="76"/>
      <c r="K21" s="83"/>
    </row>
    <row r="22" spans="2:11" ht="15.75" customHeight="1" x14ac:dyDescent="0.25">
      <c r="B22" s="86"/>
      <c r="C22" s="83"/>
      <c r="D22" s="83"/>
      <c r="E22" s="83"/>
      <c r="F22" s="83"/>
      <c r="G22" s="84"/>
      <c r="H22" s="75"/>
      <c r="I22" s="76"/>
      <c r="J22" s="76"/>
      <c r="K22" s="83"/>
    </row>
    <row r="23" spans="2:11" ht="15.75" customHeight="1" x14ac:dyDescent="0.25">
      <c r="B23" s="86"/>
      <c r="C23" s="83"/>
      <c r="D23" s="83"/>
      <c r="E23" s="83"/>
      <c r="F23" s="83"/>
      <c r="G23" s="84"/>
      <c r="H23" s="75"/>
      <c r="I23" s="76"/>
      <c r="J23" s="76"/>
      <c r="K23" s="83"/>
    </row>
    <row r="24" spans="2:11" x14ac:dyDescent="0.25">
      <c r="B24" s="69"/>
      <c r="C24" s="69"/>
      <c r="D24" s="69"/>
      <c r="E24" s="69"/>
      <c r="F24" s="69"/>
      <c r="G24" s="12"/>
      <c r="H24" s="81"/>
      <c r="I24" s="82"/>
      <c r="J24" s="82"/>
      <c r="K24" s="69"/>
    </row>
    <row r="25" spans="2:11" x14ac:dyDescent="0.25">
      <c r="B25" s="35" t="s">
        <v>32</v>
      </c>
      <c r="C25" s="45">
        <f>SUM(C7,C8,C9,C10,C11,C12,C13,C14,C15,C16,C17)</f>
        <v>2</v>
      </c>
      <c r="D25" s="45">
        <f>SUM(D7,D8,D9,D10,D11,D12,D13,D14,D15,D20,D21)</f>
        <v>0</v>
      </c>
      <c r="E25" s="45">
        <f>SUM(E7,E8,E9,E10,E11,E12,E13,E14,E15,E20,E21)</f>
        <v>0</v>
      </c>
      <c r="F25" s="42"/>
      <c r="G25" s="43"/>
      <c r="H25" s="44"/>
      <c r="I25" s="45">
        <f>SUM(I7:I24)</f>
        <v>148</v>
      </c>
      <c r="J25" s="45">
        <f>SUM(J7:J24)</f>
        <v>0</v>
      </c>
      <c r="K25" s="68"/>
    </row>
    <row r="26" spans="2:11" x14ac:dyDescent="0.25">
      <c r="B26" s="36"/>
      <c r="C26" s="37"/>
      <c r="D26" s="38"/>
      <c r="E26" s="38"/>
      <c r="F26" s="39"/>
      <c r="G26" s="40"/>
      <c r="H26" s="74"/>
      <c r="I26" s="74"/>
      <c r="J26" s="74"/>
      <c r="K26" s="74"/>
    </row>
    <row r="27" spans="2:11" x14ac:dyDescent="0.25">
      <c r="B27" s="77"/>
      <c r="C27" s="78"/>
      <c r="D27" s="79"/>
      <c r="E27" s="79"/>
      <c r="F27" s="80"/>
      <c r="G27" s="12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69" x14ac:dyDescent="0.25">
      <c r="B29" s="107" t="s">
        <v>6</v>
      </c>
      <c r="C29" s="108" t="s">
        <v>34</v>
      </c>
      <c r="D29" s="30" t="s">
        <v>11</v>
      </c>
      <c r="E29" s="29" t="s">
        <v>9</v>
      </c>
      <c r="F29" s="108" t="s">
        <v>10</v>
      </c>
      <c r="G29" s="2"/>
      <c r="H29" s="1"/>
      <c r="I29" s="1"/>
      <c r="J29" s="1"/>
      <c r="K29" s="1"/>
    </row>
    <row r="30" spans="2:11" x14ac:dyDescent="0.25">
      <c r="B30" s="83" t="s">
        <v>156</v>
      </c>
      <c r="C30" s="109">
        <v>46302</v>
      </c>
      <c r="D30" s="106">
        <v>1</v>
      </c>
      <c r="E30" s="106">
        <v>1</v>
      </c>
      <c r="F30" s="83" t="s">
        <v>157</v>
      </c>
    </row>
    <row r="31" spans="2:11" x14ac:dyDescent="0.25">
      <c r="B31" s="83" t="s">
        <v>134</v>
      </c>
      <c r="C31" s="109">
        <v>46302</v>
      </c>
      <c r="D31" s="106">
        <v>1</v>
      </c>
      <c r="E31" s="106">
        <v>1</v>
      </c>
      <c r="F31" s="104" t="s">
        <v>183</v>
      </c>
    </row>
    <row r="32" spans="2:11" x14ac:dyDescent="0.25">
      <c r="B32" s="83" t="s">
        <v>165</v>
      </c>
      <c r="C32" s="109">
        <v>46303</v>
      </c>
      <c r="D32" s="106">
        <v>23</v>
      </c>
      <c r="E32" s="106">
        <v>23</v>
      </c>
      <c r="F32" s="83" t="s">
        <v>166</v>
      </c>
    </row>
    <row r="33" spans="2:6" x14ac:dyDescent="0.25">
      <c r="B33" s="110" t="s">
        <v>265</v>
      </c>
      <c r="C33" s="110"/>
      <c r="D33" s="110">
        <v>25</v>
      </c>
      <c r="E33" s="110">
        <v>25</v>
      </c>
      <c r="F33" s="110"/>
    </row>
  </sheetData>
  <mergeCells count="4">
    <mergeCell ref="B2:K2"/>
    <mergeCell ref="B5:F5"/>
    <mergeCell ref="H5:K5"/>
    <mergeCell ref="B28:F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4BCA-53C1-4FFA-A553-F3A1F0638E69}">
  <dimension ref="B2:K33"/>
  <sheetViews>
    <sheetView tabSelected="1" topLeftCell="A6" workbookViewId="0">
      <selection activeCell="B10" sqref="B10"/>
    </sheetView>
  </sheetViews>
  <sheetFormatPr defaultRowHeight="14.4" x14ac:dyDescent="0.25"/>
  <cols>
    <col min="2" max="2" width="26.6640625" customWidth="1"/>
    <col min="3" max="3" width="14.21875" customWidth="1"/>
    <col min="4" max="4" width="10.33203125" customWidth="1"/>
    <col min="5" max="5" width="11.88671875" customWidth="1"/>
    <col min="6" max="6" width="19.109375" customWidth="1"/>
    <col min="8" max="8" width="20.109375" customWidth="1"/>
    <col min="9" max="9" width="11.6640625" customWidth="1"/>
    <col min="10" max="10" width="10.21875" customWidth="1"/>
    <col min="11" max="11" width="23.88671875" customWidth="1"/>
  </cols>
  <sheetData>
    <row r="2" spans="2:11" x14ac:dyDescent="0.25">
      <c r="B2" s="132" t="s">
        <v>0</v>
      </c>
      <c r="C2" s="133"/>
      <c r="D2" s="133"/>
      <c r="E2" s="133"/>
      <c r="F2" s="133"/>
      <c r="G2" s="133"/>
      <c r="H2" s="133"/>
      <c r="I2" s="133"/>
      <c r="J2" s="133"/>
      <c r="K2" s="134"/>
    </row>
    <row r="3" spans="2:11" ht="17.399999999999999" x14ac:dyDescent="0.25">
      <c r="B3" s="49" t="s">
        <v>1</v>
      </c>
      <c r="C3" s="34">
        <v>46311</v>
      </c>
      <c r="D3" s="7"/>
      <c r="E3" s="105"/>
      <c r="F3" s="105"/>
      <c r="G3" s="9"/>
      <c r="H3" s="10"/>
      <c r="I3" s="10"/>
      <c r="J3" s="10" t="s">
        <v>2</v>
      </c>
      <c r="K3" s="64" t="s">
        <v>3</v>
      </c>
    </row>
    <row r="4" spans="2:11" x14ac:dyDescent="0.25">
      <c r="B4" s="14"/>
      <c r="C4" s="14"/>
      <c r="D4" s="14"/>
      <c r="E4" s="5"/>
      <c r="F4" s="5"/>
      <c r="G4" s="27"/>
      <c r="H4" s="28"/>
      <c r="I4" s="28"/>
      <c r="J4" s="28"/>
      <c r="K4" s="65"/>
    </row>
    <row r="5" spans="2:11" x14ac:dyDescent="0.25">
      <c r="B5" s="135" t="s">
        <v>4</v>
      </c>
      <c r="C5" s="136"/>
      <c r="D5" s="136"/>
      <c r="E5" s="136"/>
      <c r="F5" s="136"/>
      <c r="G5" s="6"/>
      <c r="H5" s="135" t="s">
        <v>5</v>
      </c>
      <c r="I5" s="135"/>
      <c r="J5" s="135"/>
      <c r="K5" s="135"/>
    </row>
    <row r="6" spans="2:11" ht="66" x14ac:dyDescent="0.25">
      <c r="B6" s="120" t="s">
        <v>6</v>
      </c>
      <c r="C6" s="59" t="s">
        <v>7</v>
      </c>
      <c r="D6" s="60" t="s">
        <v>8</v>
      </c>
      <c r="E6" s="60" t="s">
        <v>9</v>
      </c>
      <c r="F6" s="83" t="s">
        <v>10</v>
      </c>
      <c r="G6" s="61"/>
      <c r="H6" s="122" t="s">
        <v>6</v>
      </c>
      <c r="I6" s="59" t="s">
        <v>11</v>
      </c>
      <c r="J6" s="60" t="s">
        <v>12</v>
      </c>
      <c r="K6" s="62" t="s">
        <v>10</v>
      </c>
    </row>
    <row r="7" spans="2:11" ht="15" x14ac:dyDescent="0.3">
      <c r="B7" s="142" t="s">
        <v>294</v>
      </c>
      <c r="C7" s="83">
        <v>5</v>
      </c>
      <c r="D7" s="83">
        <v>0</v>
      </c>
      <c r="E7" s="125">
        <v>5</v>
      </c>
      <c r="F7" s="83" t="s">
        <v>295</v>
      </c>
      <c r="G7" s="119"/>
      <c r="H7" s="121" t="s">
        <v>296</v>
      </c>
      <c r="I7" s="101">
        <v>1</v>
      </c>
      <c r="J7" s="83">
        <v>0</v>
      </c>
      <c r="K7" s="124" t="s">
        <v>297</v>
      </c>
    </row>
    <row r="8" spans="2:11" x14ac:dyDescent="0.25">
      <c r="B8" s="142" t="s">
        <v>296</v>
      </c>
      <c r="C8" s="118">
        <v>1</v>
      </c>
      <c r="D8" s="115">
        <v>0</v>
      </c>
      <c r="E8" s="123">
        <v>0</v>
      </c>
      <c r="F8" s="83" t="s">
        <v>18</v>
      </c>
      <c r="G8" s="119"/>
      <c r="H8" s="96" t="s">
        <v>298</v>
      </c>
      <c r="I8" s="101">
        <v>1</v>
      </c>
      <c r="J8" s="83">
        <v>0</v>
      </c>
      <c r="K8" s="124" t="s">
        <v>299</v>
      </c>
    </row>
    <row r="9" spans="2:11" x14ac:dyDescent="0.25">
      <c r="B9" s="142" t="s">
        <v>300</v>
      </c>
      <c r="C9" s="101">
        <v>128</v>
      </c>
      <c r="D9" s="83">
        <v>0</v>
      </c>
      <c r="E9" s="102">
        <v>0</v>
      </c>
      <c r="F9" s="83">
        <v>1267</v>
      </c>
      <c r="G9" s="119"/>
      <c r="H9" s="96" t="s">
        <v>301</v>
      </c>
      <c r="I9" s="101">
        <v>29</v>
      </c>
      <c r="J9" s="83">
        <v>0</v>
      </c>
      <c r="K9" s="124" t="s">
        <v>302</v>
      </c>
    </row>
    <row r="10" spans="2:11" ht="15" x14ac:dyDescent="0.3">
      <c r="B10" s="142" t="s">
        <v>303</v>
      </c>
      <c r="C10" s="101">
        <v>4</v>
      </c>
      <c r="D10" s="83">
        <v>0</v>
      </c>
      <c r="E10" s="102">
        <v>0</v>
      </c>
      <c r="F10" s="83" t="s">
        <v>304</v>
      </c>
      <c r="G10" s="119"/>
      <c r="H10" s="124"/>
      <c r="I10" s="126"/>
      <c r="J10" s="83"/>
      <c r="K10" s="124"/>
    </row>
    <row r="11" spans="2:11" x14ac:dyDescent="0.25">
      <c r="B11" s="142" t="s">
        <v>298</v>
      </c>
      <c r="C11" s="101">
        <v>1</v>
      </c>
      <c r="D11" s="83">
        <v>0</v>
      </c>
      <c r="E11" s="83">
        <v>0</v>
      </c>
      <c r="F11" s="83" t="s">
        <v>18</v>
      </c>
      <c r="G11" s="102"/>
      <c r="H11" s="127"/>
      <c r="I11" s="83"/>
      <c r="J11" s="83"/>
      <c r="K11" s="124"/>
    </row>
    <row r="12" spans="2:11" x14ac:dyDescent="0.25">
      <c r="B12" s="142" t="s">
        <v>301</v>
      </c>
      <c r="C12" s="101">
        <v>29</v>
      </c>
      <c r="D12" s="83">
        <v>0</v>
      </c>
      <c r="E12" s="83">
        <v>0</v>
      </c>
      <c r="F12" s="83" t="s">
        <v>18</v>
      </c>
      <c r="G12" s="102"/>
      <c r="H12" s="124"/>
      <c r="I12" s="83"/>
      <c r="J12" s="83"/>
      <c r="K12" s="124"/>
    </row>
    <row r="13" spans="2:11" x14ac:dyDescent="0.25">
      <c r="B13" s="142" t="s">
        <v>305</v>
      </c>
      <c r="C13" s="83">
        <v>6</v>
      </c>
      <c r="D13" s="83">
        <v>0</v>
      </c>
      <c r="E13" s="83">
        <v>0</v>
      </c>
      <c r="F13" s="83" t="s">
        <v>306</v>
      </c>
      <c r="G13" s="102"/>
      <c r="H13" s="128"/>
      <c r="I13" s="115"/>
      <c r="J13" s="115"/>
      <c r="K13" s="128"/>
    </row>
    <row r="14" spans="2:11" x14ac:dyDescent="0.25">
      <c r="B14" s="142" t="s">
        <v>307</v>
      </c>
      <c r="C14" s="83">
        <v>38</v>
      </c>
      <c r="D14" s="83">
        <v>0</v>
      </c>
      <c r="E14" s="83">
        <v>0</v>
      </c>
      <c r="F14" s="83" t="s">
        <v>308</v>
      </c>
      <c r="G14" s="84"/>
      <c r="H14" s="128"/>
      <c r="I14" s="76"/>
      <c r="J14" s="76"/>
      <c r="K14" s="83"/>
    </row>
    <row r="15" spans="2:11" x14ac:dyDescent="0.25">
      <c r="B15" s="142" t="s">
        <v>309</v>
      </c>
      <c r="C15" s="101">
        <v>78</v>
      </c>
      <c r="D15" s="83">
        <v>0</v>
      </c>
      <c r="E15" s="83">
        <v>0</v>
      </c>
      <c r="F15" s="83" t="s">
        <v>310</v>
      </c>
      <c r="G15" s="84"/>
      <c r="H15" s="129"/>
      <c r="I15" s="76"/>
      <c r="J15" s="76"/>
      <c r="K15" s="83"/>
    </row>
    <row r="16" spans="2:11" ht="15" x14ac:dyDescent="0.3">
      <c r="B16" s="96"/>
      <c r="C16" s="101"/>
      <c r="D16" s="83"/>
      <c r="E16" s="83"/>
      <c r="F16" s="126"/>
      <c r="G16" s="84"/>
      <c r="H16" s="75"/>
      <c r="I16" s="76"/>
      <c r="J16" s="76"/>
      <c r="K16" s="83"/>
    </row>
    <row r="17" spans="2:11" x14ac:dyDescent="0.25">
      <c r="B17" s="130"/>
      <c r="C17" s="83"/>
      <c r="D17" s="83"/>
      <c r="E17" s="83"/>
      <c r="F17" s="83"/>
      <c r="G17" s="84"/>
      <c r="H17" s="75"/>
      <c r="I17" s="76"/>
      <c r="J17" s="76"/>
      <c r="K17" s="83"/>
    </row>
    <row r="18" spans="2:11" x14ac:dyDescent="0.25">
      <c r="B18" s="131"/>
      <c r="C18" s="83"/>
      <c r="D18" s="83"/>
      <c r="E18" s="83"/>
      <c r="F18" s="83"/>
      <c r="G18" s="84"/>
      <c r="H18" s="75"/>
      <c r="I18" s="76"/>
      <c r="J18" s="76"/>
      <c r="K18" s="83"/>
    </row>
    <row r="19" spans="2:11" x14ac:dyDescent="0.25">
      <c r="B19" s="86"/>
      <c r="C19" s="83"/>
      <c r="D19" s="83"/>
      <c r="E19" s="83"/>
      <c r="F19" s="83"/>
      <c r="G19" s="84"/>
      <c r="H19" s="75"/>
      <c r="I19" s="76"/>
      <c r="J19" s="76"/>
      <c r="K19" s="83"/>
    </row>
    <row r="20" spans="2:11" x14ac:dyDescent="0.25">
      <c r="B20" s="86"/>
      <c r="C20" s="83"/>
      <c r="D20" s="83"/>
      <c r="E20" s="83"/>
      <c r="F20" s="83"/>
      <c r="G20" s="84"/>
      <c r="H20" s="75"/>
      <c r="I20" s="76"/>
      <c r="J20" s="76"/>
      <c r="K20" s="83"/>
    </row>
    <row r="21" spans="2:11" x14ac:dyDescent="0.25">
      <c r="B21" s="86"/>
      <c r="C21" s="83"/>
      <c r="D21" s="83"/>
      <c r="E21" s="83"/>
      <c r="F21" s="83"/>
      <c r="G21" s="84"/>
      <c r="H21" s="75"/>
      <c r="I21" s="76"/>
      <c r="J21" s="76"/>
      <c r="K21" s="83"/>
    </row>
    <row r="22" spans="2:11" x14ac:dyDescent="0.25">
      <c r="B22" s="86"/>
      <c r="C22" s="83"/>
      <c r="D22" s="83"/>
      <c r="E22" s="83"/>
      <c r="F22" s="83"/>
      <c r="G22" s="84"/>
      <c r="H22" s="75"/>
      <c r="I22" s="76"/>
      <c r="J22" s="76"/>
      <c r="K22" s="83"/>
    </row>
    <row r="23" spans="2:11" x14ac:dyDescent="0.25">
      <c r="B23" s="86"/>
      <c r="C23" s="83"/>
      <c r="D23" s="83"/>
      <c r="E23" s="83"/>
      <c r="F23" s="83"/>
      <c r="G23" s="84"/>
      <c r="H23" s="75"/>
      <c r="I23" s="76"/>
      <c r="J23" s="76"/>
      <c r="K23" s="83"/>
    </row>
    <row r="24" spans="2:11" x14ac:dyDescent="0.25">
      <c r="B24" s="69"/>
      <c r="C24" s="69"/>
      <c r="D24" s="69"/>
      <c r="E24" s="69"/>
      <c r="F24" s="69"/>
      <c r="G24" s="12"/>
      <c r="H24" s="81"/>
      <c r="I24" s="82"/>
      <c r="J24" s="82"/>
      <c r="K24" s="69"/>
    </row>
    <row r="25" spans="2:11" x14ac:dyDescent="0.25">
      <c r="B25" s="35" t="s">
        <v>32</v>
      </c>
      <c r="C25" s="45">
        <f>SUM(C7,C8,C9,C10,C11,C12,C13,C14,C15,C16,C17)</f>
        <v>290</v>
      </c>
      <c r="D25" s="45">
        <f>SUM(D7,D8,D9,D10,D11,D12,D13,D14,D15,D20,D21)</f>
        <v>0</v>
      </c>
      <c r="E25" s="45">
        <f>SUM(E7,E8,E9,E10,E11,E12,E13,E14,E15,E20,E21)</f>
        <v>5</v>
      </c>
      <c r="F25" s="42"/>
      <c r="G25" s="43"/>
      <c r="H25" s="44"/>
      <c r="I25" s="45">
        <f>SUM(I7:I24)</f>
        <v>31</v>
      </c>
      <c r="J25" s="45">
        <f>SUM(J7:J24)</f>
        <v>0</v>
      </c>
      <c r="K25" s="68"/>
    </row>
    <row r="26" spans="2:11" x14ac:dyDescent="0.25">
      <c r="B26" s="36"/>
      <c r="C26" s="37"/>
      <c r="D26" s="38"/>
      <c r="E26" s="38"/>
      <c r="F26" s="39"/>
      <c r="G26" s="40"/>
      <c r="H26" s="74"/>
      <c r="I26" s="74"/>
      <c r="J26" s="74"/>
      <c r="K26" s="74"/>
    </row>
    <row r="27" spans="2:11" x14ac:dyDescent="0.25">
      <c r="B27" s="77"/>
      <c r="C27" s="78"/>
      <c r="D27" s="79"/>
      <c r="E27" s="79"/>
      <c r="F27" s="80"/>
      <c r="G27" s="12"/>
      <c r="H27" s="74"/>
      <c r="I27" s="74"/>
      <c r="J27" s="74"/>
      <c r="K27" s="74"/>
    </row>
    <row r="28" spans="2:11" ht="15" x14ac:dyDescent="0.25">
      <c r="B28" s="137" t="s">
        <v>33</v>
      </c>
      <c r="C28" s="137"/>
      <c r="D28" s="138"/>
      <c r="E28" s="138"/>
      <c r="F28" s="137"/>
      <c r="G28" s="2"/>
      <c r="H28" s="47"/>
      <c r="I28" s="48"/>
      <c r="J28" s="6"/>
      <c r="K28" s="1"/>
    </row>
    <row r="29" spans="2:11" ht="55.2" x14ac:dyDescent="0.25">
      <c r="B29" s="107" t="s">
        <v>6</v>
      </c>
      <c r="C29" s="108" t="s">
        <v>34</v>
      </c>
      <c r="D29" s="30" t="s">
        <v>11</v>
      </c>
      <c r="E29" s="29" t="s">
        <v>9</v>
      </c>
      <c r="F29" s="108" t="s">
        <v>10</v>
      </c>
      <c r="G29" s="2"/>
      <c r="H29" s="1"/>
      <c r="I29" s="1"/>
      <c r="J29" s="1"/>
      <c r="K29" s="1"/>
    </row>
    <row r="30" spans="2:11" x14ac:dyDescent="0.25">
      <c r="B30" s="83" t="s">
        <v>156</v>
      </c>
      <c r="C30" s="109">
        <v>46302</v>
      </c>
      <c r="D30" s="106">
        <v>1</v>
      </c>
      <c r="E30" s="106">
        <v>1</v>
      </c>
      <c r="F30" s="83" t="s">
        <v>157</v>
      </c>
    </row>
    <row r="31" spans="2:11" x14ac:dyDescent="0.25">
      <c r="B31" s="83" t="s">
        <v>134</v>
      </c>
      <c r="C31" s="109">
        <v>46302</v>
      </c>
      <c r="D31" s="106">
        <v>1</v>
      </c>
      <c r="E31" s="106">
        <v>1</v>
      </c>
      <c r="F31" s="104" t="s">
        <v>183</v>
      </c>
    </row>
    <row r="32" spans="2:11" x14ac:dyDescent="0.25">
      <c r="B32" s="83" t="s">
        <v>165</v>
      </c>
      <c r="C32" s="109">
        <v>46303</v>
      </c>
      <c r="D32" s="106">
        <v>23</v>
      </c>
      <c r="E32" s="106">
        <v>23</v>
      </c>
      <c r="F32" s="83" t="s">
        <v>166</v>
      </c>
    </row>
    <row r="33" spans="2:6" x14ac:dyDescent="0.25">
      <c r="B33" s="110" t="s">
        <v>265</v>
      </c>
      <c r="C33" s="110"/>
      <c r="D33" s="110">
        <v>25</v>
      </c>
      <c r="E33" s="110">
        <v>25</v>
      </c>
      <c r="F33" s="110"/>
    </row>
  </sheetData>
  <mergeCells count="4">
    <mergeCell ref="B2:K2"/>
    <mergeCell ref="B5:F5"/>
    <mergeCell ref="H5:K5"/>
    <mergeCell ref="B28:F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ddb25e-2ccb-44c1-b0c9-a88f32777a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DAB5CD05E434EA08191D1F1F581F5" ma:contentTypeVersion="12" ma:contentTypeDescription="Create a new document." ma:contentTypeScope="" ma:versionID="5475a6e6e5300e34ecf90042af537736">
  <xsd:schema xmlns:xsd="http://www.w3.org/2001/XMLSchema" xmlns:xs="http://www.w3.org/2001/XMLSchema" xmlns:p="http://schemas.microsoft.com/office/2006/metadata/properties" xmlns:ns3="76ddb25e-2ccb-44c1-b0c9-a88f32777a93" targetNamespace="http://schemas.microsoft.com/office/2006/metadata/properties" ma:root="true" ma:fieldsID="2e60182ae1b092daccdc8849a03e77fe" ns3:_="">
    <xsd:import namespace="76ddb25e-2ccb-44c1-b0c9-a88f32777a9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db25e-2ccb-44c1-b0c9-a88f32777a9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7F676-64FC-49B0-BA6F-0CFFFFAB86D6}">
  <ds:schemaRefs>
    <ds:schemaRef ds:uri="http://schemas.microsoft.com/office/2006/metadata/properties"/>
    <ds:schemaRef ds:uri="http://schemas.microsoft.com/office/infopath/2007/PartnerControls"/>
    <ds:schemaRef ds:uri="76ddb25e-2ccb-44c1-b0c9-a88f32777a93"/>
  </ds:schemaRefs>
</ds:datastoreItem>
</file>

<file path=customXml/itemProps2.xml><?xml version="1.0" encoding="utf-8"?>
<ds:datastoreItem xmlns:ds="http://schemas.openxmlformats.org/officeDocument/2006/customXml" ds:itemID="{18631A5B-3E8A-4EF0-B350-4046A65886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ddb25e-2ccb-44c1-b0c9-a88f32777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A58500-7E95-40F3-991D-0A368385D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01-10</vt:lpstr>
      <vt:lpstr>02-10</vt:lpstr>
      <vt:lpstr>05-10</vt:lpstr>
      <vt:lpstr>6-10</vt:lpstr>
      <vt:lpstr>07-10</vt:lpstr>
      <vt:lpstr>08-10</vt:lpstr>
      <vt:lpstr>09-10</vt:lpstr>
      <vt:lpstr>12-10</vt:lpstr>
      <vt:lpstr>13-10</vt:lpstr>
      <vt:lpstr>14-10</vt:lpstr>
      <vt:lpstr>15-10</vt:lpstr>
      <vt:lpstr>16-10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Mujeeb Rahman</dc:creator>
  <cp:keywords/>
  <dc:description/>
  <cp:lastModifiedBy>Rakesh Sobha Raghavan</cp:lastModifiedBy>
  <cp:revision/>
  <dcterms:created xsi:type="dcterms:W3CDTF">2025-05-13T05:09:00Z</dcterms:created>
  <dcterms:modified xsi:type="dcterms:W3CDTF">2026-10-17T04:07:05Z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0x010100F73DAB5CD05E434EA08191D1F1F581F5</vt:lpwstr>
  </property>
  <property fmtid="{D5CDD505-2E9C-101B-9397-08002B2CF9AE}" pid="3" name="ICV">
    <vt:lpwstr>B4F532275EA4491B85438E299421E14E_12</vt:lpwstr>
  </property>
  <property fmtid="{D5CDD505-2E9C-101B-9397-08002B2CF9AE}" pid="4" name="KSOProductBuildVer">
    <vt:lpwstr>1033-12.2.0.23196</vt:lpwstr>
  </property>
</Properties>
</file>